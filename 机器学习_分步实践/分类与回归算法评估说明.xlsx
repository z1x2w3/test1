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05" windowHeight="9435" activeTab="2"/>
  </bookViews>
  <sheets>
    <sheet name="分类问题" sheetId="1" r:id="rId1"/>
    <sheet name="回归问题" sheetId="2" r:id="rId2"/>
    <sheet name="解释" sheetId="6" r:id="rId3"/>
    <sheet name="机器学习到底在干什么" sheetId="4" state="hidden" r:id="rId4"/>
    <sheet name="Sheet1" sheetId="5" state="hidden" r:id="rId5"/>
    <sheet name="Sheet3" sheetId="3" state="hidden" r:id="rId6"/>
  </sheets>
  <definedNames>
    <definedName name="_xlnm._FilterDatabase" localSheetId="0" hidden="1">分类问题!$B$2:$B$247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<sst xmlns="http://schemas.openxmlformats.org/spreadsheetml/2006/main" count="832" uniqueCount="187">
  <si>
    <t>阈值为0.5</t>
  </si>
  <si>
    <t>分类准确率</t>
  </si>
  <si>
    <t>对数损失函数</t>
  </si>
  <si>
    <t>混淆矩阵</t>
  </si>
  <si>
    <t>AUC图</t>
  </si>
  <si>
    <t>分类报告</t>
  </si>
  <si>
    <t>Y值</t>
  </si>
  <si>
    <t>预测的Y值</t>
  </si>
  <si>
    <t>预测的类别</t>
  </si>
  <si>
    <t>准确率</t>
  </si>
  <si>
    <t>预测值</t>
  </si>
  <si>
    <t>阈值0.1</t>
  </si>
  <si>
    <t>阈值0.3</t>
  </si>
  <si>
    <t>阈值0.5</t>
  </si>
  <si>
    <t>阈值0.8</t>
  </si>
  <si>
    <t>A类</t>
  </si>
  <si>
    <t>B类</t>
  </si>
  <si>
    <t>A类（正例）</t>
  </si>
  <si>
    <t>B类（负例）</t>
  </si>
  <si>
    <t>真实值</t>
  </si>
  <si>
    <t>精确率（查准率）</t>
  </si>
  <si>
    <t>召回率（查全率）</t>
  </si>
  <si>
    <t>F1值</t>
  </si>
  <si>
    <t>样本数</t>
  </si>
  <si>
    <t>反例</t>
  </si>
  <si>
    <t>正例</t>
  </si>
  <si>
    <t>真正例</t>
  </si>
  <si>
    <t>假负例</t>
  </si>
  <si>
    <t>假正例</t>
  </si>
  <si>
    <t>真负例</t>
  </si>
  <si>
    <t>宏观平均</t>
  </si>
  <si>
    <t>加权平均</t>
  </si>
  <si>
    <t>查准率P
预测为正例的，多少是对的
真正例/（真正例+假正例）</t>
  </si>
  <si>
    <t>查全率R
实际为正例的，多少是对的
真正例/（真正例+假负例）</t>
  </si>
  <si>
    <t>正例查全率TPR
实际为正例的，多少是对的
真正例/（真正例+假负例）</t>
  </si>
  <si>
    <t>(1-负例查全率)FPR
实际为正例的，多少是对的
真负例/（真负例+假负例）</t>
  </si>
  <si>
    <t>加总</t>
  </si>
  <si>
    <t>平均值</t>
  </si>
  <si>
    <t>Y原始值</t>
  </si>
  <si>
    <t>Y预测值</t>
  </si>
  <si>
    <t>辅助MAE计算</t>
  </si>
  <si>
    <t>辅助MSE计算</t>
  </si>
  <si>
    <t>辅助R2计算</t>
  </si>
  <si>
    <t>MAE:10折交叉验证结果</t>
  </si>
  <si>
    <t>MSE:10折交叉验证结果</t>
  </si>
  <si>
    <t>R2:10折交叉验证结果</t>
  </si>
  <si>
    <t>MAE取反</t>
  </si>
  <si>
    <t>MSE取反</t>
  </si>
  <si>
    <t>R2</t>
  </si>
  <si>
    <t>X1</t>
  </si>
  <si>
    <t>X2</t>
  </si>
  <si>
    <t>……</t>
  </si>
  <si>
    <t>XN</t>
  </si>
  <si>
    <t>Y真实值</t>
  </si>
  <si>
    <t>观察</t>
  </si>
  <si>
    <t>预测</t>
  </si>
  <si>
    <t>这张图上的信息是：红色的花、花瓣长度宽度、花瓣数量……</t>
  </si>
  <si>
    <t>这是什么花儿？</t>
  </si>
  <si>
    <t>一篇文档</t>
  </si>
  <si>
    <t>这篇文档属于什么类型？</t>
  </si>
  <si>
    <t>一段留言（评价）</t>
  </si>
  <si>
    <t>这个留言评价是什么类型的？</t>
  </si>
  <si>
    <t>今天的天气情况：风力、气温、湿度、降雨量……</t>
  </si>
  <si>
    <t>明天会怎么样？</t>
  </si>
  <si>
    <t>房子的信息：位置、室厅厨卫数量、面积、价格……</t>
  </si>
  <si>
    <t>我家的房子值多少钱？</t>
  </si>
  <si>
    <t>有什么用？</t>
  </si>
  <si>
    <t>怎么做到的：从大量的数据中学习</t>
  </si>
  <si>
    <t>结果</t>
  </si>
  <si>
    <t>观察1</t>
  </si>
  <si>
    <t>结果1</t>
  </si>
  <si>
    <t>观察2</t>
  </si>
  <si>
    <t>结果2</t>
  </si>
  <si>
    <t>观察3</t>
  </si>
  <si>
    <t>结果3</t>
  </si>
  <si>
    <t>观察4</t>
  </si>
  <si>
    <t>结果4</t>
  </si>
  <si>
    <t>观察5</t>
  </si>
  <si>
    <t>结果5</t>
  </si>
  <si>
    <t>观察6</t>
  </si>
  <si>
    <t>结果6</t>
  </si>
  <si>
    <t>观察7</t>
  </si>
  <si>
    <t>结果7</t>
  </si>
  <si>
    <t>房子的信息：位置、室厅厨卫数量、面积、周边配套、装修情况等……</t>
  </si>
  <si>
    <t>预测结果</t>
  </si>
  <si>
    <t>上概念：</t>
  </si>
  <si>
    <t>样本数据</t>
  </si>
  <si>
    <t>观测项1</t>
  </si>
  <si>
    <t>标签</t>
  </si>
  <si>
    <t>观测项2</t>
  </si>
  <si>
    <t>观测项3</t>
  </si>
  <si>
    <t>观测项4</t>
  </si>
  <si>
    <t>观测项5</t>
  </si>
  <si>
    <t>观测项N</t>
  </si>
  <si>
    <t>类别</t>
  </si>
  <si>
    <t>预测类别</t>
  </si>
  <si>
    <t>数值</t>
  </si>
  <si>
    <t>预测数值</t>
  </si>
  <si>
    <t>样本1</t>
  </si>
  <si>
    <t>X(11)</t>
  </si>
  <si>
    <t>X(12)</t>
  </si>
  <si>
    <t>X(13)</t>
  </si>
  <si>
    <t>X(14)</t>
  </si>
  <si>
    <t>X(15)</t>
  </si>
  <si>
    <t>X(1N)</t>
  </si>
  <si>
    <t>样本2</t>
  </si>
  <si>
    <t>X(21)</t>
  </si>
  <si>
    <t>X(22)</t>
  </si>
  <si>
    <t>X(23)</t>
  </si>
  <si>
    <t>X(24)</t>
  </si>
  <si>
    <t>X(25)</t>
  </si>
  <si>
    <t>X(2N)</t>
  </si>
  <si>
    <t>样本3</t>
  </si>
  <si>
    <t>X(31)</t>
  </si>
  <si>
    <t>X(32)</t>
  </si>
  <si>
    <t>X(33)</t>
  </si>
  <si>
    <t>X(34)</t>
  </si>
  <si>
    <t>X(35)</t>
  </si>
  <si>
    <t>X(3N)</t>
  </si>
  <si>
    <t>样本4</t>
  </si>
  <si>
    <t>X(41)</t>
  </si>
  <si>
    <t>X(42)</t>
  </si>
  <si>
    <t>X(43)</t>
  </si>
  <si>
    <t>X(44)</t>
  </si>
  <si>
    <t>X(45)</t>
  </si>
  <si>
    <t>X(4N)</t>
  </si>
  <si>
    <t>样本5</t>
  </si>
  <si>
    <t>X(51)</t>
  </si>
  <si>
    <t>X(52)</t>
  </si>
  <si>
    <t>X(53)</t>
  </si>
  <si>
    <t>X(54)</t>
  </si>
  <si>
    <t>X(55)</t>
  </si>
  <si>
    <t>X(5N)</t>
  </si>
  <si>
    <t>样本6</t>
  </si>
  <si>
    <t>X(61)</t>
  </si>
  <si>
    <t>X(62)</t>
  </si>
  <si>
    <t>X(63)</t>
  </si>
  <si>
    <t>X(64)</t>
  </si>
  <si>
    <t>X(65)</t>
  </si>
  <si>
    <t>X(6N)</t>
  </si>
  <si>
    <t>样本7</t>
  </si>
  <si>
    <t>X(71)</t>
  </si>
  <si>
    <t>X(72)</t>
  </si>
  <si>
    <t>X(73)</t>
  </si>
  <si>
    <t>X(74)</t>
  </si>
  <si>
    <t>X(75)</t>
  </si>
  <si>
    <t>X(7N)</t>
  </si>
  <si>
    <t>样本8</t>
  </si>
  <si>
    <t>X(81)</t>
  </si>
  <si>
    <t>X(82)</t>
  </si>
  <si>
    <t>X(83)</t>
  </si>
  <si>
    <t>X(84)</t>
  </si>
  <si>
    <t>X(85)</t>
  </si>
  <si>
    <t>X(8N)</t>
  </si>
  <si>
    <t>样本9</t>
  </si>
  <si>
    <t>X(91)</t>
  </si>
  <si>
    <t>X(92)</t>
  </si>
  <si>
    <t>X(93)</t>
  </si>
  <si>
    <t>X(94)</t>
  </si>
  <si>
    <t>X(95)</t>
  </si>
  <si>
    <t>X(9N)</t>
  </si>
  <si>
    <t>样本M</t>
  </si>
  <si>
    <t>X(M1)</t>
  </si>
  <si>
    <t>X(M2)</t>
  </si>
  <si>
    <t>X(M3)</t>
  </si>
  <si>
    <t>X(M4)</t>
  </si>
  <si>
    <t>X(M5)</t>
  </si>
  <si>
    <t>X(MN)</t>
  </si>
  <si>
    <t>应用场景</t>
  </si>
  <si>
    <t>观测</t>
  </si>
  <si>
    <t>预测标签</t>
  </si>
  <si>
    <t>观测1</t>
  </si>
  <si>
    <t>观测2</t>
  </si>
  <si>
    <t>观测3</t>
  </si>
  <si>
    <t>观测4</t>
  </si>
  <si>
    <t>观测5</t>
  </si>
  <si>
    <t>查准率</t>
  </si>
  <si>
    <t>查全率</t>
  </si>
  <si>
    <t>数量</t>
  </si>
  <si>
    <t>precision</t>
  </si>
  <si>
    <t>recall</t>
  </si>
  <si>
    <t>f1-score</t>
  </si>
  <si>
    <t>support</t>
  </si>
  <si>
    <t>真实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</si>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</sst>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2"/>
      <color rgb="FFFF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3" fillId="6" borderId="1" xfId="0" applyFont="1" applyFill="1" applyBorder="1" applyAlignment="1">
      <alignment horizontal="left" vertical="center"/>
    </xf>
    <xf numFmtId="177" fontId="3" fillId="6" borderId="1" xfId="0" applyNumberFormat="1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7" fontId="0" fillId="5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4" borderId="0" xfId="0" applyFill="1">
      <alignment vertical="center"/>
    </xf>
    <xf numFmtId="178" fontId="0" fillId="4" borderId="0" xfId="0" applyNumberFormat="1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8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>
      <alignment vertical="center"/>
    </xf>
    <xf numFmtId="0" fontId="0" fillId="8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1" xfId="3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76"/>
  <sheetViews>
    <sheetView workbookViewId="0">
      <pane ySplit="8" topLeftCell="A9" activePane="bottomLeft" state="frozen"/>
      <selection/>
      <selection pane="bottomLeft" activeCell="P30" sqref="P30"/>
    </sheetView>
  </sheetViews>
  <sheetFormatPr defaultColWidth="9" defaultRowHeight="13.5"/>
  <cols>
    <col min="1" max="1" width="4.5" customWidth="1"/>
    <col min="2" max="3" width="10.625" customWidth="1"/>
    <col min="4" max="4" width="1.75" customWidth="1"/>
    <col min="5" max="5" width="4.5" customWidth="1"/>
    <col min="8" max="8" width="8.25" customWidth="1"/>
    <col min="9" max="9" width="2" customWidth="1"/>
    <col min="10" max="10" width="4.5" customWidth="1"/>
    <col min="11" max="11" width="10.625" customWidth="1"/>
    <col min="12" max="12" width="13.75" customWidth="1"/>
    <col min="13" max="13" width="1.875" customWidth="1"/>
    <col min="14" max="14" width="6.125" customWidth="1"/>
    <col min="15" max="17" width="12" customWidth="1"/>
    <col min="18" max="18" width="4.375" customWidth="1"/>
    <col min="19" max="19" width="1.125" customWidth="1"/>
    <col min="21" max="22" width="10.625" customWidth="1"/>
    <col min="27" max="27" width="8.875" customWidth="1"/>
    <col min="28" max="29" width="17.125" customWidth="1"/>
    <col min="30" max="30" width="12" customWidth="1"/>
  </cols>
  <sheetData>
    <row r="1" spans="1:30">
      <c r="A1" s="3" t="s">
        <v>0</v>
      </c>
      <c r="B1" s="3"/>
      <c r="C1" s="3"/>
      <c r="E1" s="41" t="s">
        <v>1</v>
      </c>
      <c r="F1" s="41"/>
      <c r="G1" s="41"/>
      <c r="H1" s="41"/>
      <c r="J1" s="41" t="s">
        <v>2</v>
      </c>
      <c r="K1" s="41"/>
      <c r="L1" s="41"/>
      <c r="N1" s="41" t="s">
        <v>3</v>
      </c>
      <c r="O1" s="41"/>
      <c r="P1" s="41"/>
      <c r="Q1" s="41"/>
      <c r="T1" s="41" t="s">
        <v>4</v>
      </c>
      <c r="U1" s="41"/>
      <c r="V1" s="41"/>
      <c r="W1" s="41"/>
      <c r="X1" s="41"/>
      <c r="Y1" s="41"/>
      <c r="AA1" s="54" t="s">
        <v>5</v>
      </c>
      <c r="AB1" s="54"/>
      <c r="AC1" s="54"/>
      <c r="AD1" s="54"/>
    </row>
    <row r="2" spans="1:30">
      <c r="A2" s="42" t="s">
        <v>6</v>
      </c>
      <c r="B2" s="43" t="s">
        <v>7</v>
      </c>
      <c r="C2" s="43" t="s">
        <v>8</v>
      </c>
      <c r="D2" s="44"/>
      <c r="E2" s="42" t="s">
        <v>6</v>
      </c>
      <c r="F2" s="43" t="s">
        <v>7</v>
      </c>
      <c r="G2" s="21"/>
      <c r="H2" s="21" t="s">
        <v>9</v>
      </c>
      <c r="J2" s="42" t="s">
        <v>6</v>
      </c>
      <c r="K2" s="43" t="s">
        <v>7</v>
      </c>
      <c r="L2" s="21" t="s">
        <v>2</v>
      </c>
      <c r="N2" s="4"/>
      <c r="O2" s="4"/>
      <c r="P2" s="18" t="s">
        <v>10</v>
      </c>
      <c r="Q2" s="16"/>
      <c r="T2" s="42" t="s">
        <v>6</v>
      </c>
      <c r="U2" s="43" t="s">
        <v>7</v>
      </c>
      <c r="V2" s="53" t="s">
        <v>11</v>
      </c>
      <c r="W2" s="3" t="s">
        <v>12</v>
      </c>
      <c r="X2" s="3" t="s">
        <v>13</v>
      </c>
      <c r="Y2" s="3" t="s">
        <v>14</v>
      </c>
      <c r="AA2" s="4"/>
      <c r="AB2" s="4"/>
      <c r="AC2" s="18" t="s">
        <v>10</v>
      </c>
      <c r="AD2" s="16"/>
    </row>
    <row r="3" spans="1:30">
      <c r="A3" s="45">
        <v>1</v>
      </c>
      <c r="B3" s="46">
        <v>0.96</v>
      </c>
      <c r="C3" s="46">
        <v>1</v>
      </c>
      <c r="D3" s="47"/>
      <c r="E3" s="45" t="s">
        <v>15</v>
      </c>
      <c r="F3" s="46" t="s">
        <v>16</v>
      </c>
      <c r="G3" s="2" t="e">
        <f t="array" ref="G3">_xlfn.IFS(E3=F3,1)</f>
        <v>#N/A</v>
      </c>
      <c r="H3" s="2"/>
      <c r="J3" s="45">
        <v>1</v>
      </c>
      <c r="K3" s="46">
        <v>0.96</v>
      </c>
      <c r="L3" s="2">
        <f>-(J3*LOG(K3)+(1-J3)*LOG(1-K3))</f>
        <v>0.0177287669604316</v>
      </c>
      <c r="N3" s="4"/>
      <c r="O3" s="4"/>
      <c r="P3" s="3" t="s">
        <v>17</v>
      </c>
      <c r="Q3" s="3" t="s">
        <v>18</v>
      </c>
      <c r="T3" s="45">
        <v>1</v>
      </c>
      <c r="U3" s="46">
        <v>0.96</v>
      </c>
      <c r="V3" s="46">
        <f>IF(U3&gt;=0.1,1,0)</f>
        <v>1</v>
      </c>
      <c r="W3" s="2">
        <f>IF(U3&gt;=0.3,1,0)</f>
        <v>1</v>
      </c>
      <c r="X3" s="2">
        <f>IF(U3&gt;=0.5,1,0)</f>
        <v>1</v>
      </c>
      <c r="Y3" s="2">
        <f t="shared" ref="Y3:Y66" si="0">IF(U3&gt;=0.8,1,0)</f>
        <v>1</v>
      </c>
      <c r="AA3" s="4"/>
      <c r="AB3" s="4"/>
      <c r="AC3" s="3" t="s">
        <v>17</v>
      </c>
      <c r="AD3" s="3" t="s">
        <v>18</v>
      </c>
    </row>
    <row r="4" spans="1:31">
      <c r="A4" s="45">
        <v>1</v>
      </c>
      <c r="B4" s="46">
        <v>0.25</v>
      </c>
      <c r="C4" s="46"/>
      <c r="D4" s="47"/>
      <c r="E4" s="45" t="s">
        <v>15</v>
      </c>
      <c r="F4" s="46" t="s">
        <v>15</v>
      </c>
      <c r="G4" s="2">
        <f t="array" ref="G4">_xlfn.IFS(E4=F4,1)</f>
        <v>1</v>
      </c>
      <c r="H4" s="2"/>
      <c r="J4" s="45">
        <v>1</v>
      </c>
      <c r="K4" s="46">
        <v>0.25</v>
      </c>
      <c r="L4" s="2">
        <f>-(J4*LOG(K4)+(1-J4)*LOG(1-K4))</f>
        <v>0.602059991327962</v>
      </c>
      <c r="N4" s="48" t="s">
        <v>19</v>
      </c>
      <c r="O4" s="3" t="s">
        <v>17</v>
      </c>
      <c r="P4" s="14">
        <v>155</v>
      </c>
      <c r="Q4" s="4">
        <v>17</v>
      </c>
      <c r="R4">
        <f>SUM(P4:Q4)</f>
        <v>172</v>
      </c>
      <c r="T4" s="45">
        <v>1</v>
      </c>
      <c r="U4" s="46">
        <v>0.25</v>
      </c>
      <c r="V4" s="46">
        <f t="shared" ref="V3:V66" si="1">IF(U4&gt;=0.1,1,0)</f>
        <v>1</v>
      </c>
      <c r="W4" s="2">
        <f t="shared" ref="W3:W66" si="2">IF(U4&gt;=0.3,1,0)</f>
        <v>0</v>
      </c>
      <c r="X4" s="2">
        <f t="shared" ref="X3:X66" si="3">IF(U4&gt;=0.5,1,0)</f>
        <v>0</v>
      </c>
      <c r="Y4" s="2">
        <f t="shared" si="0"/>
        <v>0</v>
      </c>
      <c r="AA4" s="48" t="s">
        <v>19</v>
      </c>
      <c r="AB4" s="3" t="s">
        <v>17</v>
      </c>
      <c r="AC4" s="3">
        <v>155</v>
      </c>
      <c r="AD4" s="4">
        <v>17</v>
      </c>
      <c r="AE4">
        <f>SUM(AC4:AD4)</f>
        <v>172</v>
      </c>
    </row>
    <row r="5" spans="1:31">
      <c r="A5" s="45">
        <v>1</v>
      </c>
      <c r="B5" s="46">
        <v>0.75</v>
      </c>
      <c r="C5" s="46">
        <v>1</v>
      </c>
      <c r="D5" s="47"/>
      <c r="E5" s="45" t="s">
        <v>15</v>
      </c>
      <c r="F5" s="46" t="s">
        <v>15</v>
      </c>
      <c r="G5" s="2">
        <f t="array" ref="G5">_xlfn.IFS(E5=F5,1)</f>
        <v>1</v>
      </c>
      <c r="H5" s="2"/>
      <c r="J5" s="45">
        <v>1</v>
      </c>
      <c r="K5" s="46">
        <v>0.75</v>
      </c>
      <c r="L5" s="2">
        <f>-(J5*LOG(K5)+(1-J5)*LOG(1-K5))</f>
        <v>0.1249387366083</v>
      </c>
      <c r="N5" s="49"/>
      <c r="O5" s="3" t="s">
        <v>18</v>
      </c>
      <c r="P5" s="4">
        <v>20</v>
      </c>
      <c r="Q5" s="14">
        <v>53</v>
      </c>
      <c r="R5">
        <f>SUM(P5:Q5)</f>
        <v>73</v>
      </c>
      <c r="T5" s="45">
        <v>1</v>
      </c>
      <c r="U5" s="46">
        <v>0.75</v>
      </c>
      <c r="V5" s="46">
        <f t="shared" si="1"/>
        <v>1</v>
      </c>
      <c r="W5" s="2">
        <f t="shared" si="2"/>
        <v>1</v>
      </c>
      <c r="X5" s="2">
        <f t="shared" si="3"/>
        <v>1</v>
      </c>
      <c r="Y5" s="2">
        <f t="shared" si="0"/>
        <v>0</v>
      </c>
      <c r="AA5" s="49"/>
      <c r="AB5" s="3" t="s">
        <v>18</v>
      </c>
      <c r="AC5" s="4">
        <v>20</v>
      </c>
      <c r="AD5" s="3">
        <v>53</v>
      </c>
      <c r="AE5">
        <f>SUM(AC5:AD5)</f>
        <v>73</v>
      </c>
    </row>
    <row r="6" spans="1:30">
      <c r="A6" s="45">
        <v>0</v>
      </c>
      <c r="B6" s="46">
        <v>0.23</v>
      </c>
      <c r="C6" s="46"/>
      <c r="D6" s="47"/>
      <c r="E6" s="45" t="s">
        <v>16</v>
      </c>
      <c r="F6" s="46" t="s">
        <v>16</v>
      </c>
      <c r="G6" s="2">
        <f t="array" ref="G6">_xlfn.IFS(E6=F6,1)</f>
        <v>1</v>
      </c>
      <c r="H6" s="2"/>
      <c r="J6" s="45">
        <v>0</v>
      </c>
      <c r="K6" s="46">
        <v>0.23</v>
      </c>
      <c r="L6" s="2">
        <f t="shared" ref="L3:L66" si="4">-(J6*LOG(K6)+(1-J6)*LOG(1-K6))</f>
        <v>0.113509274827518</v>
      </c>
      <c r="P6" s="1">
        <f>SUM(P4:P5)</f>
        <v>175</v>
      </c>
      <c r="Q6" s="1">
        <f>SUM(Q4:Q5)</f>
        <v>70</v>
      </c>
      <c r="T6" s="45">
        <v>0</v>
      </c>
      <c r="U6" s="46">
        <v>0.23</v>
      </c>
      <c r="V6" s="46">
        <f t="shared" si="1"/>
        <v>1</v>
      </c>
      <c r="W6" s="2">
        <f t="shared" si="2"/>
        <v>0</v>
      </c>
      <c r="X6" s="2">
        <f t="shared" si="3"/>
        <v>0</v>
      </c>
      <c r="Y6" s="2">
        <f t="shared" si="0"/>
        <v>0</v>
      </c>
      <c r="AC6">
        <f>SUM(AC4:AC5)</f>
        <v>175</v>
      </c>
      <c r="AD6">
        <f>SUM(AD4:AD5)</f>
        <v>70</v>
      </c>
    </row>
    <row r="7" spans="1:25">
      <c r="A7" s="45">
        <v>1</v>
      </c>
      <c r="B7" s="46">
        <v>0.68</v>
      </c>
      <c r="C7" s="46">
        <v>1</v>
      </c>
      <c r="D7" s="47"/>
      <c r="E7" s="45" t="s">
        <v>15</v>
      </c>
      <c r="F7" s="46" t="s">
        <v>15</v>
      </c>
      <c r="G7" s="2">
        <f t="array" ref="G7">_xlfn.IFS(E7=F7,1)</f>
        <v>1</v>
      </c>
      <c r="H7" s="2"/>
      <c r="J7" s="45">
        <v>1</v>
      </c>
      <c r="K7" s="46">
        <v>0.68</v>
      </c>
      <c r="L7" s="2">
        <f t="shared" si="4"/>
        <v>0.167491087293764</v>
      </c>
      <c r="T7" s="45">
        <v>1</v>
      </c>
      <c r="U7" s="46">
        <v>0.68</v>
      </c>
      <c r="V7" s="46">
        <f t="shared" si="1"/>
        <v>1</v>
      </c>
      <c r="W7" s="2">
        <f t="shared" si="2"/>
        <v>1</v>
      </c>
      <c r="X7" s="2">
        <f t="shared" si="3"/>
        <v>1</v>
      </c>
      <c r="Y7" s="2">
        <f t="shared" si="0"/>
        <v>0</v>
      </c>
    </row>
    <row r="8" spans="1:31">
      <c r="A8" s="45">
        <v>1</v>
      </c>
      <c r="B8" s="46">
        <v>0.63</v>
      </c>
      <c r="C8" s="46">
        <v>1</v>
      </c>
      <c r="D8" s="47"/>
      <c r="E8" s="45" t="s">
        <v>15</v>
      </c>
      <c r="F8" s="46" t="s">
        <v>15</v>
      </c>
      <c r="G8" s="2">
        <f t="array" ref="G8">_xlfn.IFS(E8=F8,1)</f>
        <v>1</v>
      </c>
      <c r="H8" s="2"/>
      <c r="J8" s="45">
        <v>1</v>
      </c>
      <c r="K8" s="46">
        <v>0.63</v>
      </c>
      <c r="L8" s="2">
        <f t="shared" si="4"/>
        <v>0.200659450546418</v>
      </c>
      <c r="T8" s="45">
        <v>1</v>
      </c>
      <c r="U8" s="46">
        <v>0.63</v>
      </c>
      <c r="V8" s="46">
        <f t="shared" si="1"/>
        <v>1</v>
      </c>
      <c r="W8" s="2">
        <f t="shared" si="2"/>
        <v>1</v>
      </c>
      <c r="X8" s="2">
        <f t="shared" si="3"/>
        <v>1</v>
      </c>
      <c r="Y8" s="2">
        <f t="shared" si="0"/>
        <v>0</v>
      </c>
      <c r="AB8" t="s">
        <v>20</v>
      </c>
      <c r="AC8" t="s">
        <v>21</v>
      </c>
      <c r="AD8" t="s">
        <v>22</v>
      </c>
      <c r="AE8" t="s">
        <v>23</v>
      </c>
    </row>
    <row r="9" spans="1:31">
      <c r="A9" s="45">
        <v>0</v>
      </c>
      <c r="B9" s="46">
        <v>0.18</v>
      </c>
      <c r="C9" s="46"/>
      <c r="D9" s="47"/>
      <c r="E9" s="45" t="s">
        <v>16</v>
      </c>
      <c r="F9" s="46" t="s">
        <v>16</v>
      </c>
      <c r="G9" s="2">
        <f t="array" ref="G9">_xlfn.IFS(E9=F9,1)</f>
        <v>1</v>
      </c>
      <c r="H9" s="2"/>
      <c r="J9" s="45">
        <v>0</v>
      </c>
      <c r="K9" s="46">
        <v>0.18</v>
      </c>
      <c r="L9" s="2">
        <f t="shared" si="4"/>
        <v>0.0861861476162833</v>
      </c>
      <c r="T9" s="45">
        <v>0</v>
      </c>
      <c r="U9" s="46">
        <v>0.18</v>
      </c>
      <c r="V9" s="46">
        <f t="shared" si="1"/>
        <v>1</v>
      </c>
      <c r="W9" s="2">
        <f t="shared" si="2"/>
        <v>0</v>
      </c>
      <c r="X9" s="2">
        <f t="shared" si="3"/>
        <v>0</v>
      </c>
      <c r="Y9" s="2">
        <f t="shared" si="0"/>
        <v>0</v>
      </c>
      <c r="AA9" t="s">
        <v>24</v>
      </c>
      <c r="AB9">
        <f>AD5/SUM(AD4:AD5)</f>
        <v>0.757142857142857</v>
      </c>
      <c r="AC9">
        <f>AD5/SUM(AC5:AD5)</f>
        <v>0.726027397260274</v>
      </c>
      <c r="AD9">
        <f>2*AB9*AC9/SUM(AB9:AC9)</f>
        <v>0.741258741258741</v>
      </c>
      <c r="AE9">
        <f>SUM(AC5:AD5)</f>
        <v>73</v>
      </c>
    </row>
    <row r="10" spans="1:31">
      <c r="A10" s="45">
        <v>0</v>
      </c>
      <c r="B10" s="46">
        <v>0.53</v>
      </c>
      <c r="C10" s="46">
        <v>1</v>
      </c>
      <c r="D10" s="47"/>
      <c r="E10" s="45" t="s">
        <v>16</v>
      </c>
      <c r="F10" s="46" t="s">
        <v>15</v>
      </c>
      <c r="G10" s="2" t="e">
        <f t="array" ref="G10">_xlfn.IFS(E10=F10,1)</f>
        <v>#N/A</v>
      </c>
      <c r="H10" s="2"/>
      <c r="J10" s="45">
        <v>0</v>
      </c>
      <c r="K10" s="46">
        <v>0.53</v>
      </c>
      <c r="L10" s="2">
        <f t="shared" si="4"/>
        <v>0.327902142064283</v>
      </c>
      <c r="N10" s="4"/>
      <c r="O10" s="4"/>
      <c r="P10" s="18" t="s">
        <v>10</v>
      </c>
      <c r="Q10" s="16"/>
      <c r="T10" s="45">
        <v>0</v>
      </c>
      <c r="U10" s="46">
        <v>0.53</v>
      </c>
      <c r="V10" s="46">
        <f t="shared" si="1"/>
        <v>1</v>
      </c>
      <c r="W10" s="2">
        <f t="shared" si="2"/>
        <v>1</v>
      </c>
      <c r="X10" s="2">
        <f t="shared" si="3"/>
        <v>1</v>
      </c>
      <c r="Y10" s="2">
        <f t="shared" si="0"/>
        <v>0</v>
      </c>
      <c r="AA10" t="s">
        <v>25</v>
      </c>
      <c r="AB10" s="51">
        <f>AC4/SUM(AC4:AC5)</f>
        <v>0.885714285714286</v>
      </c>
      <c r="AC10" s="51">
        <f>AC4/SUM(AC4:AD4)</f>
        <v>0.901162790697674</v>
      </c>
      <c r="AD10">
        <f>2*AB10*AC10/SUM(AB10:AC10)</f>
        <v>0.893371757925072</v>
      </c>
      <c r="AE10">
        <f>SUM(AC4:AD4)</f>
        <v>172</v>
      </c>
    </row>
    <row r="11" spans="1:25">
      <c r="A11" s="45">
        <v>1</v>
      </c>
      <c r="B11" s="46">
        <v>0.96</v>
      </c>
      <c r="C11" s="46">
        <v>1</v>
      </c>
      <c r="D11" s="47"/>
      <c r="E11" s="45" t="s">
        <v>15</v>
      </c>
      <c r="F11" s="46" t="s">
        <v>15</v>
      </c>
      <c r="G11" s="2">
        <f t="array" ref="G11">_xlfn.IFS(E11=F11,1)</f>
        <v>1</v>
      </c>
      <c r="H11" s="2"/>
      <c r="J11" s="45">
        <v>1</v>
      </c>
      <c r="K11" s="46">
        <v>0.96</v>
      </c>
      <c r="L11" s="2">
        <f t="shared" si="4"/>
        <v>0.0177287669604316</v>
      </c>
      <c r="N11" s="4"/>
      <c r="O11" s="4"/>
      <c r="P11" s="3" t="s">
        <v>25</v>
      </c>
      <c r="Q11" s="3" t="s">
        <v>24</v>
      </c>
      <c r="T11" s="45">
        <v>1</v>
      </c>
      <c r="U11" s="46">
        <v>0.96</v>
      </c>
      <c r="V11" s="46">
        <f t="shared" si="1"/>
        <v>1</v>
      </c>
      <c r="W11" s="2">
        <f t="shared" si="2"/>
        <v>1</v>
      </c>
      <c r="X11" s="2">
        <f t="shared" si="3"/>
        <v>1</v>
      </c>
      <c r="Y11" s="2">
        <f t="shared" si="0"/>
        <v>1</v>
      </c>
    </row>
    <row r="12" spans="1:31">
      <c r="A12" s="45">
        <v>1</v>
      </c>
      <c r="B12" s="46">
        <v>0.43</v>
      </c>
      <c r="C12" s="46"/>
      <c r="D12" s="47"/>
      <c r="E12" s="45" t="s">
        <v>15</v>
      </c>
      <c r="F12" s="46" t="s">
        <v>16</v>
      </c>
      <c r="G12" s="2" t="e">
        <f t="array" ref="G12">_xlfn.IFS(E12=F12,1)</f>
        <v>#N/A</v>
      </c>
      <c r="H12" s="2"/>
      <c r="J12" s="45">
        <v>1</v>
      </c>
      <c r="K12" s="46">
        <v>0.43</v>
      </c>
      <c r="L12" s="2">
        <f t="shared" si="4"/>
        <v>0.366531544420413</v>
      </c>
      <c r="N12" s="48" t="s">
        <v>19</v>
      </c>
      <c r="O12" s="3" t="s">
        <v>25</v>
      </c>
      <c r="P12" s="14" t="s">
        <v>26</v>
      </c>
      <c r="Q12" s="4" t="s">
        <v>27</v>
      </c>
      <c r="R12">
        <v>172</v>
      </c>
      <c r="T12" s="45">
        <v>1</v>
      </c>
      <c r="U12" s="46">
        <v>0.43</v>
      </c>
      <c r="V12" s="46">
        <f t="shared" si="1"/>
        <v>1</v>
      </c>
      <c r="W12" s="2">
        <f t="shared" si="2"/>
        <v>1</v>
      </c>
      <c r="X12" s="2">
        <f t="shared" si="3"/>
        <v>0</v>
      </c>
      <c r="Y12" s="2">
        <f t="shared" si="0"/>
        <v>0</v>
      </c>
      <c r="AA12" t="s">
        <v>9</v>
      </c>
      <c r="AD12">
        <f>SUM(AC4,AD5)/SUM(AC4:AD5)</f>
        <v>0.848979591836735</v>
      </c>
      <c r="AE12">
        <v>245</v>
      </c>
    </row>
    <row r="13" spans="1:31">
      <c r="A13" s="45">
        <v>1</v>
      </c>
      <c r="B13" s="46">
        <v>0.21</v>
      </c>
      <c r="C13" s="46"/>
      <c r="D13" s="47"/>
      <c r="E13" s="45" t="s">
        <v>15</v>
      </c>
      <c r="F13" s="46" t="s">
        <v>15</v>
      </c>
      <c r="G13" s="2">
        <f t="array" ref="G13">_xlfn.IFS(E13=F13,1)</f>
        <v>1</v>
      </c>
      <c r="H13" s="2"/>
      <c r="J13" s="45">
        <v>1</v>
      </c>
      <c r="K13" s="46">
        <v>0.21</v>
      </c>
      <c r="L13" s="2">
        <f t="shared" si="4"/>
        <v>0.677780705266081</v>
      </c>
      <c r="N13" s="49"/>
      <c r="O13" s="3" t="s">
        <v>24</v>
      </c>
      <c r="P13" s="4" t="s">
        <v>28</v>
      </c>
      <c r="Q13" s="14" t="s">
        <v>29</v>
      </c>
      <c r="R13">
        <v>73</v>
      </c>
      <c r="T13" s="45">
        <v>1</v>
      </c>
      <c r="U13" s="46">
        <v>0.21</v>
      </c>
      <c r="V13" s="46">
        <f t="shared" si="1"/>
        <v>1</v>
      </c>
      <c r="W13" s="2">
        <f t="shared" si="2"/>
        <v>0</v>
      </c>
      <c r="X13" s="2">
        <f t="shared" si="3"/>
        <v>0</v>
      </c>
      <c r="Y13" s="2">
        <f t="shared" si="0"/>
        <v>0</v>
      </c>
      <c r="AA13" t="s">
        <v>30</v>
      </c>
      <c r="AB13">
        <f>AVERAGE(AB9:AB10)</f>
        <v>0.821428571428572</v>
      </c>
      <c r="AC13">
        <f t="shared" ref="AB13:AD13" si="5">AVERAGE(AC9:AC10)</f>
        <v>0.813595093978974</v>
      </c>
      <c r="AD13">
        <f t="shared" si="5"/>
        <v>0.817315249591907</v>
      </c>
      <c r="AE13">
        <v>245</v>
      </c>
    </row>
    <row r="14" spans="1:31">
      <c r="A14" s="45">
        <v>0</v>
      </c>
      <c r="B14" s="46">
        <v>0.13</v>
      </c>
      <c r="C14" s="46"/>
      <c r="D14" s="47"/>
      <c r="E14" s="45" t="s">
        <v>16</v>
      </c>
      <c r="F14" s="46" t="s">
        <v>16</v>
      </c>
      <c r="G14" s="2">
        <f t="array" ref="G14">_xlfn.IFS(E14=F14,1)</f>
        <v>1</v>
      </c>
      <c r="H14" s="2"/>
      <c r="J14" s="45">
        <v>0</v>
      </c>
      <c r="K14" s="46">
        <v>0.13</v>
      </c>
      <c r="L14" s="2">
        <f t="shared" si="4"/>
        <v>0.0604807473813815</v>
      </c>
      <c r="P14" s="1">
        <v>175</v>
      </c>
      <c r="Q14" s="1">
        <v>70</v>
      </c>
      <c r="T14" s="45">
        <v>0</v>
      </c>
      <c r="U14" s="46">
        <v>0.13</v>
      </c>
      <c r="V14" s="46">
        <f t="shared" si="1"/>
        <v>1</v>
      </c>
      <c r="W14" s="2">
        <f t="shared" si="2"/>
        <v>0</v>
      </c>
      <c r="X14" s="2">
        <f t="shared" si="3"/>
        <v>0</v>
      </c>
      <c r="Y14" s="2">
        <f t="shared" si="0"/>
        <v>0</v>
      </c>
      <c r="AA14" t="s">
        <v>31</v>
      </c>
      <c r="AB14">
        <f>(AB9*AE9+AB10*AE10)/SUM(AE9:AE10)</f>
        <v>0.847405247813411</v>
      </c>
      <c r="AC14">
        <f>(AC9*AE9+AC10*AE10)/SUM(AE9:AE10)</f>
        <v>0.848979591836735</v>
      </c>
      <c r="AD14">
        <f>(AD9*AE9+AD10*AE10)/SUM(AE9:AE10)</f>
        <v>0.848048287653063</v>
      </c>
      <c r="AE14">
        <v>245</v>
      </c>
    </row>
    <row r="15" spans="1:25">
      <c r="A15" s="45">
        <v>1</v>
      </c>
      <c r="B15" s="46">
        <v>0.79</v>
      </c>
      <c r="C15" s="46">
        <v>1</v>
      </c>
      <c r="D15" s="47"/>
      <c r="E15" s="45" t="s">
        <v>15</v>
      </c>
      <c r="F15" s="46" t="s">
        <v>15</v>
      </c>
      <c r="G15" s="2">
        <f t="array" ref="G15">_xlfn.IFS(E15=F15,1)</f>
        <v>1</v>
      </c>
      <c r="H15" s="2"/>
      <c r="J15" s="45">
        <v>1</v>
      </c>
      <c r="K15" s="46">
        <v>0.79</v>
      </c>
      <c r="L15" s="2">
        <f t="shared" si="4"/>
        <v>0.102372908709559</v>
      </c>
      <c r="T15" s="45">
        <v>1</v>
      </c>
      <c r="U15" s="46">
        <v>0.79</v>
      </c>
      <c r="V15" s="46">
        <f t="shared" si="1"/>
        <v>1</v>
      </c>
      <c r="W15" s="2">
        <f t="shared" si="2"/>
        <v>1</v>
      </c>
      <c r="X15" s="2">
        <f t="shared" si="3"/>
        <v>1</v>
      </c>
      <c r="Y15" s="2">
        <f t="shared" si="0"/>
        <v>0</v>
      </c>
    </row>
    <row r="16" spans="1:25">
      <c r="A16" s="45">
        <v>1</v>
      </c>
      <c r="B16" s="46">
        <v>0.77</v>
      </c>
      <c r="C16" s="46">
        <v>1</v>
      </c>
      <c r="D16" s="47"/>
      <c r="E16" s="45" t="s">
        <v>15</v>
      </c>
      <c r="F16" s="46" t="s">
        <v>15</v>
      </c>
      <c r="G16" s="2">
        <f t="array" ref="G16">_xlfn.IFS(E16=F16,1)</f>
        <v>1</v>
      </c>
      <c r="H16" s="2"/>
      <c r="J16" s="45">
        <v>1</v>
      </c>
      <c r="K16" s="46">
        <v>0.77</v>
      </c>
      <c r="L16" s="2">
        <f t="shared" si="4"/>
        <v>0.113509274827518</v>
      </c>
      <c r="O16" s="50" t="s">
        <v>32</v>
      </c>
      <c r="P16" s="51"/>
      <c r="Q16" s="51"/>
      <c r="T16" s="45">
        <v>1</v>
      </c>
      <c r="U16" s="46">
        <v>0.77</v>
      </c>
      <c r="V16" s="46">
        <f t="shared" si="1"/>
        <v>1</v>
      </c>
      <c r="W16" s="2">
        <f t="shared" si="2"/>
        <v>1</v>
      </c>
      <c r="X16" s="2">
        <f t="shared" si="3"/>
        <v>1</v>
      </c>
      <c r="Y16" s="2">
        <f t="shared" si="0"/>
        <v>0</v>
      </c>
    </row>
    <row r="17" spans="1:25">
      <c r="A17" s="45">
        <v>0</v>
      </c>
      <c r="B17" s="46">
        <v>0.13</v>
      </c>
      <c r="C17" s="46"/>
      <c r="D17" s="47"/>
      <c r="E17" s="45" t="s">
        <v>16</v>
      </c>
      <c r="F17" s="46" t="s">
        <v>16</v>
      </c>
      <c r="G17" s="2">
        <f t="array" ref="G17">_xlfn.IFS(E17=F17,1)</f>
        <v>1</v>
      </c>
      <c r="H17" s="2"/>
      <c r="J17" s="45">
        <v>0</v>
      </c>
      <c r="K17" s="46">
        <v>0.13</v>
      </c>
      <c r="L17" s="2">
        <f t="shared" si="4"/>
        <v>0.0604807473813815</v>
      </c>
      <c r="O17" s="51"/>
      <c r="P17" s="51"/>
      <c r="Q17" s="51"/>
      <c r="T17" s="45">
        <v>0</v>
      </c>
      <c r="U17" s="46">
        <v>0.13</v>
      </c>
      <c r="V17" s="46">
        <f t="shared" si="1"/>
        <v>1</v>
      </c>
      <c r="W17" s="2">
        <f t="shared" si="2"/>
        <v>0</v>
      </c>
      <c r="X17" s="2">
        <f t="shared" si="3"/>
        <v>0</v>
      </c>
      <c r="Y17" s="2">
        <f t="shared" si="0"/>
        <v>0</v>
      </c>
    </row>
    <row r="18" spans="1:25">
      <c r="A18" s="45">
        <v>0</v>
      </c>
      <c r="B18" s="46">
        <v>0.01</v>
      </c>
      <c r="C18" s="46"/>
      <c r="D18" s="47"/>
      <c r="E18" s="45" t="s">
        <v>16</v>
      </c>
      <c r="F18" s="46" t="s">
        <v>16</v>
      </c>
      <c r="G18" s="2">
        <f t="array" ref="G18">_xlfn.IFS(E18=F18,1)</f>
        <v>1</v>
      </c>
      <c r="H18" s="2"/>
      <c r="J18" s="45">
        <v>0</v>
      </c>
      <c r="K18" s="46">
        <v>0.01</v>
      </c>
      <c r="L18" s="2">
        <f t="shared" si="4"/>
        <v>0.00436480540245009</v>
      </c>
      <c r="O18" s="51"/>
      <c r="P18" s="51"/>
      <c r="Q18" s="51"/>
      <c r="T18" s="45">
        <v>0</v>
      </c>
      <c r="U18" s="46">
        <v>0.01</v>
      </c>
      <c r="V18" s="46">
        <f t="shared" si="1"/>
        <v>0</v>
      </c>
      <c r="W18" s="2">
        <f t="shared" si="2"/>
        <v>0</v>
      </c>
      <c r="X18" s="2">
        <f t="shared" si="3"/>
        <v>0</v>
      </c>
      <c r="Y18" s="2">
        <f t="shared" si="0"/>
        <v>0</v>
      </c>
    </row>
    <row r="19" spans="1:25">
      <c r="A19" s="45">
        <v>1</v>
      </c>
      <c r="B19" s="46">
        <v>0.82</v>
      </c>
      <c r="C19" s="46">
        <v>1</v>
      </c>
      <c r="D19" s="47"/>
      <c r="E19" s="45" t="s">
        <v>15</v>
      </c>
      <c r="F19" s="46" t="s">
        <v>15</v>
      </c>
      <c r="G19" s="2">
        <f t="array" ref="G19">_xlfn.IFS(E19=F19,1)</f>
        <v>1</v>
      </c>
      <c r="H19" s="2"/>
      <c r="J19" s="45">
        <v>1</v>
      </c>
      <c r="K19" s="46">
        <v>0.82</v>
      </c>
      <c r="L19" s="2">
        <f t="shared" si="4"/>
        <v>0.0861861476162833</v>
      </c>
      <c r="T19" s="45">
        <v>1</v>
      </c>
      <c r="U19" s="46">
        <v>0.82</v>
      </c>
      <c r="V19" s="46">
        <f t="shared" si="1"/>
        <v>1</v>
      </c>
      <c r="W19" s="2">
        <f t="shared" si="2"/>
        <v>1</v>
      </c>
      <c r="X19" s="2">
        <f t="shared" si="3"/>
        <v>1</v>
      </c>
      <c r="Y19" s="2">
        <f t="shared" si="0"/>
        <v>1</v>
      </c>
    </row>
    <row r="20" spans="1:25">
      <c r="A20" s="45">
        <v>1</v>
      </c>
      <c r="B20" s="46">
        <v>0.83</v>
      </c>
      <c r="C20" s="46">
        <v>1</v>
      </c>
      <c r="D20" s="47"/>
      <c r="E20" s="45" t="s">
        <v>15</v>
      </c>
      <c r="F20" s="46" t="s">
        <v>15</v>
      </c>
      <c r="G20" s="2">
        <f t="array" ref="G20">_xlfn.IFS(E20=F20,1)</f>
        <v>1</v>
      </c>
      <c r="H20" s="2"/>
      <c r="J20" s="45">
        <v>1</v>
      </c>
      <c r="K20" s="46">
        <v>0.83</v>
      </c>
      <c r="L20" s="2">
        <f t="shared" si="4"/>
        <v>0.0809219076239261</v>
      </c>
      <c r="O20" s="50" t="s">
        <v>33</v>
      </c>
      <c r="P20" s="51"/>
      <c r="Q20" s="51"/>
      <c r="T20" s="45">
        <v>1</v>
      </c>
      <c r="U20" s="46">
        <v>0.83</v>
      </c>
      <c r="V20" s="46">
        <f t="shared" si="1"/>
        <v>1</v>
      </c>
      <c r="W20" s="2">
        <f t="shared" si="2"/>
        <v>1</v>
      </c>
      <c r="X20" s="2">
        <f t="shared" si="3"/>
        <v>1</v>
      </c>
      <c r="Y20" s="2">
        <f t="shared" si="0"/>
        <v>1</v>
      </c>
    </row>
    <row r="21" spans="1:25">
      <c r="A21" s="45">
        <v>1</v>
      </c>
      <c r="B21" s="46">
        <v>0.76</v>
      </c>
      <c r="C21" s="46">
        <v>1</v>
      </c>
      <c r="D21" s="47"/>
      <c r="E21" s="45" t="s">
        <v>15</v>
      </c>
      <c r="F21" s="46" t="s">
        <v>15</v>
      </c>
      <c r="G21" s="2">
        <f t="array" ref="G21">_xlfn.IFS(E21=F21,1)</f>
        <v>1</v>
      </c>
      <c r="H21" s="2"/>
      <c r="J21" s="45">
        <v>1</v>
      </c>
      <c r="K21" s="46">
        <v>0.76</v>
      </c>
      <c r="L21" s="2">
        <f t="shared" si="4"/>
        <v>0.119186407719209</v>
      </c>
      <c r="O21" s="51"/>
      <c r="P21" s="51"/>
      <c r="Q21" s="51"/>
      <c r="T21" s="45">
        <v>1</v>
      </c>
      <c r="U21" s="46">
        <v>0.76</v>
      </c>
      <c r="V21" s="46">
        <f t="shared" si="1"/>
        <v>1</v>
      </c>
      <c r="W21" s="2">
        <f t="shared" si="2"/>
        <v>1</v>
      </c>
      <c r="X21" s="2">
        <f t="shared" si="3"/>
        <v>1</v>
      </c>
      <c r="Y21" s="2">
        <f t="shared" si="0"/>
        <v>0</v>
      </c>
    </row>
    <row r="22" spans="1:25">
      <c r="A22" s="45">
        <v>0</v>
      </c>
      <c r="B22" s="46">
        <v>0.78</v>
      </c>
      <c r="C22" s="46">
        <v>1</v>
      </c>
      <c r="D22" s="47"/>
      <c r="E22" s="45" t="s">
        <v>16</v>
      </c>
      <c r="F22" s="46" t="s">
        <v>15</v>
      </c>
      <c r="G22" s="2" t="e">
        <f t="array" ref="G22">_xlfn.IFS(E22=F22,1)</f>
        <v>#N/A</v>
      </c>
      <c r="H22" s="2"/>
      <c r="J22" s="45">
        <v>0</v>
      </c>
      <c r="K22" s="46">
        <v>0.78</v>
      </c>
      <c r="L22" s="2">
        <f t="shared" si="4"/>
        <v>0.657577319177794</v>
      </c>
      <c r="O22" s="51"/>
      <c r="P22" s="51"/>
      <c r="Q22" s="51"/>
      <c r="T22" s="45">
        <v>0</v>
      </c>
      <c r="U22" s="46">
        <v>0.78</v>
      </c>
      <c r="V22" s="46">
        <f t="shared" si="1"/>
        <v>1</v>
      </c>
      <c r="W22" s="2">
        <f t="shared" si="2"/>
        <v>1</v>
      </c>
      <c r="X22" s="2">
        <f t="shared" si="3"/>
        <v>1</v>
      </c>
      <c r="Y22" s="2">
        <f t="shared" si="0"/>
        <v>0</v>
      </c>
    </row>
    <row r="23" spans="1:25">
      <c r="A23" s="45">
        <v>1</v>
      </c>
      <c r="B23" s="46">
        <v>0.46</v>
      </c>
      <c r="C23" s="46"/>
      <c r="D23" s="47"/>
      <c r="E23" s="45" t="s">
        <v>15</v>
      </c>
      <c r="F23" s="46" t="s">
        <v>15</v>
      </c>
      <c r="G23" s="2">
        <f t="array" ref="G23">_xlfn.IFS(E23=F23,1)</f>
        <v>1</v>
      </c>
      <c r="H23" s="2"/>
      <c r="J23" s="45">
        <v>1</v>
      </c>
      <c r="K23" s="46">
        <v>0.46</v>
      </c>
      <c r="L23" s="2">
        <f t="shared" si="4"/>
        <v>0.337242168318426</v>
      </c>
      <c r="T23" s="45">
        <v>1</v>
      </c>
      <c r="U23" s="46">
        <v>0.46</v>
      </c>
      <c r="V23" s="46">
        <f t="shared" si="1"/>
        <v>1</v>
      </c>
      <c r="W23" s="2">
        <f t="shared" si="2"/>
        <v>1</v>
      </c>
      <c r="X23" s="2">
        <f t="shared" si="3"/>
        <v>0</v>
      </c>
      <c r="Y23" s="2">
        <f t="shared" si="0"/>
        <v>0</v>
      </c>
    </row>
    <row r="24" spans="1:25">
      <c r="A24" s="45">
        <v>1</v>
      </c>
      <c r="B24" s="46">
        <v>0.66</v>
      </c>
      <c r="C24" s="46">
        <v>1</v>
      </c>
      <c r="D24" s="47"/>
      <c r="E24" s="45" t="s">
        <v>15</v>
      </c>
      <c r="F24" s="46" t="s">
        <v>15</v>
      </c>
      <c r="G24" s="2">
        <f t="array" ref="G24">_xlfn.IFS(E24=F24,1)</f>
        <v>1</v>
      </c>
      <c r="H24" s="2"/>
      <c r="J24" s="45">
        <v>1</v>
      </c>
      <c r="K24" s="46">
        <v>0.66</v>
      </c>
      <c r="L24" s="2">
        <f t="shared" si="4"/>
        <v>0.180456064458131</v>
      </c>
      <c r="T24" s="45">
        <v>1</v>
      </c>
      <c r="U24" s="46">
        <v>0.66</v>
      </c>
      <c r="V24" s="46">
        <f t="shared" si="1"/>
        <v>1</v>
      </c>
      <c r="W24" s="2">
        <f t="shared" si="2"/>
        <v>1</v>
      </c>
      <c r="X24" s="2">
        <f t="shared" si="3"/>
        <v>1</v>
      </c>
      <c r="Y24" s="2">
        <f t="shared" si="0"/>
        <v>0</v>
      </c>
    </row>
    <row r="25" spans="1:25">
      <c r="A25" s="45">
        <v>1</v>
      </c>
      <c r="B25" s="46">
        <v>0.7</v>
      </c>
      <c r="C25" s="46">
        <v>1</v>
      </c>
      <c r="D25" s="47"/>
      <c r="E25" s="45" t="s">
        <v>15</v>
      </c>
      <c r="F25" s="46" t="s">
        <v>15</v>
      </c>
      <c r="G25" s="2">
        <f t="array" ref="G25">_xlfn.IFS(E25=F25,1)</f>
        <v>1</v>
      </c>
      <c r="H25" s="2"/>
      <c r="J25" s="45">
        <v>1</v>
      </c>
      <c r="K25" s="46">
        <v>0.7</v>
      </c>
      <c r="L25" s="2">
        <f t="shared" si="4"/>
        <v>0.154901959985743</v>
      </c>
      <c r="T25" s="45">
        <v>1</v>
      </c>
      <c r="U25" s="46">
        <v>0.7</v>
      </c>
      <c r="V25" s="46">
        <f t="shared" si="1"/>
        <v>1</v>
      </c>
      <c r="W25" s="2">
        <f t="shared" si="2"/>
        <v>1</v>
      </c>
      <c r="X25" s="2">
        <f t="shared" si="3"/>
        <v>1</v>
      </c>
      <c r="Y25" s="2">
        <f t="shared" si="0"/>
        <v>0</v>
      </c>
    </row>
    <row r="26" spans="1:25">
      <c r="A26" s="45">
        <v>1</v>
      </c>
      <c r="B26" s="46">
        <v>0.82</v>
      </c>
      <c r="C26" s="46">
        <v>1</v>
      </c>
      <c r="D26" s="47"/>
      <c r="E26" s="45" t="s">
        <v>15</v>
      </c>
      <c r="F26" s="46" t="s">
        <v>15</v>
      </c>
      <c r="G26" s="2">
        <f t="array" ref="G26">_xlfn.IFS(E26=F26,1)</f>
        <v>1</v>
      </c>
      <c r="H26" s="2"/>
      <c r="J26" s="45">
        <v>1</v>
      </c>
      <c r="K26" s="46">
        <v>0.82</v>
      </c>
      <c r="L26" s="2">
        <f t="shared" si="4"/>
        <v>0.0861861476162833</v>
      </c>
      <c r="T26" s="45">
        <v>1</v>
      </c>
      <c r="U26" s="46">
        <v>0.82</v>
      </c>
      <c r="V26" s="46">
        <f t="shared" si="1"/>
        <v>1</v>
      </c>
      <c r="W26" s="2">
        <f t="shared" si="2"/>
        <v>1</v>
      </c>
      <c r="X26" s="2">
        <f t="shared" si="3"/>
        <v>1</v>
      </c>
      <c r="Y26" s="2">
        <f t="shared" si="0"/>
        <v>1</v>
      </c>
    </row>
    <row r="27" spans="1:25">
      <c r="A27" s="45">
        <v>1</v>
      </c>
      <c r="B27" s="46">
        <v>0.52</v>
      </c>
      <c r="C27" s="46">
        <v>1</v>
      </c>
      <c r="D27" s="47"/>
      <c r="E27" s="45" t="s">
        <v>15</v>
      </c>
      <c r="F27" s="46" t="s">
        <v>16</v>
      </c>
      <c r="G27" s="2" t="e">
        <f t="array" ref="G27">_xlfn.IFS(E27=F27,1)</f>
        <v>#N/A</v>
      </c>
      <c r="H27" s="2"/>
      <c r="J27" s="45">
        <v>1</v>
      </c>
      <c r="K27" s="46">
        <v>0.52</v>
      </c>
      <c r="L27" s="2">
        <f t="shared" si="4"/>
        <v>0.283996656365201</v>
      </c>
      <c r="T27" s="45">
        <v>1</v>
      </c>
      <c r="U27" s="46">
        <v>0.52</v>
      </c>
      <c r="V27" s="46">
        <f t="shared" si="1"/>
        <v>1</v>
      </c>
      <c r="W27" s="2">
        <f t="shared" si="2"/>
        <v>1</v>
      </c>
      <c r="X27" s="2">
        <f t="shared" si="3"/>
        <v>1</v>
      </c>
      <c r="Y27" s="2">
        <f t="shared" si="0"/>
        <v>0</v>
      </c>
    </row>
    <row r="28" spans="1:25">
      <c r="A28" s="45">
        <v>0</v>
      </c>
      <c r="B28" s="46">
        <v>0.38</v>
      </c>
      <c r="C28" s="46"/>
      <c r="D28" s="47"/>
      <c r="E28" s="45" t="s">
        <v>16</v>
      </c>
      <c r="F28" s="46" t="s">
        <v>15</v>
      </c>
      <c r="G28" s="2" t="e">
        <f t="array" ref="G28">_xlfn.IFS(E28=F28,1)</f>
        <v>#N/A</v>
      </c>
      <c r="H28" s="2"/>
      <c r="J28" s="45">
        <v>0</v>
      </c>
      <c r="K28" s="46">
        <v>0.38</v>
      </c>
      <c r="L28" s="2">
        <f t="shared" si="4"/>
        <v>0.207608310501746</v>
      </c>
      <c r="T28" s="45">
        <v>0</v>
      </c>
      <c r="U28" s="46">
        <v>0.38</v>
      </c>
      <c r="V28" s="46">
        <f t="shared" si="1"/>
        <v>1</v>
      </c>
      <c r="W28" s="2">
        <f t="shared" si="2"/>
        <v>1</v>
      </c>
      <c r="X28" s="2">
        <f t="shared" si="3"/>
        <v>0</v>
      </c>
      <c r="Y28" s="2">
        <f t="shared" si="0"/>
        <v>0</v>
      </c>
    </row>
    <row r="29" spans="1:25">
      <c r="A29" s="45">
        <v>1</v>
      </c>
      <c r="B29" s="46">
        <v>0.65</v>
      </c>
      <c r="C29" s="46">
        <v>1</v>
      </c>
      <c r="D29" s="47"/>
      <c r="E29" s="45" t="s">
        <v>15</v>
      </c>
      <c r="F29" s="46" t="s">
        <v>15</v>
      </c>
      <c r="G29" s="2">
        <f t="array" ref="G29">_xlfn.IFS(E29=F29,1)</f>
        <v>1</v>
      </c>
      <c r="H29" s="2"/>
      <c r="J29" s="45">
        <v>1</v>
      </c>
      <c r="K29" s="46">
        <v>0.65</v>
      </c>
      <c r="L29" s="2">
        <f t="shared" si="4"/>
        <v>0.187086643357144</v>
      </c>
      <c r="T29" s="45">
        <v>1</v>
      </c>
      <c r="U29" s="46">
        <v>0.65</v>
      </c>
      <c r="V29" s="46">
        <f t="shared" si="1"/>
        <v>1</v>
      </c>
      <c r="W29" s="2">
        <f t="shared" si="2"/>
        <v>1</v>
      </c>
      <c r="X29" s="2">
        <f t="shared" si="3"/>
        <v>1</v>
      </c>
      <c r="Y29" s="2">
        <f t="shared" si="0"/>
        <v>0</v>
      </c>
    </row>
    <row r="30" spans="1:25">
      <c r="A30" s="45">
        <v>1</v>
      </c>
      <c r="B30" s="46">
        <v>0.42</v>
      </c>
      <c r="C30" s="46"/>
      <c r="D30" s="47"/>
      <c r="E30" s="45" t="s">
        <v>15</v>
      </c>
      <c r="F30" s="46" t="s">
        <v>15</v>
      </c>
      <c r="G30" s="2">
        <f t="array" ref="G30">_xlfn.IFS(E30=F30,1)</f>
        <v>1</v>
      </c>
      <c r="H30" s="2"/>
      <c r="J30" s="45">
        <v>1</v>
      </c>
      <c r="K30" s="46">
        <v>0.42</v>
      </c>
      <c r="L30" s="2">
        <f t="shared" si="4"/>
        <v>0.3767507096021</v>
      </c>
      <c r="T30" s="45">
        <v>1</v>
      </c>
      <c r="U30" s="46">
        <v>0.42</v>
      </c>
      <c r="V30" s="46">
        <f t="shared" si="1"/>
        <v>1</v>
      </c>
      <c r="W30" s="2">
        <f t="shared" si="2"/>
        <v>1</v>
      </c>
      <c r="X30" s="2">
        <f t="shared" si="3"/>
        <v>0</v>
      </c>
      <c r="Y30" s="2">
        <f t="shared" si="0"/>
        <v>0</v>
      </c>
    </row>
    <row r="31" spans="1:25">
      <c r="A31" s="45">
        <v>1</v>
      </c>
      <c r="B31" s="46">
        <v>0.79</v>
      </c>
      <c r="C31" s="46">
        <v>1</v>
      </c>
      <c r="D31" s="47"/>
      <c r="E31" s="45" t="s">
        <v>15</v>
      </c>
      <c r="F31" s="46" t="s">
        <v>15</v>
      </c>
      <c r="G31" s="2">
        <f t="array" ref="G31">_xlfn.IFS(E31=F31,1)</f>
        <v>1</v>
      </c>
      <c r="H31" s="2"/>
      <c r="J31" s="45">
        <v>1</v>
      </c>
      <c r="K31" s="46">
        <v>0.79</v>
      </c>
      <c r="L31" s="2">
        <f t="shared" si="4"/>
        <v>0.102372908709559</v>
      </c>
      <c r="T31" s="45">
        <v>1</v>
      </c>
      <c r="U31" s="46">
        <v>0.79</v>
      </c>
      <c r="V31" s="46">
        <f t="shared" si="1"/>
        <v>1</v>
      </c>
      <c r="W31" s="2">
        <f t="shared" si="2"/>
        <v>1</v>
      </c>
      <c r="X31" s="2">
        <f t="shared" si="3"/>
        <v>1</v>
      </c>
      <c r="Y31" s="2">
        <f t="shared" si="0"/>
        <v>0</v>
      </c>
    </row>
    <row r="32" spans="1:25">
      <c r="A32" s="45">
        <v>0</v>
      </c>
      <c r="B32" s="46">
        <v>0.61</v>
      </c>
      <c r="C32" s="46">
        <v>1</v>
      </c>
      <c r="D32" s="47"/>
      <c r="E32" s="45" t="s">
        <v>16</v>
      </c>
      <c r="F32" s="46" t="s">
        <v>16</v>
      </c>
      <c r="G32" s="2">
        <f t="array" ref="G32">_xlfn.IFS(E32=F32,1)</f>
        <v>1</v>
      </c>
      <c r="H32" s="2"/>
      <c r="J32" s="45">
        <v>0</v>
      </c>
      <c r="K32" s="46">
        <v>0.61</v>
      </c>
      <c r="L32" s="2">
        <f t="shared" si="4"/>
        <v>0.408935392973501</v>
      </c>
      <c r="T32" s="45">
        <v>0</v>
      </c>
      <c r="U32" s="46">
        <v>0.61</v>
      </c>
      <c r="V32" s="46">
        <f t="shared" si="1"/>
        <v>1</v>
      </c>
      <c r="W32" s="2">
        <f t="shared" si="2"/>
        <v>1</v>
      </c>
      <c r="X32" s="2">
        <f t="shared" si="3"/>
        <v>1</v>
      </c>
      <c r="Y32" s="2">
        <f t="shared" si="0"/>
        <v>0</v>
      </c>
    </row>
    <row r="33" spans="1:25">
      <c r="A33" s="45">
        <v>0</v>
      </c>
      <c r="B33" s="46">
        <v>0.35</v>
      </c>
      <c r="C33" s="46"/>
      <c r="D33" s="47"/>
      <c r="E33" s="45" t="s">
        <v>16</v>
      </c>
      <c r="F33" s="46" t="s">
        <v>16</v>
      </c>
      <c r="G33" s="2">
        <f t="array" ref="G33">_xlfn.IFS(E33=F33,1)</f>
        <v>1</v>
      </c>
      <c r="H33" s="2"/>
      <c r="J33" s="45">
        <v>0</v>
      </c>
      <c r="K33" s="46">
        <v>0.35</v>
      </c>
      <c r="L33" s="2">
        <f t="shared" si="4"/>
        <v>0.187086643357144</v>
      </c>
      <c r="O33" s="52" t="s">
        <v>34</v>
      </c>
      <c r="T33" s="45">
        <v>0</v>
      </c>
      <c r="U33" s="46">
        <v>0.35</v>
      </c>
      <c r="V33" s="46">
        <f t="shared" si="1"/>
        <v>1</v>
      </c>
      <c r="W33" s="2">
        <f t="shared" si="2"/>
        <v>1</v>
      </c>
      <c r="X33" s="2">
        <f t="shared" si="3"/>
        <v>0</v>
      </c>
      <c r="Y33" s="2">
        <f t="shared" si="0"/>
        <v>0</v>
      </c>
    </row>
    <row r="34" spans="1:25">
      <c r="A34" s="45">
        <v>0</v>
      </c>
      <c r="B34" s="46">
        <v>0.17</v>
      </c>
      <c r="C34" s="46"/>
      <c r="D34" s="47"/>
      <c r="E34" s="45" t="s">
        <v>16</v>
      </c>
      <c r="F34" s="46" t="s">
        <v>16</v>
      </c>
      <c r="G34" s="2">
        <f t="array" ref="G34">_xlfn.IFS(E34=F34,1)</f>
        <v>1</v>
      </c>
      <c r="H34" s="2"/>
      <c r="J34" s="45">
        <v>0</v>
      </c>
      <c r="K34" s="46">
        <v>0.17</v>
      </c>
      <c r="L34" s="2">
        <f t="shared" si="4"/>
        <v>0.0809219076239261</v>
      </c>
      <c r="T34" s="45">
        <v>0</v>
      </c>
      <c r="U34" s="46">
        <v>0.17</v>
      </c>
      <c r="V34" s="46">
        <f t="shared" si="1"/>
        <v>1</v>
      </c>
      <c r="W34" s="2">
        <f t="shared" si="2"/>
        <v>0</v>
      </c>
      <c r="X34" s="2">
        <f t="shared" si="3"/>
        <v>0</v>
      </c>
      <c r="Y34" s="2">
        <f t="shared" si="0"/>
        <v>0</v>
      </c>
    </row>
    <row r="35" spans="1:25">
      <c r="A35" s="45">
        <v>1</v>
      </c>
      <c r="B35" s="46">
        <v>0.77</v>
      </c>
      <c r="C35" s="46">
        <v>1</v>
      </c>
      <c r="D35" s="47"/>
      <c r="E35" s="45" t="s">
        <v>15</v>
      </c>
      <c r="F35" s="46" t="s">
        <v>15</v>
      </c>
      <c r="G35" s="2">
        <f t="array" ref="G35">_xlfn.IFS(E35=F35,1)</f>
        <v>1</v>
      </c>
      <c r="H35" s="2"/>
      <c r="J35" s="45">
        <v>1</v>
      </c>
      <c r="K35" s="46">
        <v>0.77</v>
      </c>
      <c r="L35" s="2">
        <f t="shared" si="4"/>
        <v>0.113509274827518</v>
      </c>
      <c r="T35" s="45">
        <v>1</v>
      </c>
      <c r="U35" s="46">
        <v>0.77</v>
      </c>
      <c r="V35" s="46">
        <f t="shared" si="1"/>
        <v>1</v>
      </c>
      <c r="W35" s="2">
        <f t="shared" si="2"/>
        <v>1</v>
      </c>
      <c r="X35" s="2">
        <f t="shared" si="3"/>
        <v>1</v>
      </c>
      <c r="Y35" s="2">
        <f t="shared" si="0"/>
        <v>0</v>
      </c>
    </row>
    <row r="36" spans="1:25">
      <c r="A36" s="45">
        <v>1</v>
      </c>
      <c r="B36" s="46">
        <v>0.44</v>
      </c>
      <c r="C36" s="46"/>
      <c r="D36" s="47"/>
      <c r="E36" s="45" t="s">
        <v>15</v>
      </c>
      <c r="F36" s="46" t="s">
        <v>15</v>
      </c>
      <c r="G36" s="2">
        <f t="array" ref="G36">_xlfn.IFS(E36=F36,1)</f>
        <v>1</v>
      </c>
      <c r="H36" s="2"/>
      <c r="J36" s="45">
        <v>1</v>
      </c>
      <c r="K36" s="46">
        <v>0.44</v>
      </c>
      <c r="L36" s="2">
        <f t="shared" si="4"/>
        <v>0.356547323513813</v>
      </c>
      <c r="T36" s="45">
        <v>1</v>
      </c>
      <c r="U36" s="46">
        <v>0.44</v>
      </c>
      <c r="V36" s="46">
        <f t="shared" si="1"/>
        <v>1</v>
      </c>
      <c r="W36" s="2">
        <f t="shared" si="2"/>
        <v>1</v>
      </c>
      <c r="X36" s="2">
        <f t="shared" si="3"/>
        <v>0</v>
      </c>
      <c r="Y36" s="2">
        <f t="shared" si="0"/>
        <v>0</v>
      </c>
    </row>
    <row r="37" spans="1:25">
      <c r="A37" s="45">
        <v>1</v>
      </c>
      <c r="B37" s="46">
        <v>0.19</v>
      </c>
      <c r="C37" s="46"/>
      <c r="D37" s="47"/>
      <c r="E37" s="45" t="s">
        <v>15</v>
      </c>
      <c r="F37" s="46" t="s">
        <v>15</v>
      </c>
      <c r="G37" s="2">
        <f t="array" ref="G37">_xlfn.IFS(E37=F37,1)</f>
        <v>1</v>
      </c>
      <c r="H37" s="2"/>
      <c r="J37" s="45">
        <v>1</v>
      </c>
      <c r="K37" s="46">
        <v>0.19</v>
      </c>
      <c r="L37" s="2">
        <f t="shared" si="4"/>
        <v>0.721246399047171</v>
      </c>
      <c r="T37" s="45">
        <v>1</v>
      </c>
      <c r="U37" s="46">
        <v>0.19</v>
      </c>
      <c r="V37" s="46">
        <f t="shared" si="1"/>
        <v>1</v>
      </c>
      <c r="W37" s="2">
        <f t="shared" si="2"/>
        <v>0</v>
      </c>
      <c r="X37" s="2">
        <f t="shared" si="3"/>
        <v>0</v>
      </c>
      <c r="Y37" s="2">
        <f t="shared" si="0"/>
        <v>0</v>
      </c>
    </row>
    <row r="38" spans="1:25">
      <c r="A38" s="45">
        <v>1</v>
      </c>
      <c r="B38" s="46">
        <v>0.92</v>
      </c>
      <c r="C38" s="46">
        <v>1</v>
      </c>
      <c r="D38" s="47"/>
      <c r="E38" s="45" t="s">
        <v>15</v>
      </c>
      <c r="F38" s="46" t="s">
        <v>15</v>
      </c>
      <c r="G38" s="2">
        <f t="array" ref="G38">_xlfn.IFS(E38=F38,1)</f>
        <v>1</v>
      </c>
      <c r="H38" s="2"/>
      <c r="J38" s="45">
        <v>1</v>
      </c>
      <c r="K38" s="46">
        <v>0.92</v>
      </c>
      <c r="L38" s="2">
        <f t="shared" si="4"/>
        <v>0.0362121726544447</v>
      </c>
      <c r="O38" s="52" t="s">
        <v>35</v>
      </c>
      <c r="T38" s="45">
        <v>1</v>
      </c>
      <c r="U38" s="46">
        <v>0.92</v>
      </c>
      <c r="V38" s="46">
        <f t="shared" si="1"/>
        <v>1</v>
      </c>
      <c r="W38" s="2">
        <f t="shared" si="2"/>
        <v>1</v>
      </c>
      <c r="X38" s="2">
        <f t="shared" si="3"/>
        <v>1</v>
      </c>
      <c r="Y38" s="2">
        <f t="shared" si="0"/>
        <v>1</v>
      </c>
    </row>
    <row r="39" spans="1:25">
      <c r="A39" s="45">
        <v>1</v>
      </c>
      <c r="B39" s="46">
        <v>0.45</v>
      </c>
      <c r="C39" s="46"/>
      <c r="D39" s="47"/>
      <c r="E39" s="45" t="s">
        <v>15</v>
      </c>
      <c r="F39" s="46" t="s">
        <v>15</v>
      </c>
      <c r="G39" s="2">
        <f t="array" ref="G39">_xlfn.IFS(E39=F39,1)</f>
        <v>1</v>
      </c>
      <c r="H39" s="2"/>
      <c r="J39" s="45">
        <v>1</v>
      </c>
      <c r="K39" s="46">
        <v>0.45</v>
      </c>
      <c r="L39" s="2">
        <f t="shared" si="4"/>
        <v>0.346787486224656</v>
      </c>
      <c r="T39" s="45">
        <v>1</v>
      </c>
      <c r="U39" s="46">
        <v>0.45</v>
      </c>
      <c r="V39" s="46">
        <f t="shared" si="1"/>
        <v>1</v>
      </c>
      <c r="W39" s="2">
        <f t="shared" si="2"/>
        <v>1</v>
      </c>
      <c r="X39" s="2">
        <f t="shared" si="3"/>
        <v>0</v>
      </c>
      <c r="Y39" s="2">
        <f t="shared" si="0"/>
        <v>0</v>
      </c>
    </row>
    <row r="40" spans="1:25">
      <c r="A40" s="45">
        <v>1</v>
      </c>
      <c r="B40" s="46">
        <v>0.54</v>
      </c>
      <c r="C40" s="46">
        <v>1</v>
      </c>
      <c r="D40" s="47"/>
      <c r="E40" s="45" t="s">
        <v>15</v>
      </c>
      <c r="F40" s="46" t="s">
        <v>15</v>
      </c>
      <c r="G40" s="2">
        <f t="array" ref="G40">_xlfn.IFS(E40=F40,1)</f>
        <v>1</v>
      </c>
      <c r="H40" s="2"/>
      <c r="J40" s="45">
        <v>1</v>
      </c>
      <c r="K40" s="46">
        <v>0.54</v>
      </c>
      <c r="L40" s="2">
        <f t="shared" si="4"/>
        <v>0.267606240177031</v>
      </c>
      <c r="T40" s="45">
        <v>1</v>
      </c>
      <c r="U40" s="46">
        <v>0.54</v>
      </c>
      <c r="V40" s="46">
        <f t="shared" si="1"/>
        <v>1</v>
      </c>
      <c r="W40" s="2">
        <f t="shared" si="2"/>
        <v>1</v>
      </c>
      <c r="X40" s="2">
        <f t="shared" si="3"/>
        <v>1</v>
      </c>
      <c r="Y40" s="2">
        <f t="shared" si="0"/>
        <v>0</v>
      </c>
    </row>
    <row r="41" spans="1:25">
      <c r="A41" s="45">
        <v>1</v>
      </c>
      <c r="B41" s="46">
        <v>0.83</v>
      </c>
      <c r="C41" s="46">
        <v>1</v>
      </c>
      <c r="D41" s="47"/>
      <c r="E41" s="45" t="s">
        <v>15</v>
      </c>
      <c r="F41" s="46" t="s">
        <v>15</v>
      </c>
      <c r="G41" s="2">
        <f t="array" ref="G41">_xlfn.IFS(E41=F41,1)</f>
        <v>1</v>
      </c>
      <c r="H41" s="2"/>
      <c r="J41" s="45">
        <v>1</v>
      </c>
      <c r="K41" s="46">
        <v>0.83</v>
      </c>
      <c r="L41" s="2">
        <f t="shared" si="4"/>
        <v>0.0809219076239261</v>
      </c>
      <c r="T41" s="45">
        <v>1</v>
      </c>
      <c r="U41" s="46">
        <v>0.83</v>
      </c>
      <c r="V41" s="46">
        <f t="shared" si="1"/>
        <v>1</v>
      </c>
      <c r="W41" s="2">
        <f t="shared" si="2"/>
        <v>1</v>
      </c>
      <c r="X41" s="2">
        <f t="shared" si="3"/>
        <v>1</v>
      </c>
      <c r="Y41" s="2">
        <f t="shared" si="0"/>
        <v>1</v>
      </c>
    </row>
    <row r="42" spans="1:25">
      <c r="A42" s="45">
        <v>1</v>
      </c>
      <c r="B42" s="46">
        <v>0.15</v>
      </c>
      <c r="C42" s="46"/>
      <c r="D42" s="47"/>
      <c r="E42" s="45" t="s">
        <v>15</v>
      </c>
      <c r="F42" s="46" t="s">
        <v>16</v>
      </c>
      <c r="G42" s="2" t="e">
        <f t="array" ref="G42">_xlfn.IFS(E42=F42,1)</f>
        <v>#N/A</v>
      </c>
      <c r="H42" s="2"/>
      <c r="J42" s="45">
        <v>1</v>
      </c>
      <c r="K42" s="46">
        <v>0.15</v>
      </c>
      <c r="L42" s="2">
        <f t="shared" si="4"/>
        <v>0.823908740944319</v>
      </c>
      <c r="T42" s="45">
        <v>1</v>
      </c>
      <c r="U42" s="46">
        <v>0.15</v>
      </c>
      <c r="V42" s="46">
        <f t="shared" si="1"/>
        <v>1</v>
      </c>
      <c r="W42" s="2">
        <f t="shared" si="2"/>
        <v>0</v>
      </c>
      <c r="X42" s="2">
        <f t="shared" si="3"/>
        <v>0</v>
      </c>
      <c r="Y42" s="2">
        <f t="shared" si="0"/>
        <v>0</v>
      </c>
    </row>
    <row r="43" spans="1:25">
      <c r="A43" s="45">
        <v>0</v>
      </c>
      <c r="B43" s="46">
        <v>0.85</v>
      </c>
      <c r="C43" s="46">
        <v>1</v>
      </c>
      <c r="D43" s="47"/>
      <c r="E43" s="45" t="s">
        <v>16</v>
      </c>
      <c r="F43" s="46" t="s">
        <v>16</v>
      </c>
      <c r="G43" s="2">
        <f t="array" ref="G43">_xlfn.IFS(E43=F43,1)</f>
        <v>1</v>
      </c>
      <c r="H43" s="2"/>
      <c r="J43" s="45">
        <v>0</v>
      </c>
      <c r="K43" s="46">
        <v>0.85</v>
      </c>
      <c r="L43" s="2">
        <f t="shared" si="4"/>
        <v>0.823908740944319</v>
      </c>
      <c r="T43" s="45">
        <v>0</v>
      </c>
      <c r="U43" s="46">
        <v>0.85</v>
      </c>
      <c r="V43" s="46">
        <f t="shared" si="1"/>
        <v>1</v>
      </c>
      <c r="W43" s="2">
        <f t="shared" si="2"/>
        <v>1</v>
      </c>
      <c r="X43" s="2">
        <f t="shared" si="3"/>
        <v>1</v>
      </c>
      <c r="Y43" s="2">
        <f t="shared" si="0"/>
        <v>1</v>
      </c>
    </row>
    <row r="44" spans="1:25">
      <c r="A44" s="45">
        <v>1</v>
      </c>
      <c r="B44" s="46">
        <v>0.16</v>
      </c>
      <c r="C44" s="46"/>
      <c r="D44" s="47"/>
      <c r="E44" s="45" t="s">
        <v>15</v>
      </c>
      <c r="F44" s="46" t="s">
        <v>15</v>
      </c>
      <c r="G44" s="2">
        <f t="array" ref="G44">_xlfn.IFS(E44=F44,1)</f>
        <v>1</v>
      </c>
      <c r="H44" s="2"/>
      <c r="J44" s="45">
        <v>1</v>
      </c>
      <c r="K44" s="46">
        <v>0.16</v>
      </c>
      <c r="L44" s="2">
        <f t="shared" si="4"/>
        <v>0.795880017344075</v>
      </c>
      <c r="T44" s="45">
        <v>1</v>
      </c>
      <c r="U44" s="46">
        <v>0.16</v>
      </c>
      <c r="V44" s="46">
        <f t="shared" si="1"/>
        <v>1</v>
      </c>
      <c r="W44" s="2">
        <f t="shared" si="2"/>
        <v>0</v>
      </c>
      <c r="X44" s="2">
        <f t="shared" si="3"/>
        <v>0</v>
      </c>
      <c r="Y44" s="2">
        <f t="shared" si="0"/>
        <v>0</v>
      </c>
    </row>
    <row r="45" spans="1:25">
      <c r="A45" s="45">
        <v>1</v>
      </c>
      <c r="B45" s="46">
        <v>0.72</v>
      </c>
      <c r="C45" s="46">
        <v>1</v>
      </c>
      <c r="D45" s="47"/>
      <c r="E45" s="45" t="s">
        <v>15</v>
      </c>
      <c r="F45" s="46" t="s">
        <v>15</v>
      </c>
      <c r="G45" s="2">
        <f t="array" ref="G45">_xlfn.IFS(E45=F45,1)</f>
        <v>1</v>
      </c>
      <c r="H45" s="2"/>
      <c r="J45" s="45">
        <v>1</v>
      </c>
      <c r="K45" s="46">
        <v>0.72</v>
      </c>
      <c r="L45" s="2">
        <f t="shared" si="4"/>
        <v>0.142667503568732</v>
      </c>
      <c r="T45" s="45">
        <v>1</v>
      </c>
      <c r="U45" s="46">
        <v>0.72</v>
      </c>
      <c r="V45" s="46">
        <f t="shared" si="1"/>
        <v>1</v>
      </c>
      <c r="W45" s="2">
        <f t="shared" si="2"/>
        <v>1</v>
      </c>
      <c r="X45" s="2">
        <f t="shared" si="3"/>
        <v>1</v>
      </c>
      <c r="Y45" s="2">
        <f t="shared" si="0"/>
        <v>0</v>
      </c>
    </row>
    <row r="46" spans="1:25">
      <c r="A46" s="45">
        <v>1</v>
      </c>
      <c r="B46" s="46">
        <v>0.58</v>
      </c>
      <c r="C46" s="46">
        <v>1</v>
      </c>
      <c r="D46" s="47"/>
      <c r="E46" s="45" t="s">
        <v>15</v>
      </c>
      <c r="F46" s="46" t="s">
        <v>15</v>
      </c>
      <c r="G46" s="2">
        <f t="array" ref="G46">_xlfn.IFS(E46=F46,1)</f>
        <v>1</v>
      </c>
      <c r="H46" s="2"/>
      <c r="J46" s="45">
        <v>1</v>
      </c>
      <c r="K46" s="46">
        <v>0.58</v>
      </c>
      <c r="L46" s="2">
        <f t="shared" si="4"/>
        <v>0.236572006437063</v>
      </c>
      <c r="T46" s="45">
        <v>1</v>
      </c>
      <c r="U46" s="46">
        <v>0.58</v>
      </c>
      <c r="V46" s="46">
        <f t="shared" si="1"/>
        <v>1</v>
      </c>
      <c r="W46" s="2">
        <f t="shared" si="2"/>
        <v>1</v>
      </c>
      <c r="X46" s="2">
        <f t="shared" si="3"/>
        <v>1</v>
      </c>
      <c r="Y46" s="2">
        <f t="shared" si="0"/>
        <v>0</v>
      </c>
    </row>
    <row r="47" spans="1:25">
      <c r="A47" s="45">
        <v>1</v>
      </c>
      <c r="B47" s="46">
        <v>0.4</v>
      </c>
      <c r="C47" s="46"/>
      <c r="D47" s="47"/>
      <c r="E47" s="45" t="s">
        <v>15</v>
      </c>
      <c r="F47" s="46" t="s">
        <v>15</v>
      </c>
      <c r="G47" s="2">
        <f t="array" ref="G47">_xlfn.IFS(E47=F47,1)</f>
        <v>1</v>
      </c>
      <c r="H47" s="2"/>
      <c r="J47" s="45">
        <v>1</v>
      </c>
      <c r="K47" s="46">
        <v>0.4</v>
      </c>
      <c r="L47" s="2">
        <f t="shared" si="4"/>
        <v>0.397940008672038</v>
      </c>
      <c r="T47" s="45">
        <v>1</v>
      </c>
      <c r="U47" s="46">
        <v>0.4</v>
      </c>
      <c r="V47" s="46">
        <f t="shared" si="1"/>
        <v>1</v>
      </c>
      <c r="W47" s="2">
        <f t="shared" si="2"/>
        <v>1</v>
      </c>
      <c r="X47" s="2">
        <f t="shared" si="3"/>
        <v>0</v>
      </c>
      <c r="Y47" s="2">
        <f t="shared" si="0"/>
        <v>0</v>
      </c>
    </row>
    <row r="48" spans="1:25">
      <c r="A48" s="45">
        <v>0</v>
      </c>
      <c r="B48" s="46">
        <v>0.62</v>
      </c>
      <c r="C48" s="46">
        <v>1</v>
      </c>
      <c r="D48" s="47"/>
      <c r="E48" s="45" t="s">
        <v>16</v>
      </c>
      <c r="F48" s="46" t="s">
        <v>16</v>
      </c>
      <c r="G48" s="2">
        <f t="array" ref="G48">_xlfn.IFS(E48=F48,1)</f>
        <v>1</v>
      </c>
      <c r="H48" s="2"/>
      <c r="J48" s="45">
        <v>0</v>
      </c>
      <c r="K48" s="46">
        <v>0.62</v>
      </c>
      <c r="L48" s="2">
        <f t="shared" si="4"/>
        <v>0.42021640338319</v>
      </c>
      <c r="T48" s="45">
        <v>0</v>
      </c>
      <c r="U48" s="46">
        <v>0.62</v>
      </c>
      <c r="V48" s="46">
        <f t="shared" si="1"/>
        <v>1</v>
      </c>
      <c r="W48" s="2">
        <f t="shared" si="2"/>
        <v>1</v>
      </c>
      <c r="X48" s="2">
        <f t="shared" si="3"/>
        <v>1</v>
      </c>
      <c r="Y48" s="2">
        <f t="shared" si="0"/>
        <v>0</v>
      </c>
    </row>
    <row r="49" spans="1:25">
      <c r="A49" s="45">
        <v>1</v>
      </c>
      <c r="B49" s="46">
        <v>0.56</v>
      </c>
      <c r="C49" s="46">
        <v>1</v>
      </c>
      <c r="D49" s="47"/>
      <c r="E49" s="45" t="s">
        <v>15</v>
      </c>
      <c r="F49" s="46" t="s">
        <v>15</v>
      </c>
      <c r="G49" s="2" cm="1">
        <f t="array" ref="G49">_xlfn.IFS(E49=F49,1)</f>
        <v>1</v>
      </c>
      <c r="H49" s="2"/>
      <c r="J49" s="45">
        <v>1</v>
      </c>
      <c r="K49" s="46">
        <v>0.56</v>
      </c>
      <c r="L49" s="2">
        <f t="shared" si="4"/>
        <v>0.2518119729938</v>
      </c>
      <c r="T49" s="45">
        <v>1</v>
      </c>
      <c r="U49" s="46">
        <v>0.56</v>
      </c>
      <c r="V49" s="46">
        <f t="shared" si="1"/>
        <v>1</v>
      </c>
      <c r="W49" s="2">
        <f t="shared" si="2"/>
        <v>1</v>
      </c>
      <c r="X49" s="2">
        <f t="shared" si="3"/>
        <v>1</v>
      </c>
      <c r="Y49" s="2">
        <f t="shared" si="0"/>
        <v>0</v>
      </c>
    </row>
    <row r="50" spans="1:25">
      <c r="A50" s="45">
        <v>0</v>
      </c>
      <c r="B50" s="46">
        <v>0.67</v>
      </c>
      <c r="C50" s="46">
        <v>1</v>
      </c>
      <c r="D50" s="47"/>
      <c r="E50" s="45" t="s">
        <v>16</v>
      </c>
      <c r="F50" s="46" t="s">
        <v>16</v>
      </c>
      <c r="G50" s="2">
        <f t="array" ref="G50">_xlfn.IFS(E50=F50,1)</f>
        <v>1</v>
      </c>
      <c r="H50" s="2"/>
      <c r="J50" s="45">
        <v>0</v>
      </c>
      <c r="K50" s="46">
        <v>0.67</v>
      </c>
      <c r="L50" s="2">
        <f t="shared" si="4"/>
        <v>0.481486060122113</v>
      </c>
      <c r="T50" s="45">
        <v>0</v>
      </c>
      <c r="U50" s="46">
        <v>0.67</v>
      </c>
      <c r="V50" s="46">
        <f t="shared" si="1"/>
        <v>1</v>
      </c>
      <c r="W50" s="2">
        <f t="shared" si="2"/>
        <v>1</v>
      </c>
      <c r="X50" s="2">
        <f t="shared" si="3"/>
        <v>1</v>
      </c>
      <c r="Y50" s="2">
        <f t="shared" si="0"/>
        <v>0</v>
      </c>
    </row>
    <row r="51" spans="1:25">
      <c r="A51" s="45">
        <v>1</v>
      </c>
      <c r="B51" s="46">
        <v>0.85</v>
      </c>
      <c r="C51" s="46">
        <v>1</v>
      </c>
      <c r="D51" s="47"/>
      <c r="E51" s="45" t="s">
        <v>15</v>
      </c>
      <c r="F51" s="46" t="s">
        <v>15</v>
      </c>
      <c r="G51" s="2">
        <f t="array" ref="G51">_xlfn.IFS(E51=F51,1)</f>
        <v>1</v>
      </c>
      <c r="H51" s="2"/>
      <c r="J51" s="45">
        <v>1</v>
      </c>
      <c r="K51" s="46">
        <v>0.85</v>
      </c>
      <c r="L51" s="2">
        <f t="shared" si="4"/>
        <v>0.0705810742857073</v>
      </c>
      <c r="T51" s="45">
        <v>1</v>
      </c>
      <c r="U51" s="46">
        <v>0.85</v>
      </c>
      <c r="V51" s="46">
        <f t="shared" si="1"/>
        <v>1</v>
      </c>
      <c r="W51" s="2">
        <f t="shared" si="2"/>
        <v>1</v>
      </c>
      <c r="X51" s="2">
        <f t="shared" si="3"/>
        <v>1</v>
      </c>
      <c r="Y51" s="2">
        <f t="shared" si="0"/>
        <v>1</v>
      </c>
    </row>
    <row r="52" spans="1:25">
      <c r="A52" s="45">
        <v>1</v>
      </c>
      <c r="B52" s="46">
        <v>0.21</v>
      </c>
      <c r="C52" s="46"/>
      <c r="D52" s="47"/>
      <c r="E52" s="45" t="s">
        <v>15</v>
      </c>
      <c r="F52" s="46" t="s">
        <v>15</v>
      </c>
      <c r="G52" s="2">
        <f t="array" ref="G52">_xlfn.IFS(E52=F52,1)</f>
        <v>1</v>
      </c>
      <c r="H52" s="2"/>
      <c r="J52" s="45">
        <v>1</v>
      </c>
      <c r="K52" s="46">
        <v>0.21</v>
      </c>
      <c r="L52" s="2">
        <f t="shared" si="4"/>
        <v>0.677780705266081</v>
      </c>
      <c r="T52" s="45">
        <v>1</v>
      </c>
      <c r="U52" s="46">
        <v>0.21</v>
      </c>
      <c r="V52" s="46">
        <f t="shared" si="1"/>
        <v>1</v>
      </c>
      <c r="W52" s="2">
        <f t="shared" si="2"/>
        <v>0</v>
      </c>
      <c r="X52" s="2">
        <f t="shared" si="3"/>
        <v>0</v>
      </c>
      <c r="Y52" s="2">
        <f t="shared" si="0"/>
        <v>0</v>
      </c>
    </row>
    <row r="53" spans="1:25">
      <c r="A53" s="45">
        <v>0</v>
      </c>
      <c r="B53" s="46">
        <v>0.61</v>
      </c>
      <c r="C53" s="46">
        <v>1</v>
      </c>
      <c r="D53" s="47"/>
      <c r="E53" s="45" t="s">
        <v>16</v>
      </c>
      <c r="F53" s="46" t="s">
        <v>16</v>
      </c>
      <c r="G53" s="2">
        <f t="array" ref="G53">_xlfn.IFS(E53=F53,1)</f>
        <v>1</v>
      </c>
      <c r="H53" s="2"/>
      <c r="J53" s="45">
        <v>0</v>
      </c>
      <c r="K53" s="46">
        <v>0.61</v>
      </c>
      <c r="L53" s="2">
        <f t="shared" si="4"/>
        <v>0.408935392973501</v>
      </c>
      <c r="T53" s="45">
        <v>0</v>
      </c>
      <c r="U53" s="46">
        <v>0.61</v>
      </c>
      <c r="V53" s="46">
        <f t="shared" si="1"/>
        <v>1</v>
      </c>
      <c r="W53" s="2">
        <f t="shared" si="2"/>
        <v>1</v>
      </c>
      <c r="X53" s="2">
        <f t="shared" si="3"/>
        <v>1</v>
      </c>
      <c r="Y53" s="2">
        <f t="shared" si="0"/>
        <v>0</v>
      </c>
    </row>
    <row r="54" spans="1:25">
      <c r="A54" s="45">
        <v>0</v>
      </c>
      <c r="B54" s="46">
        <v>0.63</v>
      </c>
      <c r="C54" s="46">
        <v>1</v>
      </c>
      <c r="D54" s="47"/>
      <c r="E54" s="45" t="s">
        <v>16</v>
      </c>
      <c r="F54" s="46" t="s">
        <v>16</v>
      </c>
      <c r="G54" s="2">
        <f t="array" ref="G54">_xlfn.IFS(E54=F54,1)</f>
        <v>1</v>
      </c>
      <c r="H54" s="2"/>
      <c r="J54" s="45">
        <v>0</v>
      </c>
      <c r="K54" s="46">
        <v>0.63</v>
      </c>
      <c r="L54" s="2">
        <f t="shared" si="4"/>
        <v>0.431798275933005</v>
      </c>
      <c r="T54" s="45">
        <v>0</v>
      </c>
      <c r="U54" s="46">
        <v>0.63</v>
      </c>
      <c r="V54" s="46">
        <f t="shared" si="1"/>
        <v>1</v>
      </c>
      <c r="W54" s="2">
        <f t="shared" si="2"/>
        <v>1</v>
      </c>
      <c r="X54" s="2">
        <f t="shared" si="3"/>
        <v>1</v>
      </c>
      <c r="Y54" s="2">
        <f t="shared" si="0"/>
        <v>0</v>
      </c>
    </row>
    <row r="55" spans="1:25">
      <c r="A55" s="45">
        <v>1</v>
      </c>
      <c r="B55" s="46">
        <v>0.44</v>
      </c>
      <c r="C55" s="46"/>
      <c r="D55" s="47"/>
      <c r="E55" s="45" t="s">
        <v>15</v>
      </c>
      <c r="F55" s="46" t="s">
        <v>15</v>
      </c>
      <c r="G55" s="2">
        <f t="array" ref="G55">_xlfn.IFS(E55=F55,1)</f>
        <v>1</v>
      </c>
      <c r="H55" s="2"/>
      <c r="J55" s="45">
        <v>1</v>
      </c>
      <c r="K55" s="46">
        <v>0.44</v>
      </c>
      <c r="L55" s="2">
        <f t="shared" si="4"/>
        <v>0.356547323513813</v>
      </c>
      <c r="T55" s="45">
        <v>1</v>
      </c>
      <c r="U55" s="46">
        <v>0.44</v>
      </c>
      <c r="V55" s="46">
        <f t="shared" si="1"/>
        <v>1</v>
      </c>
      <c r="W55" s="2">
        <f t="shared" si="2"/>
        <v>1</v>
      </c>
      <c r="X55" s="2">
        <f t="shared" si="3"/>
        <v>0</v>
      </c>
      <c r="Y55" s="2">
        <f t="shared" si="0"/>
        <v>0</v>
      </c>
    </row>
    <row r="56" spans="1:25">
      <c r="A56" s="45">
        <v>0</v>
      </c>
      <c r="B56" s="46">
        <v>0.87</v>
      </c>
      <c r="C56" s="46">
        <v>1</v>
      </c>
      <c r="D56" s="47"/>
      <c r="E56" s="45" t="s">
        <v>16</v>
      </c>
      <c r="F56" s="46" t="s">
        <v>15</v>
      </c>
      <c r="G56" s="2" t="e">
        <f t="array" ref="G56">_xlfn.IFS(E56=F56,1)</f>
        <v>#N/A</v>
      </c>
      <c r="H56" s="2"/>
      <c r="J56" s="45">
        <v>0</v>
      </c>
      <c r="K56" s="46">
        <v>0.87</v>
      </c>
      <c r="L56" s="2">
        <f t="shared" si="4"/>
        <v>0.886056647693163</v>
      </c>
      <c r="T56" s="45">
        <v>0</v>
      </c>
      <c r="U56" s="46">
        <v>0.87</v>
      </c>
      <c r="V56" s="46">
        <f t="shared" si="1"/>
        <v>1</v>
      </c>
      <c r="W56" s="2">
        <f t="shared" si="2"/>
        <v>1</v>
      </c>
      <c r="X56" s="2">
        <f t="shared" si="3"/>
        <v>1</v>
      </c>
      <c r="Y56" s="2">
        <f t="shared" si="0"/>
        <v>1</v>
      </c>
    </row>
    <row r="57" spans="1:25">
      <c r="A57" s="45">
        <v>0</v>
      </c>
      <c r="B57" s="46">
        <v>0.64</v>
      </c>
      <c r="C57" s="46">
        <v>1</v>
      </c>
      <c r="D57" s="47"/>
      <c r="E57" s="45" t="s">
        <v>16</v>
      </c>
      <c r="F57" s="46" t="s">
        <v>15</v>
      </c>
      <c r="G57" s="2" t="e">
        <f t="array" ref="G57">_xlfn.IFS(E57=F57,1)</f>
        <v>#N/A</v>
      </c>
      <c r="H57" s="2"/>
      <c r="J57" s="45">
        <v>0</v>
      </c>
      <c r="K57" s="46">
        <v>0.64</v>
      </c>
      <c r="L57" s="2">
        <f t="shared" si="4"/>
        <v>0.443697499232713</v>
      </c>
      <c r="T57" s="45">
        <v>0</v>
      </c>
      <c r="U57" s="46">
        <v>0.64</v>
      </c>
      <c r="V57" s="46">
        <f t="shared" si="1"/>
        <v>1</v>
      </c>
      <c r="W57" s="2">
        <f t="shared" si="2"/>
        <v>1</v>
      </c>
      <c r="X57" s="2">
        <f t="shared" si="3"/>
        <v>1</v>
      </c>
      <c r="Y57" s="2">
        <f t="shared" si="0"/>
        <v>0</v>
      </c>
    </row>
    <row r="58" spans="1:25">
      <c r="A58" s="45">
        <v>1</v>
      </c>
      <c r="B58" s="46">
        <v>0.95</v>
      </c>
      <c r="C58" s="46">
        <v>1</v>
      </c>
      <c r="D58" s="47"/>
      <c r="E58" s="45" t="s">
        <v>15</v>
      </c>
      <c r="F58" s="46" t="s">
        <v>15</v>
      </c>
      <c r="G58" s="2">
        <f t="array" ref="G58">_xlfn.IFS(E58=F58,1)</f>
        <v>1</v>
      </c>
      <c r="H58" s="2"/>
      <c r="J58" s="45">
        <v>1</v>
      </c>
      <c r="K58" s="46">
        <v>0.95</v>
      </c>
      <c r="L58" s="2">
        <f t="shared" si="4"/>
        <v>0.0222763947111523</v>
      </c>
      <c r="T58" s="45">
        <v>1</v>
      </c>
      <c r="U58" s="46">
        <v>0.95</v>
      </c>
      <c r="V58" s="46">
        <f t="shared" si="1"/>
        <v>1</v>
      </c>
      <c r="W58" s="2">
        <f t="shared" si="2"/>
        <v>1</v>
      </c>
      <c r="X58" s="2">
        <f t="shared" si="3"/>
        <v>1</v>
      </c>
      <c r="Y58" s="2">
        <f t="shared" si="0"/>
        <v>1</v>
      </c>
    </row>
    <row r="59" spans="1:25">
      <c r="A59" s="45">
        <v>1</v>
      </c>
      <c r="B59" s="46">
        <v>0.71</v>
      </c>
      <c r="C59" s="46">
        <v>1</v>
      </c>
      <c r="D59" s="47"/>
      <c r="E59" s="45" t="s">
        <v>15</v>
      </c>
      <c r="F59" s="46" t="s">
        <v>15</v>
      </c>
      <c r="G59" s="2">
        <f t="array" ref="G59">_xlfn.IFS(E59=F59,1)</f>
        <v>1</v>
      </c>
      <c r="H59" s="2"/>
      <c r="J59" s="45">
        <v>1</v>
      </c>
      <c r="K59" s="46">
        <v>0.71</v>
      </c>
      <c r="L59" s="2">
        <f t="shared" si="4"/>
        <v>0.148741651280925</v>
      </c>
      <c r="T59" s="45">
        <v>1</v>
      </c>
      <c r="U59" s="46">
        <v>0.71</v>
      </c>
      <c r="V59" s="46">
        <f t="shared" si="1"/>
        <v>1</v>
      </c>
      <c r="W59" s="2">
        <f t="shared" si="2"/>
        <v>1</v>
      </c>
      <c r="X59" s="2">
        <f t="shared" si="3"/>
        <v>1</v>
      </c>
      <c r="Y59" s="2">
        <f t="shared" si="0"/>
        <v>0</v>
      </c>
    </row>
    <row r="60" spans="1:25">
      <c r="A60" s="45">
        <v>0</v>
      </c>
      <c r="B60" s="46">
        <v>0.53</v>
      </c>
      <c r="C60" s="46">
        <v>1</v>
      </c>
      <c r="D60" s="47"/>
      <c r="E60" s="45" t="s">
        <v>16</v>
      </c>
      <c r="F60" s="46" t="s">
        <v>16</v>
      </c>
      <c r="G60" s="2">
        <f t="array" ref="G60">_xlfn.IFS(E60=F60,1)</f>
        <v>1</v>
      </c>
      <c r="H60" s="2"/>
      <c r="J60" s="45">
        <v>0</v>
      </c>
      <c r="K60" s="46">
        <v>0.53</v>
      </c>
      <c r="L60" s="2">
        <f t="shared" si="4"/>
        <v>0.327902142064283</v>
      </c>
      <c r="T60" s="45">
        <v>0</v>
      </c>
      <c r="U60" s="46">
        <v>0.53</v>
      </c>
      <c r="V60" s="46">
        <f t="shared" si="1"/>
        <v>1</v>
      </c>
      <c r="W60" s="2">
        <f t="shared" si="2"/>
        <v>1</v>
      </c>
      <c r="X60" s="2">
        <f t="shared" si="3"/>
        <v>1</v>
      </c>
      <c r="Y60" s="2">
        <f t="shared" si="0"/>
        <v>0</v>
      </c>
    </row>
    <row r="61" spans="1:25">
      <c r="A61" s="45">
        <v>1</v>
      </c>
      <c r="B61" s="46">
        <v>0.82</v>
      </c>
      <c r="C61" s="46">
        <v>1</v>
      </c>
      <c r="D61" s="47"/>
      <c r="E61" s="45" t="s">
        <v>15</v>
      </c>
      <c r="F61" s="46" t="s">
        <v>15</v>
      </c>
      <c r="G61" s="2">
        <f t="array" ref="G61">_xlfn.IFS(E61=F61,1)</f>
        <v>1</v>
      </c>
      <c r="H61" s="2"/>
      <c r="J61" s="45">
        <v>1</v>
      </c>
      <c r="K61" s="46">
        <v>0.82</v>
      </c>
      <c r="L61" s="2">
        <f t="shared" si="4"/>
        <v>0.0861861476162833</v>
      </c>
      <c r="T61" s="45">
        <v>1</v>
      </c>
      <c r="U61" s="46">
        <v>0.82</v>
      </c>
      <c r="V61" s="46">
        <f t="shared" si="1"/>
        <v>1</v>
      </c>
      <c r="W61" s="2">
        <f t="shared" si="2"/>
        <v>1</v>
      </c>
      <c r="X61" s="2">
        <f t="shared" si="3"/>
        <v>1</v>
      </c>
      <c r="Y61" s="2">
        <f t="shared" si="0"/>
        <v>1</v>
      </c>
    </row>
    <row r="62" spans="1:25">
      <c r="A62" s="45">
        <v>1</v>
      </c>
      <c r="B62" s="46">
        <v>0.59</v>
      </c>
      <c r="C62" s="46">
        <v>1</v>
      </c>
      <c r="D62" s="47"/>
      <c r="E62" s="45" t="s">
        <v>15</v>
      </c>
      <c r="F62" s="46" t="s">
        <v>16</v>
      </c>
      <c r="G62" s="2" t="e">
        <f t="array" ref="G62">_xlfn.IFS(E62=F62,1)</f>
        <v>#N/A</v>
      </c>
      <c r="H62" s="2"/>
      <c r="J62" s="45">
        <v>1</v>
      </c>
      <c r="K62" s="46">
        <v>0.59</v>
      </c>
      <c r="L62" s="2">
        <f t="shared" si="4"/>
        <v>0.229147988357856</v>
      </c>
      <c r="T62" s="45">
        <v>1</v>
      </c>
      <c r="U62" s="46">
        <v>0.59</v>
      </c>
      <c r="V62" s="46">
        <f t="shared" si="1"/>
        <v>1</v>
      </c>
      <c r="W62" s="2">
        <f t="shared" si="2"/>
        <v>1</v>
      </c>
      <c r="X62" s="2">
        <f t="shared" si="3"/>
        <v>1</v>
      </c>
      <c r="Y62" s="2">
        <f t="shared" si="0"/>
        <v>0</v>
      </c>
    </row>
    <row r="63" spans="1:25">
      <c r="A63" s="45">
        <v>0</v>
      </c>
      <c r="B63" s="46">
        <v>0.62</v>
      </c>
      <c r="C63" s="46">
        <v>1</v>
      </c>
      <c r="D63" s="47"/>
      <c r="E63" s="45" t="s">
        <v>16</v>
      </c>
      <c r="F63" s="46" t="s">
        <v>16</v>
      </c>
      <c r="G63" s="2">
        <f t="array" ref="G63">_xlfn.IFS(E63=F63,1)</f>
        <v>1</v>
      </c>
      <c r="H63" s="2"/>
      <c r="J63" s="45">
        <v>0</v>
      </c>
      <c r="K63" s="46">
        <v>0.62</v>
      </c>
      <c r="L63" s="2">
        <f t="shared" si="4"/>
        <v>0.42021640338319</v>
      </c>
      <c r="T63" s="45">
        <v>0</v>
      </c>
      <c r="U63" s="46">
        <v>0.62</v>
      </c>
      <c r="V63" s="46">
        <f t="shared" si="1"/>
        <v>1</v>
      </c>
      <c r="W63" s="2">
        <f t="shared" si="2"/>
        <v>1</v>
      </c>
      <c r="X63" s="2">
        <f t="shared" si="3"/>
        <v>1</v>
      </c>
      <c r="Y63" s="2">
        <f t="shared" si="0"/>
        <v>0</v>
      </c>
    </row>
    <row r="64" spans="1:25">
      <c r="A64" s="45">
        <v>1</v>
      </c>
      <c r="B64" s="46">
        <v>0.46</v>
      </c>
      <c r="C64" s="46"/>
      <c r="D64" s="47"/>
      <c r="E64" s="45" t="s">
        <v>15</v>
      </c>
      <c r="F64" s="46" t="s">
        <v>15</v>
      </c>
      <c r="G64" s="2">
        <f t="array" ref="G64">_xlfn.IFS(E64=F64,1)</f>
        <v>1</v>
      </c>
      <c r="H64" s="2"/>
      <c r="J64" s="45">
        <v>1</v>
      </c>
      <c r="K64" s="46">
        <v>0.46</v>
      </c>
      <c r="L64" s="2">
        <f t="shared" si="4"/>
        <v>0.337242168318426</v>
      </c>
      <c r="T64" s="45">
        <v>1</v>
      </c>
      <c r="U64" s="46">
        <v>0.46</v>
      </c>
      <c r="V64" s="46">
        <f t="shared" si="1"/>
        <v>1</v>
      </c>
      <c r="W64" s="2">
        <f t="shared" si="2"/>
        <v>1</v>
      </c>
      <c r="X64" s="2">
        <f t="shared" si="3"/>
        <v>0</v>
      </c>
      <c r="Y64" s="2">
        <f t="shared" si="0"/>
        <v>0</v>
      </c>
    </row>
    <row r="65" spans="1:25">
      <c r="A65" s="45">
        <v>1</v>
      </c>
      <c r="B65" s="46">
        <v>0.5</v>
      </c>
      <c r="C65" s="46">
        <v>1</v>
      </c>
      <c r="D65" s="47"/>
      <c r="E65" s="45" t="s">
        <v>15</v>
      </c>
      <c r="F65" s="46" t="s">
        <v>15</v>
      </c>
      <c r="G65" s="2">
        <f t="array" ref="G65">_xlfn.IFS(E65=F65,1)</f>
        <v>1</v>
      </c>
      <c r="H65" s="2"/>
      <c r="J65" s="45">
        <v>1</v>
      </c>
      <c r="K65" s="46">
        <v>0.5</v>
      </c>
      <c r="L65" s="2">
        <f t="shared" si="4"/>
        <v>0.301029995663981</v>
      </c>
      <c r="T65" s="45">
        <v>1</v>
      </c>
      <c r="U65" s="46">
        <v>0.5</v>
      </c>
      <c r="V65" s="46">
        <f t="shared" si="1"/>
        <v>1</v>
      </c>
      <c r="W65" s="2">
        <f t="shared" si="2"/>
        <v>1</v>
      </c>
      <c r="X65" s="2">
        <f t="shared" si="3"/>
        <v>1</v>
      </c>
      <c r="Y65" s="2">
        <f t="shared" si="0"/>
        <v>0</v>
      </c>
    </row>
    <row r="66" spans="1:25">
      <c r="A66" s="45">
        <v>1</v>
      </c>
      <c r="B66" s="46">
        <v>0.5</v>
      </c>
      <c r="C66" s="46">
        <v>1</v>
      </c>
      <c r="D66" s="47"/>
      <c r="E66" s="45" t="s">
        <v>15</v>
      </c>
      <c r="F66" s="46" t="s">
        <v>15</v>
      </c>
      <c r="G66" s="2">
        <f t="array" ref="G66">_xlfn.IFS(E66=F66,1)</f>
        <v>1</v>
      </c>
      <c r="H66" s="2"/>
      <c r="J66" s="45">
        <v>1</v>
      </c>
      <c r="K66" s="46">
        <v>0.5</v>
      </c>
      <c r="L66" s="2">
        <f t="shared" si="4"/>
        <v>0.301029995663981</v>
      </c>
      <c r="T66" s="45">
        <v>1</v>
      </c>
      <c r="U66" s="46">
        <v>0.5</v>
      </c>
      <c r="V66" s="46">
        <f t="shared" si="1"/>
        <v>1</v>
      </c>
      <c r="W66" s="2">
        <f t="shared" si="2"/>
        <v>1</v>
      </c>
      <c r="X66" s="2">
        <f t="shared" si="3"/>
        <v>1</v>
      </c>
      <c r="Y66" s="2">
        <f t="shared" si="0"/>
        <v>0</v>
      </c>
    </row>
    <row r="67" spans="1:25">
      <c r="A67" s="45">
        <v>1</v>
      </c>
      <c r="B67" s="46">
        <v>0.52</v>
      </c>
      <c r="C67" s="46">
        <v>1</v>
      </c>
      <c r="D67" s="47"/>
      <c r="E67" s="45" t="s">
        <v>15</v>
      </c>
      <c r="F67" s="46" t="s">
        <v>15</v>
      </c>
      <c r="G67" s="2">
        <f t="array" ref="G67">_xlfn.IFS(E67=F67,1)</f>
        <v>1</v>
      </c>
      <c r="H67" s="2"/>
      <c r="J67" s="45">
        <v>1</v>
      </c>
      <c r="K67" s="46">
        <v>0.52</v>
      </c>
      <c r="L67" s="2">
        <f t="shared" ref="L67:L130" si="6">-(J67*LOG(K67)+(1-J67)*LOG(1-K67))</f>
        <v>0.283996656365201</v>
      </c>
      <c r="T67" s="45">
        <v>1</v>
      </c>
      <c r="U67" s="46">
        <v>0.52</v>
      </c>
      <c r="V67" s="46">
        <f t="shared" ref="V67:V130" si="7">IF(U67&gt;=0.1,1,0)</f>
        <v>1</v>
      </c>
      <c r="W67" s="2">
        <f t="shared" ref="W67:W130" si="8">IF(U67&gt;=0.3,1,0)</f>
        <v>1</v>
      </c>
      <c r="X67" s="2">
        <f t="shared" ref="X67:X130" si="9">IF(U67&gt;=0.5,1,0)</f>
        <v>1</v>
      </c>
      <c r="Y67" s="2">
        <f t="shared" ref="Y67:Y130" si="10">IF(U67&gt;=0.8,1,0)</f>
        <v>0</v>
      </c>
    </row>
    <row r="68" spans="1:25">
      <c r="A68" s="45">
        <v>1</v>
      </c>
      <c r="B68" s="46">
        <v>0.86</v>
      </c>
      <c r="C68" s="46">
        <v>1</v>
      </c>
      <c r="D68" s="47"/>
      <c r="E68" s="45" t="s">
        <v>15</v>
      </c>
      <c r="F68" s="46" t="s">
        <v>15</v>
      </c>
      <c r="G68" s="2">
        <f t="array" ref="G68">_xlfn.IFS(E68=F68,1)</f>
        <v>1</v>
      </c>
      <c r="H68" s="2"/>
      <c r="J68" s="45">
        <v>1</v>
      </c>
      <c r="K68" s="46">
        <v>0.86</v>
      </c>
      <c r="L68" s="2">
        <f t="shared" si="6"/>
        <v>0.0655015487564323</v>
      </c>
      <c r="T68" s="45">
        <v>1</v>
      </c>
      <c r="U68" s="46">
        <v>0.86</v>
      </c>
      <c r="V68" s="46">
        <f t="shared" si="7"/>
        <v>1</v>
      </c>
      <c r="W68" s="2">
        <f t="shared" si="8"/>
        <v>1</v>
      </c>
      <c r="X68" s="2">
        <f t="shared" si="9"/>
        <v>1</v>
      </c>
      <c r="Y68" s="2">
        <f t="shared" si="10"/>
        <v>1</v>
      </c>
    </row>
    <row r="69" spans="1:25">
      <c r="A69" s="45">
        <v>1</v>
      </c>
      <c r="B69" s="46">
        <v>0.81</v>
      </c>
      <c r="C69" s="46">
        <v>1</v>
      </c>
      <c r="D69" s="47"/>
      <c r="E69" s="45" t="s">
        <v>15</v>
      </c>
      <c r="F69" s="46" t="s">
        <v>15</v>
      </c>
      <c r="G69" s="2">
        <f t="array" ref="G69">_xlfn.IFS(E69=F69,1)</f>
        <v>1</v>
      </c>
      <c r="H69" s="2"/>
      <c r="J69" s="45">
        <v>1</v>
      </c>
      <c r="K69" s="46">
        <v>0.81</v>
      </c>
      <c r="L69" s="2">
        <f t="shared" si="6"/>
        <v>0.0915149811213502</v>
      </c>
      <c r="T69" s="45">
        <v>1</v>
      </c>
      <c r="U69" s="46">
        <v>0.81</v>
      </c>
      <c r="V69" s="46">
        <f t="shared" si="7"/>
        <v>1</v>
      </c>
      <c r="W69" s="2">
        <f t="shared" si="8"/>
        <v>1</v>
      </c>
      <c r="X69" s="2">
        <f t="shared" si="9"/>
        <v>1</v>
      </c>
      <c r="Y69" s="2">
        <f t="shared" si="10"/>
        <v>1</v>
      </c>
    </row>
    <row r="70" spans="1:25">
      <c r="A70" s="45">
        <v>0</v>
      </c>
      <c r="B70" s="46">
        <v>0.78</v>
      </c>
      <c r="C70" s="46">
        <v>1</v>
      </c>
      <c r="D70" s="47"/>
      <c r="E70" s="45" t="s">
        <v>16</v>
      </c>
      <c r="F70" s="46" t="s">
        <v>15</v>
      </c>
      <c r="G70" s="2" t="e">
        <f t="array" ref="G70">_xlfn.IFS(E70=F70,1)</f>
        <v>#N/A</v>
      </c>
      <c r="H70" s="2"/>
      <c r="J70" s="45">
        <v>0</v>
      </c>
      <c r="K70" s="46">
        <v>0.78</v>
      </c>
      <c r="L70" s="2">
        <f t="shared" si="6"/>
        <v>0.657577319177794</v>
      </c>
      <c r="T70" s="45">
        <v>0</v>
      </c>
      <c r="U70" s="46">
        <v>0.78</v>
      </c>
      <c r="V70" s="46">
        <f t="shared" si="7"/>
        <v>1</v>
      </c>
      <c r="W70" s="2">
        <f t="shared" si="8"/>
        <v>1</v>
      </c>
      <c r="X70" s="2">
        <f t="shared" si="9"/>
        <v>1</v>
      </c>
      <c r="Y70" s="2">
        <f t="shared" si="10"/>
        <v>0</v>
      </c>
    </row>
    <row r="71" spans="1:25">
      <c r="A71" s="45">
        <v>1</v>
      </c>
      <c r="B71" s="46">
        <v>0.58</v>
      </c>
      <c r="C71" s="46">
        <v>1</v>
      </c>
      <c r="D71" s="47"/>
      <c r="E71" s="45" t="s">
        <v>15</v>
      </c>
      <c r="F71" s="46" t="s">
        <v>15</v>
      </c>
      <c r="G71" s="2">
        <f t="array" ref="G71">_xlfn.IFS(E71=F71,1)</f>
        <v>1</v>
      </c>
      <c r="H71" s="2"/>
      <c r="J71" s="45">
        <v>1</v>
      </c>
      <c r="K71" s="46">
        <v>0.58</v>
      </c>
      <c r="L71" s="2">
        <f t="shared" si="6"/>
        <v>0.236572006437063</v>
      </c>
      <c r="T71" s="45">
        <v>1</v>
      </c>
      <c r="U71" s="46">
        <v>0.58</v>
      </c>
      <c r="V71" s="46">
        <f t="shared" si="7"/>
        <v>1</v>
      </c>
      <c r="W71" s="2">
        <f t="shared" si="8"/>
        <v>1</v>
      </c>
      <c r="X71" s="2">
        <f t="shared" si="9"/>
        <v>1</v>
      </c>
      <c r="Y71" s="2">
        <f t="shared" si="10"/>
        <v>0</v>
      </c>
    </row>
    <row r="72" spans="1:25">
      <c r="A72" s="45">
        <v>1</v>
      </c>
      <c r="B72" s="46">
        <v>0.79</v>
      </c>
      <c r="C72" s="46">
        <v>1</v>
      </c>
      <c r="D72" s="47"/>
      <c r="E72" s="45" t="s">
        <v>15</v>
      </c>
      <c r="F72" s="46" t="s">
        <v>15</v>
      </c>
      <c r="G72" s="2">
        <f t="array" ref="G72">_xlfn.IFS(E72=F72,1)</f>
        <v>1</v>
      </c>
      <c r="H72" s="2"/>
      <c r="J72" s="45">
        <v>1</v>
      </c>
      <c r="K72" s="46">
        <v>0.79</v>
      </c>
      <c r="L72" s="2">
        <f t="shared" si="6"/>
        <v>0.102372908709559</v>
      </c>
      <c r="T72" s="45">
        <v>1</v>
      </c>
      <c r="U72" s="46">
        <v>0.79</v>
      </c>
      <c r="V72" s="46">
        <f t="shared" si="7"/>
        <v>1</v>
      </c>
      <c r="W72" s="2">
        <f t="shared" si="8"/>
        <v>1</v>
      </c>
      <c r="X72" s="2">
        <f t="shared" si="9"/>
        <v>1</v>
      </c>
      <c r="Y72" s="2">
        <f t="shared" si="10"/>
        <v>0</v>
      </c>
    </row>
    <row r="73" spans="1:25">
      <c r="A73" s="45">
        <v>0</v>
      </c>
      <c r="B73" s="46">
        <v>0.55</v>
      </c>
      <c r="C73" s="46">
        <v>1</v>
      </c>
      <c r="D73" s="47"/>
      <c r="E73" s="45" t="s">
        <v>16</v>
      </c>
      <c r="F73" s="46" t="s">
        <v>16</v>
      </c>
      <c r="G73" s="2">
        <f t="array" ref="G73">_xlfn.IFS(E73=F73,1)</f>
        <v>1</v>
      </c>
      <c r="H73" s="2"/>
      <c r="J73" s="45">
        <v>0</v>
      </c>
      <c r="K73" s="46">
        <v>0.55</v>
      </c>
      <c r="L73" s="2">
        <f t="shared" si="6"/>
        <v>0.346787486224656</v>
      </c>
      <c r="T73" s="45">
        <v>0</v>
      </c>
      <c r="U73" s="46">
        <v>0.55</v>
      </c>
      <c r="V73" s="46">
        <f t="shared" si="7"/>
        <v>1</v>
      </c>
      <c r="W73" s="2">
        <f t="shared" si="8"/>
        <v>1</v>
      </c>
      <c r="X73" s="2">
        <f t="shared" si="9"/>
        <v>1</v>
      </c>
      <c r="Y73" s="2">
        <f t="shared" si="10"/>
        <v>0</v>
      </c>
    </row>
    <row r="74" spans="1:25">
      <c r="A74" s="45">
        <v>1</v>
      </c>
      <c r="B74" s="46">
        <v>0.71</v>
      </c>
      <c r="C74" s="46">
        <v>1</v>
      </c>
      <c r="D74" s="47"/>
      <c r="E74" s="45" t="s">
        <v>15</v>
      </c>
      <c r="F74" s="46" t="s">
        <v>15</v>
      </c>
      <c r="G74" s="2">
        <f t="array" ref="G74">_xlfn.IFS(E74=F74,1)</f>
        <v>1</v>
      </c>
      <c r="H74" s="2"/>
      <c r="J74" s="45">
        <v>1</v>
      </c>
      <c r="K74" s="46">
        <v>0.71</v>
      </c>
      <c r="L74" s="2">
        <f t="shared" si="6"/>
        <v>0.148741651280925</v>
      </c>
      <c r="T74" s="45">
        <v>1</v>
      </c>
      <c r="U74" s="46">
        <v>0.71</v>
      </c>
      <c r="V74" s="46">
        <f t="shared" si="7"/>
        <v>1</v>
      </c>
      <c r="W74" s="2">
        <f t="shared" si="8"/>
        <v>1</v>
      </c>
      <c r="X74" s="2">
        <f t="shared" si="9"/>
        <v>1</v>
      </c>
      <c r="Y74" s="2">
        <f t="shared" si="10"/>
        <v>0</v>
      </c>
    </row>
    <row r="75" spans="1:25">
      <c r="A75" s="45">
        <v>1</v>
      </c>
      <c r="B75" s="46">
        <v>0.1</v>
      </c>
      <c r="C75" s="46"/>
      <c r="D75" s="47"/>
      <c r="E75" s="45" t="s">
        <v>15</v>
      </c>
      <c r="F75" s="46" t="s">
        <v>16</v>
      </c>
      <c r="G75" s="2" t="e">
        <f t="array" ref="G75">_xlfn.IFS(E75=F75,1)</f>
        <v>#N/A</v>
      </c>
      <c r="H75" s="2"/>
      <c r="J75" s="45">
        <v>1</v>
      </c>
      <c r="K75" s="46">
        <v>0.1</v>
      </c>
      <c r="L75" s="2">
        <f t="shared" si="6"/>
        <v>1</v>
      </c>
      <c r="T75" s="45">
        <v>1</v>
      </c>
      <c r="U75" s="46">
        <v>0.1</v>
      </c>
      <c r="V75" s="46">
        <f t="shared" si="7"/>
        <v>1</v>
      </c>
      <c r="W75" s="2">
        <f t="shared" si="8"/>
        <v>0</v>
      </c>
      <c r="X75" s="2">
        <f t="shared" si="9"/>
        <v>0</v>
      </c>
      <c r="Y75" s="2">
        <f t="shared" si="10"/>
        <v>0</v>
      </c>
    </row>
    <row r="76" spans="1:25">
      <c r="A76" s="45">
        <v>1</v>
      </c>
      <c r="B76" s="46">
        <v>0.5</v>
      </c>
      <c r="C76" s="46">
        <v>1</v>
      </c>
      <c r="D76" s="47"/>
      <c r="E76" s="45" t="s">
        <v>15</v>
      </c>
      <c r="F76" s="46" t="s">
        <v>15</v>
      </c>
      <c r="G76" s="2">
        <f t="array" ref="G76">_xlfn.IFS(E76=F76,1)</f>
        <v>1</v>
      </c>
      <c r="H76" s="2"/>
      <c r="J76" s="45">
        <v>1</v>
      </c>
      <c r="K76" s="46">
        <v>0.5</v>
      </c>
      <c r="L76" s="2">
        <f t="shared" si="6"/>
        <v>0.301029995663981</v>
      </c>
      <c r="T76" s="45">
        <v>1</v>
      </c>
      <c r="U76" s="46">
        <v>0.5</v>
      </c>
      <c r="V76" s="46">
        <f t="shared" si="7"/>
        <v>1</v>
      </c>
      <c r="W76" s="2">
        <f t="shared" si="8"/>
        <v>1</v>
      </c>
      <c r="X76" s="2">
        <f t="shared" si="9"/>
        <v>1</v>
      </c>
      <c r="Y76" s="2">
        <f t="shared" si="10"/>
        <v>0</v>
      </c>
    </row>
    <row r="77" spans="1:25">
      <c r="A77" s="45">
        <v>0</v>
      </c>
      <c r="B77" s="46">
        <v>0.44</v>
      </c>
      <c r="C77" s="46"/>
      <c r="D77" s="47"/>
      <c r="E77" s="45" t="s">
        <v>16</v>
      </c>
      <c r="F77" s="46" t="s">
        <v>16</v>
      </c>
      <c r="G77" s="2">
        <f t="array" ref="G77">_xlfn.IFS(E77=F77,1)</f>
        <v>1</v>
      </c>
      <c r="H77" s="2"/>
      <c r="J77" s="45">
        <v>0</v>
      </c>
      <c r="K77" s="46">
        <v>0.44</v>
      </c>
      <c r="L77" s="2">
        <f t="shared" si="6"/>
        <v>0.2518119729938</v>
      </c>
      <c r="T77" s="45">
        <v>0</v>
      </c>
      <c r="U77" s="46">
        <v>0.44</v>
      </c>
      <c r="V77" s="46">
        <f t="shared" si="7"/>
        <v>1</v>
      </c>
      <c r="W77" s="2">
        <f t="shared" si="8"/>
        <v>1</v>
      </c>
      <c r="X77" s="2">
        <f t="shared" si="9"/>
        <v>0</v>
      </c>
      <c r="Y77" s="2">
        <f t="shared" si="10"/>
        <v>0</v>
      </c>
    </row>
    <row r="78" spans="1:25">
      <c r="A78" s="45">
        <v>0</v>
      </c>
      <c r="B78" s="46">
        <v>0.83</v>
      </c>
      <c r="C78" s="46">
        <v>1</v>
      </c>
      <c r="D78" s="47"/>
      <c r="E78" s="45" t="s">
        <v>16</v>
      </c>
      <c r="F78" s="46" t="s">
        <v>16</v>
      </c>
      <c r="G78" s="2" cm="1">
        <f t="array" ref="G78">_xlfn.IFS(E78=F78,1)</f>
        <v>1</v>
      </c>
      <c r="H78" s="2"/>
      <c r="J78" s="45">
        <v>0</v>
      </c>
      <c r="K78" s="46">
        <v>0.83</v>
      </c>
      <c r="L78" s="2">
        <f t="shared" si="6"/>
        <v>0.769551078621726</v>
      </c>
      <c r="T78" s="45">
        <v>0</v>
      </c>
      <c r="U78" s="46">
        <v>0.83</v>
      </c>
      <c r="V78" s="46">
        <f t="shared" si="7"/>
        <v>1</v>
      </c>
      <c r="W78" s="2">
        <f t="shared" si="8"/>
        <v>1</v>
      </c>
      <c r="X78" s="2">
        <f t="shared" si="9"/>
        <v>1</v>
      </c>
      <c r="Y78" s="2">
        <f t="shared" si="10"/>
        <v>1</v>
      </c>
    </row>
    <row r="79" spans="1:25">
      <c r="A79" s="45">
        <v>1</v>
      </c>
      <c r="B79" s="46">
        <v>0.44</v>
      </c>
      <c r="C79" s="46"/>
      <c r="D79" s="47"/>
      <c r="E79" s="45" t="s">
        <v>15</v>
      </c>
      <c r="F79" s="46" t="s">
        <v>15</v>
      </c>
      <c r="G79" s="2">
        <f t="array" ref="G79">_xlfn.IFS(E79=F79,1)</f>
        <v>1</v>
      </c>
      <c r="H79" s="2"/>
      <c r="J79" s="45">
        <v>1</v>
      </c>
      <c r="K79" s="46">
        <v>0.44</v>
      </c>
      <c r="L79" s="2">
        <f t="shared" si="6"/>
        <v>0.356547323513813</v>
      </c>
      <c r="T79" s="45">
        <v>1</v>
      </c>
      <c r="U79" s="46">
        <v>0.44</v>
      </c>
      <c r="V79" s="46">
        <f t="shared" si="7"/>
        <v>1</v>
      </c>
      <c r="W79" s="2">
        <f t="shared" si="8"/>
        <v>1</v>
      </c>
      <c r="X79" s="2">
        <f t="shared" si="9"/>
        <v>0</v>
      </c>
      <c r="Y79" s="2">
        <f t="shared" si="10"/>
        <v>0</v>
      </c>
    </row>
    <row r="80" spans="1:25">
      <c r="A80" s="45">
        <v>0</v>
      </c>
      <c r="B80" s="46">
        <v>0.56</v>
      </c>
      <c r="C80" s="46">
        <v>1</v>
      </c>
      <c r="D80" s="47"/>
      <c r="E80" s="45" t="s">
        <v>16</v>
      </c>
      <c r="F80" s="46" t="s">
        <v>16</v>
      </c>
      <c r="G80" s="2">
        <f t="array" ref="G80">_xlfn.IFS(E80=F80,1)</f>
        <v>1</v>
      </c>
      <c r="H80" s="2"/>
      <c r="J80" s="45">
        <v>0</v>
      </c>
      <c r="K80" s="46">
        <v>0.56</v>
      </c>
      <c r="L80" s="2">
        <f t="shared" si="6"/>
        <v>0.356547323513813</v>
      </c>
      <c r="T80" s="45">
        <v>0</v>
      </c>
      <c r="U80" s="46">
        <v>0.56</v>
      </c>
      <c r="V80" s="46">
        <f t="shared" si="7"/>
        <v>1</v>
      </c>
      <c r="W80" s="2">
        <f t="shared" si="8"/>
        <v>1</v>
      </c>
      <c r="X80" s="2">
        <f t="shared" si="9"/>
        <v>1</v>
      </c>
      <c r="Y80" s="2">
        <f t="shared" si="10"/>
        <v>0</v>
      </c>
    </row>
    <row r="81" spans="1:25">
      <c r="A81" s="45">
        <v>0</v>
      </c>
      <c r="B81" s="46">
        <v>0.42</v>
      </c>
      <c r="C81" s="46"/>
      <c r="D81" s="47"/>
      <c r="E81" s="45" t="s">
        <v>16</v>
      </c>
      <c r="F81" s="46" t="s">
        <v>16</v>
      </c>
      <c r="G81" s="2">
        <f t="array" ref="G81">_xlfn.IFS(E81=F81,1)</f>
        <v>1</v>
      </c>
      <c r="H81" s="2"/>
      <c r="J81" s="45">
        <v>0</v>
      </c>
      <c r="K81" s="46">
        <v>0.42</v>
      </c>
      <c r="L81" s="2">
        <f t="shared" si="6"/>
        <v>0.236572006437063</v>
      </c>
      <c r="T81" s="45">
        <v>0</v>
      </c>
      <c r="U81" s="46">
        <v>0.42</v>
      </c>
      <c r="V81" s="46">
        <f t="shared" si="7"/>
        <v>1</v>
      </c>
      <c r="W81" s="2">
        <f t="shared" si="8"/>
        <v>1</v>
      </c>
      <c r="X81" s="2">
        <f t="shared" si="9"/>
        <v>0</v>
      </c>
      <c r="Y81" s="2">
        <f t="shared" si="10"/>
        <v>0</v>
      </c>
    </row>
    <row r="82" spans="1:25">
      <c r="A82" s="45">
        <v>1</v>
      </c>
      <c r="B82" s="46">
        <v>0.88</v>
      </c>
      <c r="C82" s="46">
        <v>1</v>
      </c>
      <c r="D82" s="47"/>
      <c r="E82" s="45" t="s">
        <v>15</v>
      </c>
      <c r="F82" s="46" t="s">
        <v>15</v>
      </c>
      <c r="G82" s="2">
        <f t="array" ref="G82">_xlfn.IFS(E82=F82,1)</f>
        <v>1</v>
      </c>
      <c r="H82" s="2"/>
      <c r="J82" s="45">
        <v>1</v>
      </c>
      <c r="K82" s="46">
        <v>0.88</v>
      </c>
      <c r="L82" s="2">
        <f t="shared" si="6"/>
        <v>0.0555173278498314</v>
      </c>
      <c r="T82" s="45">
        <v>1</v>
      </c>
      <c r="U82" s="46">
        <v>0.88</v>
      </c>
      <c r="V82" s="46">
        <f t="shared" si="7"/>
        <v>1</v>
      </c>
      <c r="W82" s="2">
        <f t="shared" si="8"/>
        <v>1</v>
      </c>
      <c r="X82" s="2">
        <f t="shared" si="9"/>
        <v>1</v>
      </c>
      <c r="Y82" s="2">
        <f t="shared" si="10"/>
        <v>1</v>
      </c>
    </row>
    <row r="83" spans="1:25">
      <c r="A83" s="45">
        <v>0</v>
      </c>
      <c r="B83" s="46">
        <v>0.79</v>
      </c>
      <c r="C83" s="46">
        <v>1</v>
      </c>
      <c r="D83" s="47"/>
      <c r="E83" s="45" t="s">
        <v>16</v>
      </c>
      <c r="F83" s="46" t="s">
        <v>16</v>
      </c>
      <c r="G83" s="2">
        <f t="array" ref="G83">_xlfn.IFS(E83=F83,1)</f>
        <v>1</v>
      </c>
      <c r="H83" s="2"/>
      <c r="J83" s="45">
        <v>0</v>
      </c>
      <c r="K83" s="46">
        <v>0.79</v>
      </c>
      <c r="L83" s="2">
        <f t="shared" si="6"/>
        <v>0.677780705266081</v>
      </c>
      <c r="T83" s="45">
        <v>0</v>
      </c>
      <c r="U83" s="46">
        <v>0.79</v>
      </c>
      <c r="V83" s="46">
        <f t="shared" si="7"/>
        <v>1</v>
      </c>
      <c r="W83" s="2">
        <f t="shared" si="8"/>
        <v>1</v>
      </c>
      <c r="X83" s="2">
        <f t="shared" si="9"/>
        <v>1</v>
      </c>
      <c r="Y83" s="2">
        <f t="shared" si="10"/>
        <v>0</v>
      </c>
    </row>
    <row r="84" spans="1:25">
      <c r="A84" s="45">
        <v>1</v>
      </c>
      <c r="B84" s="46">
        <v>0.05</v>
      </c>
      <c r="C84" s="46"/>
      <c r="D84" s="47"/>
      <c r="E84" s="45" t="s">
        <v>15</v>
      </c>
      <c r="F84" s="46" t="s">
        <v>15</v>
      </c>
      <c r="G84" s="2">
        <f t="array" ref="G84">_xlfn.IFS(E84=F84,1)</f>
        <v>1</v>
      </c>
      <c r="H84" s="2"/>
      <c r="J84" s="45">
        <v>1</v>
      </c>
      <c r="K84" s="46">
        <v>0.05</v>
      </c>
      <c r="L84" s="2">
        <f t="shared" si="6"/>
        <v>1.30102999566398</v>
      </c>
      <c r="T84" s="45">
        <v>1</v>
      </c>
      <c r="U84" s="46">
        <v>0.05</v>
      </c>
      <c r="V84" s="46">
        <f t="shared" si="7"/>
        <v>0</v>
      </c>
      <c r="W84" s="2">
        <f t="shared" si="8"/>
        <v>0</v>
      </c>
      <c r="X84" s="2">
        <f t="shared" si="9"/>
        <v>0</v>
      </c>
      <c r="Y84" s="2">
        <f t="shared" si="10"/>
        <v>0</v>
      </c>
    </row>
    <row r="85" spans="1:25">
      <c r="A85" s="45">
        <v>1</v>
      </c>
      <c r="B85" s="46">
        <v>0.9</v>
      </c>
      <c r="C85" s="46">
        <v>1</v>
      </c>
      <c r="D85" s="47"/>
      <c r="E85" s="45" t="s">
        <v>15</v>
      </c>
      <c r="F85" s="46" t="s">
        <v>15</v>
      </c>
      <c r="G85" s="2">
        <f t="array" ref="G85">_xlfn.IFS(E85=F85,1)</f>
        <v>1</v>
      </c>
      <c r="H85" s="2"/>
      <c r="J85" s="45">
        <v>1</v>
      </c>
      <c r="K85" s="46">
        <v>0.9</v>
      </c>
      <c r="L85" s="2">
        <f t="shared" si="6"/>
        <v>0.0457574905606751</v>
      </c>
      <c r="T85" s="45">
        <v>1</v>
      </c>
      <c r="U85" s="46">
        <v>0.9</v>
      </c>
      <c r="V85" s="46">
        <f t="shared" si="7"/>
        <v>1</v>
      </c>
      <c r="W85" s="2">
        <f t="shared" si="8"/>
        <v>1</v>
      </c>
      <c r="X85" s="2">
        <f t="shared" si="9"/>
        <v>1</v>
      </c>
      <c r="Y85" s="2">
        <f t="shared" si="10"/>
        <v>1</v>
      </c>
    </row>
    <row r="86" spans="1:25">
      <c r="A86" s="45">
        <v>1</v>
      </c>
      <c r="B86" s="46">
        <v>0.59</v>
      </c>
      <c r="C86" s="46">
        <v>1</v>
      </c>
      <c r="D86" s="47"/>
      <c r="E86" s="45" t="s">
        <v>15</v>
      </c>
      <c r="F86" s="46" t="s">
        <v>15</v>
      </c>
      <c r="G86" s="2">
        <f t="array" ref="G86">_xlfn.IFS(E86=F86,1)</f>
        <v>1</v>
      </c>
      <c r="H86" s="2"/>
      <c r="J86" s="45">
        <v>1</v>
      </c>
      <c r="K86" s="46">
        <v>0.59</v>
      </c>
      <c r="L86" s="2">
        <f t="shared" si="6"/>
        <v>0.229147988357856</v>
      </c>
      <c r="T86" s="45">
        <v>1</v>
      </c>
      <c r="U86" s="46">
        <v>0.59</v>
      </c>
      <c r="V86" s="46">
        <f t="shared" si="7"/>
        <v>1</v>
      </c>
      <c r="W86" s="2">
        <f t="shared" si="8"/>
        <v>1</v>
      </c>
      <c r="X86" s="2">
        <f t="shared" si="9"/>
        <v>1</v>
      </c>
      <c r="Y86" s="2">
        <f t="shared" si="10"/>
        <v>0</v>
      </c>
    </row>
    <row r="87" spans="1:25">
      <c r="A87" s="45">
        <v>0</v>
      </c>
      <c r="B87" s="46">
        <v>0.4</v>
      </c>
      <c r="C87" s="46"/>
      <c r="D87" s="47"/>
      <c r="E87" s="45" t="s">
        <v>16</v>
      </c>
      <c r="F87" s="46" t="s">
        <v>16</v>
      </c>
      <c r="G87" s="2">
        <f t="array" ref="G87">_xlfn.IFS(E87=F87,1)</f>
        <v>1</v>
      </c>
      <c r="H87" s="2"/>
      <c r="J87" s="45">
        <v>0</v>
      </c>
      <c r="K87" s="46">
        <v>0.4</v>
      </c>
      <c r="L87" s="2">
        <f t="shared" si="6"/>
        <v>0.221848749616356</v>
      </c>
      <c r="T87" s="45">
        <v>0</v>
      </c>
      <c r="U87" s="46">
        <v>0.4</v>
      </c>
      <c r="V87" s="46">
        <f t="shared" si="7"/>
        <v>1</v>
      </c>
      <c r="W87" s="2">
        <f t="shared" si="8"/>
        <v>1</v>
      </c>
      <c r="X87" s="2">
        <f t="shared" si="9"/>
        <v>0</v>
      </c>
      <c r="Y87" s="2">
        <f t="shared" si="10"/>
        <v>0</v>
      </c>
    </row>
    <row r="88" spans="1:25">
      <c r="A88" s="45">
        <v>0</v>
      </c>
      <c r="B88" s="46">
        <v>0.64</v>
      </c>
      <c r="C88" s="46">
        <v>1</v>
      </c>
      <c r="D88" s="47"/>
      <c r="E88" s="45" t="s">
        <v>16</v>
      </c>
      <c r="F88" s="46" t="s">
        <v>16</v>
      </c>
      <c r="G88" s="2">
        <f t="array" ref="G88">_xlfn.IFS(E88=F88,1)</f>
        <v>1</v>
      </c>
      <c r="H88" s="2"/>
      <c r="J88" s="45">
        <v>0</v>
      </c>
      <c r="K88" s="46">
        <v>0.64</v>
      </c>
      <c r="L88" s="2">
        <f t="shared" si="6"/>
        <v>0.443697499232713</v>
      </c>
      <c r="T88" s="45">
        <v>0</v>
      </c>
      <c r="U88" s="46">
        <v>0.64</v>
      </c>
      <c r="V88" s="46">
        <f t="shared" si="7"/>
        <v>1</v>
      </c>
      <c r="W88" s="2">
        <f t="shared" si="8"/>
        <v>1</v>
      </c>
      <c r="X88" s="2">
        <f t="shared" si="9"/>
        <v>1</v>
      </c>
      <c r="Y88" s="2">
        <f t="shared" si="10"/>
        <v>0</v>
      </c>
    </row>
    <row r="89" spans="1:25">
      <c r="A89" s="45">
        <v>1</v>
      </c>
      <c r="B89" s="46">
        <v>0.77</v>
      </c>
      <c r="C89" s="46">
        <v>1</v>
      </c>
      <c r="D89" s="47"/>
      <c r="E89" s="45" t="s">
        <v>15</v>
      </c>
      <c r="F89" s="46" t="s">
        <v>15</v>
      </c>
      <c r="G89" s="2">
        <f t="array" ref="G89">_xlfn.IFS(E89=F89,1)</f>
        <v>1</v>
      </c>
      <c r="H89" s="2"/>
      <c r="J89" s="45">
        <v>1</v>
      </c>
      <c r="K89" s="46">
        <v>0.77</v>
      </c>
      <c r="L89" s="2">
        <f t="shared" si="6"/>
        <v>0.113509274827518</v>
      </c>
      <c r="T89" s="45">
        <v>1</v>
      </c>
      <c r="U89" s="46">
        <v>0.77</v>
      </c>
      <c r="V89" s="46">
        <f t="shared" si="7"/>
        <v>1</v>
      </c>
      <c r="W89" s="2">
        <f t="shared" si="8"/>
        <v>1</v>
      </c>
      <c r="X89" s="2">
        <f t="shared" si="9"/>
        <v>1</v>
      </c>
      <c r="Y89" s="2">
        <f t="shared" si="10"/>
        <v>0</v>
      </c>
    </row>
    <row r="90" spans="1:25">
      <c r="A90" s="45">
        <v>1</v>
      </c>
      <c r="B90" s="46">
        <v>0.99</v>
      </c>
      <c r="C90" s="46">
        <v>1</v>
      </c>
      <c r="D90" s="47"/>
      <c r="E90" s="45" t="s">
        <v>15</v>
      </c>
      <c r="F90" s="46" t="s">
        <v>15</v>
      </c>
      <c r="G90" s="2">
        <f t="array" ref="G90">_xlfn.IFS(E90=F90,1)</f>
        <v>1</v>
      </c>
      <c r="H90" s="2"/>
      <c r="J90" s="45">
        <v>1</v>
      </c>
      <c r="K90" s="46">
        <v>0.99</v>
      </c>
      <c r="L90" s="2">
        <f t="shared" si="6"/>
        <v>0.00436480540245009</v>
      </c>
      <c r="T90" s="45">
        <v>1</v>
      </c>
      <c r="U90" s="46">
        <v>0.99</v>
      </c>
      <c r="V90" s="46">
        <f t="shared" si="7"/>
        <v>1</v>
      </c>
      <c r="W90" s="2">
        <f t="shared" si="8"/>
        <v>1</v>
      </c>
      <c r="X90" s="2">
        <f t="shared" si="9"/>
        <v>1</v>
      </c>
      <c r="Y90" s="2">
        <f t="shared" si="10"/>
        <v>1</v>
      </c>
    </row>
    <row r="91" spans="1:25">
      <c r="A91" s="45">
        <v>1</v>
      </c>
      <c r="B91" s="46">
        <v>0.58</v>
      </c>
      <c r="C91" s="46">
        <v>1</v>
      </c>
      <c r="D91" s="47"/>
      <c r="E91" s="45" t="s">
        <v>15</v>
      </c>
      <c r="F91" s="46" t="s">
        <v>15</v>
      </c>
      <c r="G91" s="2">
        <f t="array" ref="G91">_xlfn.IFS(E91=F91,1)</f>
        <v>1</v>
      </c>
      <c r="H91" s="2"/>
      <c r="J91" s="45">
        <v>1</v>
      </c>
      <c r="K91" s="46">
        <v>0.58</v>
      </c>
      <c r="L91" s="2">
        <f t="shared" si="6"/>
        <v>0.236572006437063</v>
      </c>
      <c r="T91" s="45">
        <v>1</v>
      </c>
      <c r="U91" s="46">
        <v>0.58</v>
      </c>
      <c r="V91" s="46">
        <f t="shared" si="7"/>
        <v>1</v>
      </c>
      <c r="W91" s="2">
        <f t="shared" si="8"/>
        <v>1</v>
      </c>
      <c r="X91" s="2">
        <f t="shared" si="9"/>
        <v>1</v>
      </c>
      <c r="Y91" s="2">
        <f t="shared" si="10"/>
        <v>0</v>
      </c>
    </row>
    <row r="92" spans="1:25">
      <c r="A92" s="45">
        <v>0</v>
      </c>
      <c r="B92" s="46">
        <v>0.39</v>
      </c>
      <c r="C92" s="46"/>
      <c r="D92" s="47"/>
      <c r="E92" s="45" t="s">
        <v>16</v>
      </c>
      <c r="F92" s="46" t="s">
        <v>15</v>
      </c>
      <c r="G92" s="2" t="e">
        <f t="array" ref="G92">_xlfn.IFS(E92=F92,1)</f>
        <v>#N/A</v>
      </c>
      <c r="H92" s="2"/>
      <c r="J92" s="45">
        <v>0</v>
      </c>
      <c r="K92" s="46">
        <v>0.39</v>
      </c>
      <c r="L92" s="2">
        <f t="shared" si="6"/>
        <v>0.214670164989233</v>
      </c>
      <c r="T92" s="45">
        <v>0</v>
      </c>
      <c r="U92" s="46">
        <v>0.39</v>
      </c>
      <c r="V92" s="46">
        <f t="shared" si="7"/>
        <v>1</v>
      </c>
      <c r="W92" s="2">
        <f t="shared" si="8"/>
        <v>1</v>
      </c>
      <c r="X92" s="2">
        <f t="shared" si="9"/>
        <v>0</v>
      </c>
      <c r="Y92" s="2">
        <f t="shared" si="10"/>
        <v>0</v>
      </c>
    </row>
    <row r="93" spans="1:25">
      <c r="A93" s="45">
        <v>1</v>
      </c>
      <c r="B93" s="46">
        <v>0.62</v>
      </c>
      <c r="C93" s="46">
        <v>1</v>
      </c>
      <c r="D93" s="47"/>
      <c r="E93" s="45" t="s">
        <v>15</v>
      </c>
      <c r="F93" s="46" t="s">
        <v>15</v>
      </c>
      <c r="G93" s="2">
        <f t="array" ref="G93">_xlfn.IFS(E93=F93,1)</f>
        <v>1</v>
      </c>
      <c r="H93" s="2"/>
      <c r="J93" s="45">
        <v>1</v>
      </c>
      <c r="K93" s="46">
        <v>0.62</v>
      </c>
      <c r="L93" s="2">
        <f t="shared" si="6"/>
        <v>0.207608310501746</v>
      </c>
      <c r="T93" s="45">
        <v>1</v>
      </c>
      <c r="U93" s="46">
        <v>0.62</v>
      </c>
      <c r="V93" s="46">
        <f t="shared" si="7"/>
        <v>1</v>
      </c>
      <c r="W93" s="2">
        <f t="shared" si="8"/>
        <v>1</v>
      </c>
      <c r="X93" s="2">
        <f t="shared" si="9"/>
        <v>1</v>
      </c>
      <c r="Y93" s="2">
        <f t="shared" si="10"/>
        <v>0</v>
      </c>
    </row>
    <row r="94" spans="1:25">
      <c r="A94" s="45">
        <v>1</v>
      </c>
      <c r="B94" s="46">
        <v>0.82</v>
      </c>
      <c r="C94" s="46">
        <v>1</v>
      </c>
      <c r="D94" s="47"/>
      <c r="E94" s="45" t="s">
        <v>15</v>
      </c>
      <c r="F94" s="46" t="s">
        <v>15</v>
      </c>
      <c r="G94" s="2">
        <f t="array" ref="G94">_xlfn.IFS(E94=F94,1)</f>
        <v>1</v>
      </c>
      <c r="H94" s="2"/>
      <c r="J94" s="45">
        <v>1</v>
      </c>
      <c r="K94" s="46">
        <v>0.82</v>
      </c>
      <c r="L94" s="2">
        <f t="shared" si="6"/>
        <v>0.0861861476162833</v>
      </c>
      <c r="T94" s="45">
        <v>1</v>
      </c>
      <c r="U94" s="46">
        <v>0.82</v>
      </c>
      <c r="V94" s="46">
        <f t="shared" si="7"/>
        <v>1</v>
      </c>
      <c r="W94" s="2">
        <f t="shared" si="8"/>
        <v>1</v>
      </c>
      <c r="X94" s="2">
        <f t="shared" si="9"/>
        <v>1</v>
      </c>
      <c r="Y94" s="2">
        <f t="shared" si="10"/>
        <v>1</v>
      </c>
    </row>
    <row r="95" spans="1:25">
      <c r="A95" s="45">
        <v>1</v>
      </c>
      <c r="B95" s="46">
        <v>0.82</v>
      </c>
      <c r="C95" s="46">
        <v>1</v>
      </c>
      <c r="D95" s="47"/>
      <c r="E95" s="45" t="s">
        <v>15</v>
      </c>
      <c r="F95" s="46" t="s">
        <v>15</v>
      </c>
      <c r="G95" s="2">
        <f t="array" ref="G95">_xlfn.IFS(E95=F95,1)</f>
        <v>1</v>
      </c>
      <c r="H95" s="2"/>
      <c r="J95" s="45">
        <v>1</v>
      </c>
      <c r="K95" s="46">
        <v>0.82</v>
      </c>
      <c r="L95" s="2">
        <f t="shared" si="6"/>
        <v>0.0861861476162833</v>
      </c>
      <c r="T95" s="45">
        <v>1</v>
      </c>
      <c r="U95" s="46">
        <v>0.82</v>
      </c>
      <c r="V95" s="46">
        <f t="shared" si="7"/>
        <v>1</v>
      </c>
      <c r="W95" s="2">
        <f t="shared" si="8"/>
        <v>1</v>
      </c>
      <c r="X95" s="2">
        <f t="shared" si="9"/>
        <v>1</v>
      </c>
      <c r="Y95" s="2">
        <f t="shared" si="10"/>
        <v>1</v>
      </c>
    </row>
    <row r="96" spans="1:25">
      <c r="A96" s="45">
        <v>1</v>
      </c>
      <c r="B96" s="46">
        <v>0.74</v>
      </c>
      <c r="C96" s="46">
        <v>1</v>
      </c>
      <c r="D96" s="47"/>
      <c r="E96" s="45" t="s">
        <v>15</v>
      </c>
      <c r="F96" s="46" t="s">
        <v>15</v>
      </c>
      <c r="G96" s="2">
        <f t="array" ref="G96">_xlfn.IFS(E96=F96,1)</f>
        <v>1</v>
      </c>
      <c r="H96" s="2"/>
      <c r="J96" s="45">
        <v>1</v>
      </c>
      <c r="K96" s="46">
        <v>0.74</v>
      </c>
      <c r="L96" s="2">
        <f t="shared" si="6"/>
        <v>0.130768280269024</v>
      </c>
      <c r="T96" s="45">
        <v>1</v>
      </c>
      <c r="U96" s="46">
        <v>0.74</v>
      </c>
      <c r="V96" s="46">
        <f t="shared" si="7"/>
        <v>1</v>
      </c>
      <c r="W96" s="2">
        <f t="shared" si="8"/>
        <v>1</v>
      </c>
      <c r="X96" s="2">
        <f t="shared" si="9"/>
        <v>1</v>
      </c>
      <c r="Y96" s="2">
        <f t="shared" si="10"/>
        <v>0</v>
      </c>
    </row>
    <row r="97" spans="1:25">
      <c r="A97" s="45">
        <v>1</v>
      </c>
      <c r="B97" s="46">
        <v>0.85</v>
      </c>
      <c r="C97" s="46">
        <v>1</v>
      </c>
      <c r="D97" s="47"/>
      <c r="E97" s="45" t="s">
        <v>15</v>
      </c>
      <c r="F97" s="46" t="s">
        <v>15</v>
      </c>
      <c r="G97" s="2">
        <f t="array" ref="G97">_xlfn.IFS(E97=F97,1)</f>
        <v>1</v>
      </c>
      <c r="H97" s="2"/>
      <c r="J97" s="45">
        <v>1</v>
      </c>
      <c r="K97" s="46">
        <v>0.85</v>
      </c>
      <c r="L97" s="2">
        <f t="shared" si="6"/>
        <v>0.0705810742857073</v>
      </c>
      <c r="T97" s="45">
        <v>1</v>
      </c>
      <c r="U97" s="46">
        <v>0.85</v>
      </c>
      <c r="V97" s="46">
        <f t="shared" si="7"/>
        <v>1</v>
      </c>
      <c r="W97" s="2">
        <f t="shared" si="8"/>
        <v>1</v>
      </c>
      <c r="X97" s="2">
        <f t="shared" si="9"/>
        <v>1</v>
      </c>
      <c r="Y97" s="2">
        <f t="shared" si="10"/>
        <v>1</v>
      </c>
    </row>
    <row r="98" spans="1:25">
      <c r="A98" s="45">
        <v>1</v>
      </c>
      <c r="B98" s="46">
        <v>0.77</v>
      </c>
      <c r="C98" s="46">
        <v>1</v>
      </c>
      <c r="D98" s="47"/>
      <c r="E98" s="45" t="s">
        <v>15</v>
      </c>
      <c r="F98" s="46" t="s">
        <v>15</v>
      </c>
      <c r="G98" s="2">
        <f t="array" ref="G98">_xlfn.IFS(E98=F98,1)</f>
        <v>1</v>
      </c>
      <c r="H98" s="2"/>
      <c r="J98" s="45">
        <v>1</v>
      </c>
      <c r="K98" s="46">
        <v>0.77</v>
      </c>
      <c r="L98" s="2">
        <f t="shared" si="6"/>
        <v>0.113509274827518</v>
      </c>
      <c r="T98" s="45">
        <v>1</v>
      </c>
      <c r="U98" s="46">
        <v>0.77</v>
      </c>
      <c r="V98" s="46">
        <f t="shared" si="7"/>
        <v>1</v>
      </c>
      <c r="W98" s="2">
        <f t="shared" si="8"/>
        <v>1</v>
      </c>
      <c r="X98" s="2">
        <f t="shared" si="9"/>
        <v>1</v>
      </c>
      <c r="Y98" s="2">
        <f t="shared" si="10"/>
        <v>0</v>
      </c>
    </row>
    <row r="99" spans="1:25">
      <c r="A99" s="45">
        <v>0</v>
      </c>
      <c r="B99" s="46">
        <v>0.43</v>
      </c>
      <c r="C99" s="46"/>
      <c r="D99" s="47"/>
      <c r="E99" s="45" t="s">
        <v>16</v>
      </c>
      <c r="F99" s="46" t="s">
        <v>15</v>
      </c>
      <c r="G99" s="2" t="e">
        <f t="array" ref="G99">_xlfn.IFS(E99=F99,1)</f>
        <v>#N/A</v>
      </c>
      <c r="H99" s="2"/>
      <c r="J99" s="45">
        <v>0</v>
      </c>
      <c r="K99" s="46">
        <v>0.43</v>
      </c>
      <c r="L99" s="2">
        <f t="shared" si="6"/>
        <v>0.244125144327509</v>
      </c>
      <c r="T99" s="45">
        <v>0</v>
      </c>
      <c r="U99" s="46">
        <v>0.43</v>
      </c>
      <c r="V99" s="46">
        <f t="shared" si="7"/>
        <v>1</v>
      </c>
      <c r="W99" s="2">
        <f t="shared" si="8"/>
        <v>1</v>
      </c>
      <c r="X99" s="2">
        <f t="shared" si="9"/>
        <v>0</v>
      </c>
      <c r="Y99" s="2">
        <f t="shared" si="10"/>
        <v>0</v>
      </c>
    </row>
    <row r="100" spans="1:25">
      <c r="A100" s="45">
        <v>1</v>
      </c>
      <c r="B100" s="46">
        <v>0.64</v>
      </c>
      <c r="C100" s="46">
        <v>1</v>
      </c>
      <c r="D100" s="47"/>
      <c r="E100" s="45" t="s">
        <v>15</v>
      </c>
      <c r="F100" s="46" t="s">
        <v>15</v>
      </c>
      <c r="G100" s="2">
        <f t="array" ref="G100">_xlfn.IFS(E100=F100,1)</f>
        <v>1</v>
      </c>
      <c r="H100" s="2"/>
      <c r="J100" s="45">
        <v>1</v>
      </c>
      <c r="K100" s="46">
        <v>0.64</v>
      </c>
      <c r="L100" s="2">
        <f t="shared" si="6"/>
        <v>0.193820026016113</v>
      </c>
      <c r="T100" s="45">
        <v>1</v>
      </c>
      <c r="U100" s="46">
        <v>0.64</v>
      </c>
      <c r="V100" s="46">
        <f t="shared" si="7"/>
        <v>1</v>
      </c>
      <c r="W100" s="2">
        <f t="shared" si="8"/>
        <v>1</v>
      </c>
      <c r="X100" s="2">
        <f t="shared" si="9"/>
        <v>1</v>
      </c>
      <c r="Y100" s="2">
        <f t="shared" si="10"/>
        <v>0</v>
      </c>
    </row>
    <row r="101" spans="1:25">
      <c r="A101" s="45">
        <v>1</v>
      </c>
      <c r="B101" s="46">
        <v>0.93</v>
      </c>
      <c r="C101" s="46">
        <v>1</v>
      </c>
      <c r="D101" s="47"/>
      <c r="E101" s="45" t="s">
        <v>15</v>
      </c>
      <c r="F101" s="46" t="s">
        <v>15</v>
      </c>
      <c r="G101" s="2">
        <f t="array" ref="G101">_xlfn.IFS(E101=F101,1)</f>
        <v>1</v>
      </c>
      <c r="H101" s="2"/>
      <c r="J101" s="45">
        <v>1</v>
      </c>
      <c r="K101" s="46">
        <v>0.93</v>
      </c>
      <c r="L101" s="2">
        <f t="shared" si="6"/>
        <v>0.0315170514460649</v>
      </c>
      <c r="T101" s="45">
        <v>1</v>
      </c>
      <c r="U101" s="46">
        <v>0.93</v>
      </c>
      <c r="V101" s="46">
        <f t="shared" si="7"/>
        <v>1</v>
      </c>
      <c r="W101" s="2">
        <f t="shared" si="8"/>
        <v>1</v>
      </c>
      <c r="X101" s="2">
        <f t="shared" si="9"/>
        <v>1</v>
      </c>
      <c r="Y101" s="2">
        <f t="shared" si="10"/>
        <v>1</v>
      </c>
    </row>
    <row r="102" spans="1:25">
      <c r="A102" s="45">
        <v>1</v>
      </c>
      <c r="B102" s="46">
        <v>0.7</v>
      </c>
      <c r="C102" s="46">
        <v>1</v>
      </c>
      <c r="D102" s="47"/>
      <c r="E102" s="45" t="s">
        <v>15</v>
      </c>
      <c r="F102" s="46" t="s">
        <v>15</v>
      </c>
      <c r="G102" s="2">
        <f t="array" ref="G102">_xlfn.IFS(E102=F102,1)</f>
        <v>1</v>
      </c>
      <c r="H102" s="2"/>
      <c r="J102" s="45">
        <v>1</v>
      </c>
      <c r="K102" s="46">
        <v>0.7</v>
      </c>
      <c r="L102" s="2">
        <f t="shared" si="6"/>
        <v>0.154901959985743</v>
      </c>
      <c r="T102" s="45">
        <v>1</v>
      </c>
      <c r="U102" s="46">
        <v>0.7</v>
      </c>
      <c r="V102" s="46">
        <f t="shared" si="7"/>
        <v>1</v>
      </c>
      <c r="W102" s="2">
        <f t="shared" si="8"/>
        <v>1</v>
      </c>
      <c r="X102" s="2">
        <f t="shared" si="9"/>
        <v>1</v>
      </c>
      <c r="Y102" s="2">
        <f t="shared" si="10"/>
        <v>0</v>
      </c>
    </row>
    <row r="103" spans="1:25">
      <c r="A103" s="45">
        <v>0</v>
      </c>
      <c r="B103" s="46">
        <v>0.13</v>
      </c>
      <c r="C103" s="46"/>
      <c r="D103" s="47"/>
      <c r="E103" s="45" t="s">
        <v>16</v>
      </c>
      <c r="F103" s="46" t="s">
        <v>16</v>
      </c>
      <c r="G103" s="2">
        <f t="array" ref="G103">_xlfn.IFS(E103=F103,1)</f>
        <v>1</v>
      </c>
      <c r="H103" s="2"/>
      <c r="J103" s="45">
        <v>0</v>
      </c>
      <c r="K103" s="46">
        <v>0.13</v>
      </c>
      <c r="L103" s="2">
        <f t="shared" si="6"/>
        <v>0.0604807473813815</v>
      </c>
      <c r="T103" s="45">
        <v>0</v>
      </c>
      <c r="U103" s="46">
        <v>0.13</v>
      </c>
      <c r="V103" s="46">
        <f t="shared" si="7"/>
        <v>1</v>
      </c>
      <c r="W103" s="2">
        <f t="shared" si="8"/>
        <v>0</v>
      </c>
      <c r="X103" s="2">
        <f t="shared" si="9"/>
        <v>0</v>
      </c>
      <c r="Y103" s="2">
        <f t="shared" si="10"/>
        <v>0</v>
      </c>
    </row>
    <row r="104" spans="1:25">
      <c r="A104" s="45">
        <v>0</v>
      </c>
      <c r="B104" s="46">
        <v>0.17</v>
      </c>
      <c r="C104" s="46"/>
      <c r="D104" s="47"/>
      <c r="E104" s="45" t="s">
        <v>16</v>
      </c>
      <c r="F104" s="46" t="s">
        <v>16</v>
      </c>
      <c r="G104" s="2">
        <f t="array" ref="G104">_xlfn.IFS(E104=F104,1)</f>
        <v>1</v>
      </c>
      <c r="H104" s="2"/>
      <c r="J104" s="45">
        <v>0</v>
      </c>
      <c r="K104" s="46">
        <v>0.17</v>
      </c>
      <c r="L104" s="2">
        <f t="shared" si="6"/>
        <v>0.0809219076239261</v>
      </c>
      <c r="T104" s="45">
        <v>0</v>
      </c>
      <c r="U104" s="46">
        <v>0.17</v>
      </c>
      <c r="V104" s="46">
        <f t="shared" si="7"/>
        <v>1</v>
      </c>
      <c r="W104" s="2">
        <f t="shared" si="8"/>
        <v>0</v>
      </c>
      <c r="X104" s="2">
        <f t="shared" si="9"/>
        <v>0</v>
      </c>
      <c r="Y104" s="2">
        <f t="shared" si="10"/>
        <v>0</v>
      </c>
    </row>
    <row r="105" spans="1:25">
      <c r="A105" s="45">
        <v>1</v>
      </c>
      <c r="B105" s="46">
        <v>0.46</v>
      </c>
      <c r="C105" s="46"/>
      <c r="D105" s="47"/>
      <c r="E105" s="45" t="s">
        <v>15</v>
      </c>
      <c r="F105" s="46" t="s">
        <v>15</v>
      </c>
      <c r="G105" s="2">
        <f t="array" ref="G105">_xlfn.IFS(E105=F105,1)</f>
        <v>1</v>
      </c>
      <c r="H105" s="2"/>
      <c r="J105" s="45">
        <v>1</v>
      </c>
      <c r="K105" s="46">
        <v>0.46</v>
      </c>
      <c r="L105" s="2">
        <f t="shared" si="6"/>
        <v>0.337242168318426</v>
      </c>
      <c r="T105" s="45">
        <v>1</v>
      </c>
      <c r="U105" s="46">
        <v>0.46</v>
      </c>
      <c r="V105" s="46">
        <f t="shared" si="7"/>
        <v>1</v>
      </c>
      <c r="W105" s="2">
        <f t="shared" si="8"/>
        <v>1</v>
      </c>
      <c r="X105" s="2">
        <f t="shared" si="9"/>
        <v>0</v>
      </c>
      <c r="Y105" s="2">
        <f t="shared" si="10"/>
        <v>0</v>
      </c>
    </row>
    <row r="106" spans="1:25">
      <c r="A106" s="45">
        <v>0</v>
      </c>
      <c r="B106" s="46">
        <v>0.92</v>
      </c>
      <c r="C106" s="46">
        <v>1</v>
      </c>
      <c r="D106" s="47"/>
      <c r="E106" s="45" t="s">
        <v>16</v>
      </c>
      <c r="F106" s="46" t="s">
        <v>15</v>
      </c>
      <c r="G106" s="2" t="e">
        <f t="array" ref="G106">_xlfn.IFS(E106=F106,1)</f>
        <v>#N/A</v>
      </c>
      <c r="H106" s="2"/>
      <c r="J106" s="45">
        <v>0</v>
      </c>
      <c r="K106" s="46">
        <v>0.92</v>
      </c>
      <c r="L106" s="2">
        <f t="shared" si="6"/>
        <v>1.09691001300806</v>
      </c>
      <c r="T106" s="45">
        <v>0</v>
      </c>
      <c r="U106" s="46">
        <v>0.92</v>
      </c>
      <c r="V106" s="46">
        <f t="shared" si="7"/>
        <v>1</v>
      </c>
      <c r="W106" s="2">
        <f t="shared" si="8"/>
        <v>1</v>
      </c>
      <c r="X106" s="2">
        <f t="shared" si="9"/>
        <v>1</v>
      </c>
      <c r="Y106" s="2">
        <f t="shared" si="10"/>
        <v>1</v>
      </c>
    </row>
    <row r="107" spans="1:25">
      <c r="A107" s="45">
        <v>1</v>
      </c>
      <c r="B107" s="46">
        <v>0.81</v>
      </c>
      <c r="C107" s="46">
        <v>1</v>
      </c>
      <c r="D107" s="47"/>
      <c r="E107" s="45" t="s">
        <v>15</v>
      </c>
      <c r="F107" s="46" t="s">
        <v>15</v>
      </c>
      <c r="G107" s="2">
        <f t="array" ref="G107">_xlfn.IFS(E107=F107,1)</f>
        <v>1</v>
      </c>
      <c r="H107" s="2"/>
      <c r="J107" s="45">
        <v>1</v>
      </c>
      <c r="K107" s="46">
        <v>0.81</v>
      </c>
      <c r="L107" s="2">
        <f t="shared" si="6"/>
        <v>0.0915149811213502</v>
      </c>
      <c r="T107" s="45">
        <v>1</v>
      </c>
      <c r="U107" s="46">
        <v>0.81</v>
      </c>
      <c r="V107" s="46">
        <f t="shared" si="7"/>
        <v>1</v>
      </c>
      <c r="W107" s="2">
        <f t="shared" si="8"/>
        <v>1</v>
      </c>
      <c r="X107" s="2">
        <f t="shared" si="9"/>
        <v>1</v>
      </c>
      <c r="Y107" s="2">
        <f t="shared" si="10"/>
        <v>1</v>
      </c>
    </row>
    <row r="108" spans="1:25">
      <c r="A108" s="45">
        <v>1</v>
      </c>
      <c r="B108" s="46">
        <v>0.02</v>
      </c>
      <c r="C108" s="46"/>
      <c r="D108" s="47"/>
      <c r="E108" s="45" t="s">
        <v>15</v>
      </c>
      <c r="F108" s="46" t="s">
        <v>15</v>
      </c>
      <c r="G108" s="2">
        <f t="array" ref="G108">_xlfn.IFS(E108=F108,1)</f>
        <v>1</v>
      </c>
      <c r="H108" s="2"/>
      <c r="J108" s="45">
        <v>1</v>
      </c>
      <c r="K108" s="46">
        <v>0.02</v>
      </c>
      <c r="L108" s="2">
        <f t="shared" si="6"/>
        <v>1.69897000433602</v>
      </c>
      <c r="T108" s="45">
        <v>1</v>
      </c>
      <c r="U108" s="46">
        <v>0.02</v>
      </c>
      <c r="V108" s="46">
        <f t="shared" si="7"/>
        <v>0</v>
      </c>
      <c r="W108" s="2">
        <f t="shared" si="8"/>
        <v>0</v>
      </c>
      <c r="X108" s="2">
        <f t="shared" si="9"/>
        <v>0</v>
      </c>
      <c r="Y108" s="2">
        <f t="shared" si="10"/>
        <v>0</v>
      </c>
    </row>
    <row r="109" spans="1:25">
      <c r="A109" s="45">
        <v>1</v>
      </c>
      <c r="B109" s="46">
        <v>0.6</v>
      </c>
      <c r="C109" s="46">
        <v>1</v>
      </c>
      <c r="D109" s="47"/>
      <c r="E109" s="45" t="s">
        <v>15</v>
      </c>
      <c r="F109" s="46" t="s">
        <v>15</v>
      </c>
      <c r="G109" s="2">
        <f t="array" ref="G109">_xlfn.IFS(E109=F109,1)</f>
        <v>1</v>
      </c>
      <c r="H109" s="2"/>
      <c r="J109" s="45">
        <v>1</v>
      </c>
      <c r="K109" s="46">
        <v>0.6</v>
      </c>
      <c r="L109" s="2">
        <f t="shared" si="6"/>
        <v>0.221848749616356</v>
      </c>
      <c r="T109" s="45">
        <v>1</v>
      </c>
      <c r="U109" s="46">
        <v>0.6</v>
      </c>
      <c r="V109" s="46">
        <f t="shared" si="7"/>
        <v>1</v>
      </c>
      <c r="W109" s="2">
        <f t="shared" si="8"/>
        <v>1</v>
      </c>
      <c r="X109" s="2">
        <f t="shared" si="9"/>
        <v>1</v>
      </c>
      <c r="Y109" s="2">
        <f t="shared" si="10"/>
        <v>0</v>
      </c>
    </row>
    <row r="110" spans="1:25">
      <c r="A110" s="45">
        <v>1</v>
      </c>
      <c r="B110" s="46">
        <v>0.52</v>
      </c>
      <c r="C110" s="46">
        <v>1</v>
      </c>
      <c r="D110" s="47"/>
      <c r="E110" s="45" t="s">
        <v>15</v>
      </c>
      <c r="F110" s="46" t="s">
        <v>15</v>
      </c>
      <c r="G110" s="2">
        <f t="array" ref="G110">_xlfn.IFS(E110=F110,1)</f>
        <v>1</v>
      </c>
      <c r="H110" s="2"/>
      <c r="J110" s="45">
        <v>1</v>
      </c>
      <c r="K110" s="46">
        <v>0.52</v>
      </c>
      <c r="L110" s="2">
        <f t="shared" si="6"/>
        <v>0.283996656365201</v>
      </c>
      <c r="T110" s="45">
        <v>1</v>
      </c>
      <c r="U110" s="46">
        <v>0.52</v>
      </c>
      <c r="V110" s="46">
        <f t="shared" si="7"/>
        <v>1</v>
      </c>
      <c r="W110" s="2">
        <f t="shared" si="8"/>
        <v>1</v>
      </c>
      <c r="X110" s="2">
        <f t="shared" si="9"/>
        <v>1</v>
      </c>
      <c r="Y110" s="2">
        <f t="shared" si="10"/>
        <v>0</v>
      </c>
    </row>
    <row r="111" spans="1:25">
      <c r="A111" s="45">
        <v>1</v>
      </c>
      <c r="B111" s="46">
        <v>0.5</v>
      </c>
      <c r="C111" s="46">
        <v>1</v>
      </c>
      <c r="D111" s="47"/>
      <c r="E111" s="45" t="s">
        <v>15</v>
      </c>
      <c r="F111" s="46" t="s">
        <v>15</v>
      </c>
      <c r="G111" s="2">
        <f t="array" ref="G111">_xlfn.IFS(E111=F111,1)</f>
        <v>1</v>
      </c>
      <c r="H111" s="2"/>
      <c r="J111" s="45">
        <v>1</v>
      </c>
      <c r="K111" s="46">
        <v>0.5</v>
      </c>
      <c r="L111" s="2">
        <f t="shared" si="6"/>
        <v>0.301029995663981</v>
      </c>
      <c r="T111" s="45">
        <v>1</v>
      </c>
      <c r="U111" s="46">
        <v>0.5</v>
      </c>
      <c r="V111" s="46">
        <f t="shared" si="7"/>
        <v>1</v>
      </c>
      <c r="W111" s="2">
        <f t="shared" si="8"/>
        <v>1</v>
      </c>
      <c r="X111" s="2">
        <f t="shared" si="9"/>
        <v>1</v>
      </c>
      <c r="Y111" s="2">
        <f t="shared" si="10"/>
        <v>0</v>
      </c>
    </row>
    <row r="112" spans="1:25">
      <c r="A112" s="45">
        <v>0</v>
      </c>
      <c r="B112" s="46">
        <v>0.3</v>
      </c>
      <c r="C112" s="46"/>
      <c r="D112" s="47"/>
      <c r="E112" s="45" t="s">
        <v>16</v>
      </c>
      <c r="F112" s="46" t="s">
        <v>15</v>
      </c>
      <c r="G112" s="2" t="e" cm="1">
        <f t="array" ref="G112">_xlfn.IFS(E112=F112,1)</f>
        <v>#N/A</v>
      </c>
      <c r="H112" s="2"/>
      <c r="J112" s="45">
        <v>0</v>
      </c>
      <c r="K112" s="46">
        <v>0.3</v>
      </c>
      <c r="L112" s="2">
        <f t="shared" si="6"/>
        <v>0.154901959985743</v>
      </c>
      <c r="T112" s="45">
        <v>0</v>
      </c>
      <c r="U112" s="46">
        <v>0.3</v>
      </c>
      <c r="V112" s="46">
        <f t="shared" si="7"/>
        <v>1</v>
      </c>
      <c r="W112" s="2">
        <f t="shared" si="8"/>
        <v>1</v>
      </c>
      <c r="X112" s="2">
        <f t="shared" si="9"/>
        <v>0</v>
      </c>
      <c r="Y112" s="2">
        <f t="shared" si="10"/>
        <v>0</v>
      </c>
    </row>
    <row r="113" spans="1:25">
      <c r="A113" s="45">
        <v>0</v>
      </c>
      <c r="B113" s="46">
        <v>0.2</v>
      </c>
      <c r="C113" s="46"/>
      <c r="D113" s="47"/>
      <c r="E113" s="45" t="s">
        <v>16</v>
      </c>
      <c r="F113" s="46" t="s">
        <v>16</v>
      </c>
      <c r="G113" s="2">
        <f t="array" ref="G113">_xlfn.IFS(E113=F113,1)</f>
        <v>1</v>
      </c>
      <c r="H113" s="2"/>
      <c r="J113" s="45">
        <v>0</v>
      </c>
      <c r="K113" s="46">
        <v>0.2</v>
      </c>
      <c r="L113" s="2">
        <f t="shared" si="6"/>
        <v>0.0969100130080564</v>
      </c>
      <c r="T113" s="45">
        <v>0</v>
      </c>
      <c r="U113" s="46">
        <v>0.2</v>
      </c>
      <c r="V113" s="46">
        <f t="shared" si="7"/>
        <v>1</v>
      </c>
      <c r="W113" s="2">
        <f t="shared" si="8"/>
        <v>0</v>
      </c>
      <c r="X113" s="2">
        <f t="shared" si="9"/>
        <v>0</v>
      </c>
      <c r="Y113" s="2">
        <f t="shared" si="10"/>
        <v>0</v>
      </c>
    </row>
    <row r="114" spans="1:25">
      <c r="A114" s="45">
        <v>1</v>
      </c>
      <c r="B114" s="46">
        <v>0.73</v>
      </c>
      <c r="C114" s="46">
        <v>1</v>
      </c>
      <c r="D114" s="47"/>
      <c r="E114" s="45" t="s">
        <v>15</v>
      </c>
      <c r="F114" s="46" t="s">
        <v>15</v>
      </c>
      <c r="G114" s="2">
        <f t="array" ref="G114">_xlfn.IFS(E114=F114,1)</f>
        <v>1</v>
      </c>
      <c r="H114" s="2"/>
      <c r="J114" s="45">
        <v>1</v>
      </c>
      <c r="K114" s="46">
        <v>0.73</v>
      </c>
      <c r="L114" s="2">
        <f t="shared" si="6"/>
        <v>0.136677139879544</v>
      </c>
      <c r="T114" s="45">
        <v>1</v>
      </c>
      <c r="U114" s="46">
        <v>0.73</v>
      </c>
      <c r="V114" s="46">
        <f t="shared" si="7"/>
        <v>1</v>
      </c>
      <c r="W114" s="2">
        <f t="shared" si="8"/>
        <v>1</v>
      </c>
      <c r="X114" s="2">
        <f t="shared" si="9"/>
        <v>1</v>
      </c>
      <c r="Y114" s="2">
        <f t="shared" si="10"/>
        <v>0</v>
      </c>
    </row>
    <row r="115" spans="1:25">
      <c r="A115" s="45">
        <v>0</v>
      </c>
      <c r="B115" s="46">
        <v>0.5</v>
      </c>
      <c r="C115" s="46">
        <v>1</v>
      </c>
      <c r="D115" s="47"/>
      <c r="E115" s="45" t="s">
        <v>16</v>
      </c>
      <c r="F115" s="46" t="s">
        <v>16</v>
      </c>
      <c r="G115" s="2">
        <f t="array" ref="G115">_xlfn.IFS(E115=F115,1)</f>
        <v>1</v>
      </c>
      <c r="H115" s="2"/>
      <c r="J115" s="45">
        <v>0</v>
      </c>
      <c r="K115" s="46">
        <v>0.5</v>
      </c>
      <c r="L115" s="2">
        <f t="shared" si="6"/>
        <v>0.301029995663981</v>
      </c>
      <c r="T115" s="45">
        <v>0</v>
      </c>
      <c r="U115" s="46">
        <v>0.5</v>
      </c>
      <c r="V115" s="46">
        <f t="shared" si="7"/>
        <v>1</v>
      </c>
      <c r="W115" s="2">
        <f t="shared" si="8"/>
        <v>1</v>
      </c>
      <c r="X115" s="2">
        <f t="shared" si="9"/>
        <v>1</v>
      </c>
      <c r="Y115" s="2">
        <f t="shared" si="10"/>
        <v>0</v>
      </c>
    </row>
    <row r="116" spans="1:25">
      <c r="A116" s="45">
        <v>0</v>
      </c>
      <c r="B116" s="46">
        <v>0.16</v>
      </c>
      <c r="C116" s="46"/>
      <c r="D116" s="47"/>
      <c r="E116" s="45" t="s">
        <v>16</v>
      </c>
      <c r="F116" s="46" t="s">
        <v>16</v>
      </c>
      <c r="G116" s="2">
        <f t="array" ref="G116">_xlfn.IFS(E116=F116,1)</f>
        <v>1</v>
      </c>
      <c r="H116" s="2"/>
      <c r="J116" s="45">
        <v>0</v>
      </c>
      <c r="K116" s="46">
        <v>0.16</v>
      </c>
      <c r="L116" s="2">
        <f t="shared" si="6"/>
        <v>0.0757207139381184</v>
      </c>
      <c r="T116" s="45">
        <v>0</v>
      </c>
      <c r="U116" s="46">
        <v>0.16</v>
      </c>
      <c r="V116" s="46">
        <f t="shared" si="7"/>
        <v>1</v>
      </c>
      <c r="W116" s="2">
        <f t="shared" si="8"/>
        <v>0</v>
      </c>
      <c r="X116" s="2">
        <f t="shared" si="9"/>
        <v>0</v>
      </c>
      <c r="Y116" s="2">
        <f t="shared" si="10"/>
        <v>0</v>
      </c>
    </row>
    <row r="117" spans="1:25">
      <c r="A117" s="45">
        <v>0</v>
      </c>
      <c r="B117" s="46">
        <v>0.74</v>
      </c>
      <c r="C117" s="46">
        <v>1</v>
      </c>
      <c r="D117" s="47"/>
      <c r="E117" s="45" t="s">
        <v>16</v>
      </c>
      <c r="F117" s="46" t="s">
        <v>16</v>
      </c>
      <c r="G117" s="2">
        <f t="array" ref="G117">_xlfn.IFS(E117=F117,1)</f>
        <v>1</v>
      </c>
      <c r="H117" s="2"/>
      <c r="J117" s="45">
        <v>0</v>
      </c>
      <c r="K117" s="46">
        <v>0.74</v>
      </c>
      <c r="L117" s="2">
        <f t="shared" si="6"/>
        <v>0.585026652029182</v>
      </c>
      <c r="T117" s="45">
        <v>0</v>
      </c>
      <c r="U117" s="46">
        <v>0.74</v>
      </c>
      <c r="V117" s="46">
        <f t="shared" si="7"/>
        <v>1</v>
      </c>
      <c r="W117" s="2">
        <f t="shared" si="8"/>
        <v>1</v>
      </c>
      <c r="X117" s="2">
        <f t="shared" si="9"/>
        <v>1</v>
      </c>
      <c r="Y117" s="2">
        <f t="shared" si="10"/>
        <v>0</v>
      </c>
    </row>
    <row r="118" spans="1:25">
      <c r="A118" s="45">
        <v>1</v>
      </c>
      <c r="B118" s="46">
        <v>0.51</v>
      </c>
      <c r="C118" s="46">
        <v>1</v>
      </c>
      <c r="D118" s="47"/>
      <c r="E118" s="45" t="s">
        <v>15</v>
      </c>
      <c r="F118" s="46" t="s">
        <v>15</v>
      </c>
      <c r="G118" s="2">
        <f t="array" ref="G118">_xlfn.IFS(E118=F118,1)</f>
        <v>1</v>
      </c>
      <c r="H118" s="2"/>
      <c r="J118" s="45">
        <v>1</v>
      </c>
      <c r="K118" s="46">
        <v>0.51</v>
      </c>
      <c r="L118" s="2">
        <f t="shared" si="6"/>
        <v>0.292429823902064</v>
      </c>
      <c r="T118" s="45">
        <v>1</v>
      </c>
      <c r="U118" s="46">
        <v>0.51</v>
      </c>
      <c r="V118" s="46">
        <f t="shared" si="7"/>
        <v>1</v>
      </c>
      <c r="W118" s="2">
        <f t="shared" si="8"/>
        <v>1</v>
      </c>
      <c r="X118" s="2">
        <f t="shared" si="9"/>
        <v>1</v>
      </c>
      <c r="Y118" s="2">
        <f t="shared" si="10"/>
        <v>0</v>
      </c>
    </row>
    <row r="119" spans="1:25">
      <c r="A119" s="45">
        <v>1</v>
      </c>
      <c r="B119" s="46">
        <v>0.89</v>
      </c>
      <c r="C119" s="46">
        <v>1</v>
      </c>
      <c r="D119" s="47"/>
      <c r="E119" s="45" t="s">
        <v>15</v>
      </c>
      <c r="F119" s="46" t="s">
        <v>15</v>
      </c>
      <c r="G119" s="2">
        <f t="array" ref="G119">_xlfn.IFS(E119=F119,1)</f>
        <v>1</v>
      </c>
      <c r="H119" s="2"/>
      <c r="J119" s="45">
        <v>1</v>
      </c>
      <c r="K119" s="46">
        <v>0.89</v>
      </c>
      <c r="L119" s="2">
        <f t="shared" si="6"/>
        <v>0.0506099933550872</v>
      </c>
      <c r="T119" s="45">
        <v>1</v>
      </c>
      <c r="U119" s="46">
        <v>0.89</v>
      </c>
      <c r="V119" s="46">
        <f t="shared" si="7"/>
        <v>1</v>
      </c>
      <c r="W119" s="2">
        <f t="shared" si="8"/>
        <v>1</v>
      </c>
      <c r="X119" s="2">
        <f t="shared" si="9"/>
        <v>1</v>
      </c>
      <c r="Y119" s="2">
        <f t="shared" si="10"/>
        <v>1</v>
      </c>
    </row>
    <row r="120" spans="1:25">
      <c r="A120" s="45">
        <v>0</v>
      </c>
      <c r="B120" s="46">
        <v>0.3</v>
      </c>
      <c r="C120" s="46"/>
      <c r="D120" s="47"/>
      <c r="E120" s="45" t="s">
        <v>16</v>
      </c>
      <c r="F120" s="46" t="s">
        <v>15</v>
      </c>
      <c r="G120" s="2" t="e">
        <f t="array" ref="G120">_xlfn.IFS(E120=F120,1)</f>
        <v>#N/A</v>
      </c>
      <c r="H120" s="2"/>
      <c r="J120" s="45">
        <v>0</v>
      </c>
      <c r="K120" s="46">
        <v>0.3</v>
      </c>
      <c r="L120" s="2">
        <f t="shared" si="6"/>
        <v>0.154901959985743</v>
      </c>
      <c r="T120" s="45">
        <v>0</v>
      </c>
      <c r="U120" s="46">
        <v>0.3</v>
      </c>
      <c r="V120" s="46">
        <f t="shared" si="7"/>
        <v>1</v>
      </c>
      <c r="W120" s="2">
        <f t="shared" si="8"/>
        <v>1</v>
      </c>
      <c r="X120" s="2">
        <f t="shared" si="9"/>
        <v>0</v>
      </c>
      <c r="Y120" s="2">
        <f t="shared" si="10"/>
        <v>0</v>
      </c>
    </row>
    <row r="121" spans="1:25">
      <c r="A121" s="45">
        <v>1</v>
      </c>
      <c r="B121" s="46">
        <v>0.86</v>
      </c>
      <c r="C121" s="46">
        <v>1</v>
      </c>
      <c r="D121" s="47"/>
      <c r="E121" s="45" t="s">
        <v>15</v>
      </c>
      <c r="F121" s="46" t="s">
        <v>15</v>
      </c>
      <c r="G121" s="2">
        <f t="array" ref="G121">_xlfn.IFS(E121=F121,1)</f>
        <v>1</v>
      </c>
      <c r="H121" s="2"/>
      <c r="J121" s="45">
        <v>1</v>
      </c>
      <c r="K121" s="46">
        <v>0.86</v>
      </c>
      <c r="L121" s="2">
        <f t="shared" si="6"/>
        <v>0.0655015487564323</v>
      </c>
      <c r="T121" s="45">
        <v>1</v>
      </c>
      <c r="U121" s="46">
        <v>0.86</v>
      </c>
      <c r="V121" s="46">
        <f t="shared" si="7"/>
        <v>1</v>
      </c>
      <c r="W121" s="2">
        <f t="shared" si="8"/>
        <v>1</v>
      </c>
      <c r="X121" s="2">
        <f t="shared" si="9"/>
        <v>1</v>
      </c>
      <c r="Y121" s="2">
        <f t="shared" si="10"/>
        <v>1</v>
      </c>
    </row>
    <row r="122" spans="1:25">
      <c r="A122" s="45">
        <v>0</v>
      </c>
      <c r="B122" s="46">
        <v>0.78</v>
      </c>
      <c r="C122" s="46">
        <v>1</v>
      </c>
      <c r="D122" s="47"/>
      <c r="E122" s="45" t="s">
        <v>16</v>
      </c>
      <c r="F122" s="46" t="s">
        <v>16</v>
      </c>
      <c r="G122" s="2">
        <f t="array" ref="G122">_xlfn.IFS(E122=F122,1)</f>
        <v>1</v>
      </c>
      <c r="H122" s="2"/>
      <c r="J122" s="45">
        <v>0</v>
      </c>
      <c r="K122" s="46">
        <v>0.78</v>
      </c>
      <c r="L122" s="2">
        <f t="shared" si="6"/>
        <v>0.657577319177794</v>
      </c>
      <c r="T122" s="45">
        <v>0</v>
      </c>
      <c r="U122" s="46">
        <v>0.78</v>
      </c>
      <c r="V122" s="46">
        <f t="shared" si="7"/>
        <v>1</v>
      </c>
      <c r="W122" s="2">
        <f t="shared" si="8"/>
        <v>1</v>
      </c>
      <c r="X122" s="2">
        <f t="shared" si="9"/>
        <v>1</v>
      </c>
      <c r="Y122" s="2">
        <f t="shared" si="10"/>
        <v>0</v>
      </c>
    </row>
    <row r="123" spans="1:25">
      <c r="A123" s="45">
        <v>1</v>
      </c>
      <c r="B123" s="46">
        <v>0.66</v>
      </c>
      <c r="C123" s="46">
        <v>1</v>
      </c>
      <c r="D123" s="47"/>
      <c r="E123" s="45" t="s">
        <v>15</v>
      </c>
      <c r="F123" s="46" t="s">
        <v>15</v>
      </c>
      <c r="G123" s="2">
        <f t="array" ref="G123">_xlfn.IFS(E123=F123,1)</f>
        <v>1</v>
      </c>
      <c r="H123" s="2"/>
      <c r="J123" s="45">
        <v>1</v>
      </c>
      <c r="K123" s="46">
        <v>0.66</v>
      </c>
      <c r="L123" s="2">
        <f t="shared" si="6"/>
        <v>0.180456064458131</v>
      </c>
      <c r="T123" s="45">
        <v>1</v>
      </c>
      <c r="U123" s="46">
        <v>0.66</v>
      </c>
      <c r="V123" s="46">
        <f t="shared" si="7"/>
        <v>1</v>
      </c>
      <c r="W123" s="2">
        <f t="shared" si="8"/>
        <v>1</v>
      </c>
      <c r="X123" s="2">
        <f t="shared" si="9"/>
        <v>1</v>
      </c>
      <c r="Y123" s="2">
        <f t="shared" si="10"/>
        <v>0</v>
      </c>
    </row>
    <row r="124" spans="1:25">
      <c r="A124" s="45">
        <v>1</v>
      </c>
      <c r="B124" s="46">
        <v>0.92</v>
      </c>
      <c r="C124" s="46">
        <v>1</v>
      </c>
      <c r="D124" s="47"/>
      <c r="E124" s="45" t="s">
        <v>15</v>
      </c>
      <c r="F124" s="46" t="s">
        <v>15</v>
      </c>
      <c r="G124" s="2">
        <f t="array" ref="G124">_xlfn.IFS(E124=F124,1)</f>
        <v>1</v>
      </c>
      <c r="H124" s="2"/>
      <c r="J124" s="45">
        <v>1</v>
      </c>
      <c r="K124" s="46">
        <v>0.92</v>
      </c>
      <c r="L124" s="2">
        <f t="shared" si="6"/>
        <v>0.0362121726544447</v>
      </c>
      <c r="T124" s="45">
        <v>1</v>
      </c>
      <c r="U124" s="46">
        <v>0.92</v>
      </c>
      <c r="V124" s="46">
        <f t="shared" si="7"/>
        <v>1</v>
      </c>
      <c r="W124" s="2">
        <f t="shared" si="8"/>
        <v>1</v>
      </c>
      <c r="X124" s="2">
        <f t="shared" si="9"/>
        <v>1</v>
      </c>
      <c r="Y124" s="2">
        <f t="shared" si="10"/>
        <v>1</v>
      </c>
    </row>
    <row r="125" spans="1:25">
      <c r="A125" s="45">
        <v>0</v>
      </c>
      <c r="B125" s="46">
        <v>0.07</v>
      </c>
      <c r="C125" s="46"/>
      <c r="D125" s="47"/>
      <c r="E125" s="45" t="s">
        <v>16</v>
      </c>
      <c r="F125" s="46" t="s">
        <v>16</v>
      </c>
      <c r="G125" s="2">
        <f t="array" ref="G125">_xlfn.IFS(E125=F125,1)</f>
        <v>1</v>
      </c>
      <c r="H125" s="2"/>
      <c r="J125" s="45">
        <v>0</v>
      </c>
      <c r="K125" s="46">
        <v>0.07</v>
      </c>
      <c r="L125" s="2">
        <f t="shared" si="6"/>
        <v>0.0315170514460649</v>
      </c>
      <c r="T125" s="45">
        <v>0</v>
      </c>
      <c r="U125" s="46">
        <v>0.07</v>
      </c>
      <c r="V125" s="46">
        <f t="shared" si="7"/>
        <v>0</v>
      </c>
      <c r="W125" s="2">
        <f t="shared" si="8"/>
        <v>0</v>
      </c>
      <c r="X125" s="2">
        <f t="shared" si="9"/>
        <v>0</v>
      </c>
      <c r="Y125" s="2">
        <f t="shared" si="10"/>
        <v>0</v>
      </c>
    </row>
    <row r="126" spans="1:25">
      <c r="A126" s="45">
        <v>1</v>
      </c>
      <c r="B126" s="46">
        <v>0.11</v>
      </c>
      <c r="C126" s="46"/>
      <c r="D126" s="47"/>
      <c r="E126" s="45" t="s">
        <v>15</v>
      </c>
      <c r="F126" s="46" t="s">
        <v>15</v>
      </c>
      <c r="G126" s="2">
        <f t="array" ref="G126">_xlfn.IFS(E126=F126,1)</f>
        <v>1</v>
      </c>
      <c r="H126" s="2"/>
      <c r="J126" s="45">
        <v>1</v>
      </c>
      <c r="K126" s="46">
        <v>0.11</v>
      </c>
      <c r="L126" s="2">
        <f t="shared" si="6"/>
        <v>0.958607314841775</v>
      </c>
      <c r="T126" s="45">
        <v>1</v>
      </c>
      <c r="U126" s="46">
        <v>0.11</v>
      </c>
      <c r="V126" s="46">
        <f t="shared" si="7"/>
        <v>1</v>
      </c>
      <c r="W126" s="2">
        <f t="shared" si="8"/>
        <v>0</v>
      </c>
      <c r="X126" s="2">
        <f t="shared" si="9"/>
        <v>0</v>
      </c>
      <c r="Y126" s="2">
        <f t="shared" si="10"/>
        <v>0</v>
      </c>
    </row>
    <row r="127" spans="1:25">
      <c r="A127" s="45">
        <v>0</v>
      </c>
      <c r="B127" s="46">
        <v>0.23</v>
      </c>
      <c r="C127" s="46"/>
      <c r="D127" s="47"/>
      <c r="E127" s="45" t="s">
        <v>16</v>
      </c>
      <c r="F127" s="46" t="s">
        <v>15</v>
      </c>
      <c r="G127" s="2" t="e">
        <f t="array" ref="G127">_xlfn.IFS(E127=F127,1)</f>
        <v>#N/A</v>
      </c>
      <c r="H127" s="2"/>
      <c r="J127" s="45">
        <v>0</v>
      </c>
      <c r="K127" s="46">
        <v>0.23</v>
      </c>
      <c r="L127" s="2">
        <f t="shared" si="6"/>
        <v>0.113509274827518</v>
      </c>
      <c r="T127" s="45">
        <v>0</v>
      </c>
      <c r="U127" s="46">
        <v>0.23</v>
      </c>
      <c r="V127" s="46">
        <f t="shared" si="7"/>
        <v>1</v>
      </c>
      <c r="W127" s="2">
        <f t="shared" si="8"/>
        <v>0</v>
      </c>
      <c r="X127" s="2">
        <f t="shared" si="9"/>
        <v>0</v>
      </c>
      <c r="Y127" s="2">
        <f t="shared" si="10"/>
        <v>0</v>
      </c>
    </row>
    <row r="128" spans="1:25">
      <c r="A128" s="45">
        <v>1</v>
      </c>
      <c r="B128" s="46">
        <v>0.75</v>
      </c>
      <c r="C128" s="46">
        <v>1</v>
      </c>
      <c r="D128" s="47"/>
      <c r="E128" s="45" t="s">
        <v>15</v>
      </c>
      <c r="F128" s="46" t="s">
        <v>16</v>
      </c>
      <c r="G128" s="2" t="e">
        <f t="array" ref="G128">_xlfn.IFS(E128=F128,1)</f>
        <v>#N/A</v>
      </c>
      <c r="H128" s="2"/>
      <c r="J128" s="45">
        <v>1</v>
      </c>
      <c r="K128" s="46">
        <v>0.75</v>
      </c>
      <c r="L128" s="2">
        <f t="shared" si="6"/>
        <v>0.1249387366083</v>
      </c>
      <c r="T128" s="45">
        <v>1</v>
      </c>
      <c r="U128" s="46">
        <v>0.75</v>
      </c>
      <c r="V128" s="46">
        <f t="shared" si="7"/>
        <v>1</v>
      </c>
      <c r="W128" s="2">
        <f t="shared" si="8"/>
        <v>1</v>
      </c>
      <c r="X128" s="2">
        <f t="shared" si="9"/>
        <v>1</v>
      </c>
      <c r="Y128" s="2">
        <f t="shared" si="10"/>
        <v>0</v>
      </c>
    </row>
    <row r="129" spans="1:25">
      <c r="A129" s="45">
        <v>1</v>
      </c>
      <c r="B129" s="46">
        <v>0.62</v>
      </c>
      <c r="C129" s="46">
        <v>1</v>
      </c>
      <c r="D129" s="47"/>
      <c r="E129" s="45" t="s">
        <v>15</v>
      </c>
      <c r="F129" s="46" t="s">
        <v>15</v>
      </c>
      <c r="G129" s="2">
        <f t="array" ref="G129">_xlfn.IFS(E129=F129,1)</f>
        <v>1</v>
      </c>
      <c r="H129" s="2"/>
      <c r="J129" s="45">
        <v>1</v>
      </c>
      <c r="K129" s="46">
        <v>0.62</v>
      </c>
      <c r="L129" s="2">
        <f t="shared" si="6"/>
        <v>0.207608310501746</v>
      </c>
      <c r="T129" s="45">
        <v>1</v>
      </c>
      <c r="U129" s="46">
        <v>0.62</v>
      </c>
      <c r="V129" s="46">
        <f t="shared" si="7"/>
        <v>1</v>
      </c>
      <c r="W129" s="2">
        <f t="shared" si="8"/>
        <v>1</v>
      </c>
      <c r="X129" s="2">
        <f t="shared" si="9"/>
        <v>1</v>
      </c>
      <c r="Y129" s="2">
        <f t="shared" si="10"/>
        <v>0</v>
      </c>
    </row>
    <row r="130" spans="1:25">
      <c r="A130" s="45">
        <v>1</v>
      </c>
      <c r="B130" s="46">
        <v>0.81</v>
      </c>
      <c r="C130" s="46">
        <v>1</v>
      </c>
      <c r="D130" s="47"/>
      <c r="E130" s="45" t="s">
        <v>15</v>
      </c>
      <c r="F130" s="46" t="s">
        <v>15</v>
      </c>
      <c r="G130" s="2">
        <f t="array" ref="G130">_xlfn.IFS(E130=F130,1)</f>
        <v>1</v>
      </c>
      <c r="H130" s="2"/>
      <c r="J130" s="45">
        <v>1</v>
      </c>
      <c r="K130" s="46">
        <v>0.81</v>
      </c>
      <c r="L130" s="2">
        <f t="shared" si="6"/>
        <v>0.0915149811213502</v>
      </c>
      <c r="T130" s="45">
        <v>1</v>
      </c>
      <c r="U130" s="46">
        <v>0.81</v>
      </c>
      <c r="V130" s="46">
        <f t="shared" si="7"/>
        <v>1</v>
      </c>
      <c r="W130" s="2">
        <f t="shared" si="8"/>
        <v>1</v>
      </c>
      <c r="X130" s="2">
        <f t="shared" si="9"/>
        <v>1</v>
      </c>
      <c r="Y130" s="2">
        <f t="shared" si="10"/>
        <v>1</v>
      </c>
    </row>
    <row r="131" spans="1:25">
      <c r="A131" s="45">
        <v>1</v>
      </c>
      <c r="B131" s="46">
        <v>0.1</v>
      </c>
      <c r="C131" s="46"/>
      <c r="D131" s="47"/>
      <c r="E131" s="45" t="s">
        <v>15</v>
      </c>
      <c r="F131" s="46" t="s">
        <v>16</v>
      </c>
      <c r="G131" s="2" t="e">
        <f t="array" ref="G131">_xlfn.IFS(E131=F131,1)</f>
        <v>#N/A</v>
      </c>
      <c r="H131" s="2"/>
      <c r="J131" s="45">
        <v>1</v>
      </c>
      <c r="K131" s="46">
        <v>0.1</v>
      </c>
      <c r="L131" s="2">
        <f t="shared" ref="L131:L194" si="11">-(J131*LOG(K131)+(1-J131)*LOG(1-K131))</f>
        <v>1</v>
      </c>
      <c r="T131" s="45">
        <v>1</v>
      </c>
      <c r="U131" s="46">
        <v>0.1</v>
      </c>
      <c r="V131" s="46">
        <f t="shared" ref="V131:V194" si="12">IF(U131&gt;=0.1,1,0)</f>
        <v>1</v>
      </c>
      <c r="W131" s="2">
        <f t="shared" ref="W131:W194" si="13">IF(U131&gt;=0.3,1,0)</f>
        <v>0</v>
      </c>
      <c r="X131" s="2">
        <f t="shared" ref="X131:X194" si="14">IF(U131&gt;=0.5,1,0)</f>
        <v>0</v>
      </c>
      <c r="Y131" s="2">
        <f t="shared" ref="Y131:Y194" si="15">IF(U131&gt;=0.8,1,0)</f>
        <v>0</v>
      </c>
    </row>
    <row r="132" spans="1:25">
      <c r="A132" s="45">
        <v>1</v>
      </c>
      <c r="B132" s="46">
        <v>0.59</v>
      </c>
      <c r="C132" s="46">
        <v>1</v>
      </c>
      <c r="D132" s="47"/>
      <c r="E132" s="45" t="s">
        <v>15</v>
      </c>
      <c r="F132" s="46" t="s">
        <v>15</v>
      </c>
      <c r="G132" s="2">
        <f t="array" ref="G132">_xlfn.IFS(E132=F132,1)</f>
        <v>1</v>
      </c>
      <c r="H132" s="2"/>
      <c r="J132" s="45">
        <v>1</v>
      </c>
      <c r="K132" s="46">
        <v>0.59</v>
      </c>
      <c r="L132" s="2">
        <f t="shared" si="11"/>
        <v>0.229147988357856</v>
      </c>
      <c r="T132" s="45">
        <v>1</v>
      </c>
      <c r="U132" s="46">
        <v>0.59</v>
      </c>
      <c r="V132" s="46">
        <f t="shared" si="12"/>
        <v>1</v>
      </c>
      <c r="W132" s="2">
        <f t="shared" si="13"/>
        <v>1</v>
      </c>
      <c r="X132" s="2">
        <f t="shared" si="14"/>
        <v>1</v>
      </c>
      <c r="Y132" s="2">
        <f t="shared" si="15"/>
        <v>0</v>
      </c>
    </row>
    <row r="133" spans="1:25">
      <c r="A133" s="45">
        <v>1</v>
      </c>
      <c r="B133" s="46">
        <v>0.64</v>
      </c>
      <c r="C133" s="46">
        <v>1</v>
      </c>
      <c r="D133" s="47"/>
      <c r="E133" s="45" t="s">
        <v>15</v>
      </c>
      <c r="F133" s="46" t="s">
        <v>15</v>
      </c>
      <c r="G133" s="2">
        <f t="array" ref="G133">_xlfn.IFS(E133=F133,1)</f>
        <v>1</v>
      </c>
      <c r="H133" s="2"/>
      <c r="J133" s="45">
        <v>1</v>
      </c>
      <c r="K133" s="46">
        <v>0.64</v>
      </c>
      <c r="L133" s="2">
        <f t="shared" si="11"/>
        <v>0.193820026016113</v>
      </c>
      <c r="T133" s="45">
        <v>1</v>
      </c>
      <c r="U133" s="46">
        <v>0.64</v>
      </c>
      <c r="V133" s="46">
        <f t="shared" si="12"/>
        <v>1</v>
      </c>
      <c r="W133" s="2">
        <f t="shared" si="13"/>
        <v>1</v>
      </c>
      <c r="X133" s="2">
        <f t="shared" si="14"/>
        <v>1</v>
      </c>
      <c r="Y133" s="2">
        <f t="shared" si="15"/>
        <v>0</v>
      </c>
    </row>
    <row r="134" spans="1:25">
      <c r="A134" s="45">
        <v>0</v>
      </c>
      <c r="B134" s="46">
        <v>0.88</v>
      </c>
      <c r="C134" s="46">
        <v>1</v>
      </c>
      <c r="D134" s="47"/>
      <c r="E134" s="45" t="s">
        <v>16</v>
      </c>
      <c r="F134" s="46" t="s">
        <v>15</v>
      </c>
      <c r="G134" s="2" t="e">
        <f t="array" ref="G134">_xlfn.IFS(E134=F134,1)</f>
        <v>#N/A</v>
      </c>
      <c r="H134" s="2"/>
      <c r="J134" s="45">
        <v>0</v>
      </c>
      <c r="K134" s="46">
        <v>0.88</v>
      </c>
      <c r="L134" s="2">
        <f t="shared" si="11"/>
        <v>0.920818753952375</v>
      </c>
      <c r="T134" s="45">
        <v>0</v>
      </c>
      <c r="U134" s="46">
        <v>0.88</v>
      </c>
      <c r="V134" s="46">
        <f t="shared" si="12"/>
        <v>1</v>
      </c>
      <c r="W134" s="2">
        <f t="shared" si="13"/>
        <v>1</v>
      </c>
      <c r="X134" s="2">
        <f t="shared" si="14"/>
        <v>1</v>
      </c>
      <c r="Y134" s="2">
        <f t="shared" si="15"/>
        <v>1</v>
      </c>
    </row>
    <row r="135" spans="1:25">
      <c r="A135" s="45">
        <v>1</v>
      </c>
      <c r="B135" s="46">
        <v>0.58</v>
      </c>
      <c r="C135" s="46">
        <v>1</v>
      </c>
      <c r="D135" s="47"/>
      <c r="E135" s="45" t="s">
        <v>15</v>
      </c>
      <c r="F135" s="46" t="s">
        <v>15</v>
      </c>
      <c r="G135" s="2">
        <f t="array" ref="G135">_xlfn.IFS(E135=F135,1)</f>
        <v>1</v>
      </c>
      <c r="H135" s="2"/>
      <c r="J135" s="45">
        <v>1</v>
      </c>
      <c r="K135" s="46">
        <v>0.58</v>
      </c>
      <c r="L135" s="2">
        <f t="shared" si="11"/>
        <v>0.236572006437063</v>
      </c>
      <c r="T135" s="45">
        <v>1</v>
      </c>
      <c r="U135" s="46">
        <v>0.58</v>
      </c>
      <c r="V135" s="46">
        <f t="shared" si="12"/>
        <v>1</v>
      </c>
      <c r="W135" s="2">
        <f t="shared" si="13"/>
        <v>1</v>
      </c>
      <c r="X135" s="2">
        <f t="shared" si="14"/>
        <v>1</v>
      </c>
      <c r="Y135" s="2">
        <f t="shared" si="15"/>
        <v>0</v>
      </c>
    </row>
    <row r="136" spans="1:25">
      <c r="A136" s="45">
        <v>1</v>
      </c>
      <c r="B136" s="46">
        <v>0.68</v>
      </c>
      <c r="C136" s="46">
        <v>1</v>
      </c>
      <c r="D136" s="47"/>
      <c r="E136" s="45" t="s">
        <v>15</v>
      </c>
      <c r="F136" s="46" t="s">
        <v>15</v>
      </c>
      <c r="G136" s="2">
        <f t="array" ref="G136">_xlfn.IFS(E136=F136,1)</f>
        <v>1</v>
      </c>
      <c r="H136" s="2"/>
      <c r="J136" s="45">
        <v>1</v>
      </c>
      <c r="K136" s="46">
        <v>0.68</v>
      </c>
      <c r="L136" s="2">
        <f t="shared" si="11"/>
        <v>0.167491087293764</v>
      </c>
      <c r="T136" s="45">
        <v>1</v>
      </c>
      <c r="U136" s="46">
        <v>0.68</v>
      </c>
      <c r="V136" s="46">
        <f t="shared" si="12"/>
        <v>1</v>
      </c>
      <c r="W136" s="2">
        <f t="shared" si="13"/>
        <v>1</v>
      </c>
      <c r="X136" s="2">
        <f t="shared" si="14"/>
        <v>1</v>
      </c>
      <c r="Y136" s="2">
        <f t="shared" si="15"/>
        <v>0</v>
      </c>
    </row>
    <row r="137" spans="1:25">
      <c r="A137" s="45">
        <v>0</v>
      </c>
      <c r="B137" s="46">
        <v>0.92</v>
      </c>
      <c r="C137" s="46">
        <v>1</v>
      </c>
      <c r="D137" s="47"/>
      <c r="E137" s="45" t="s">
        <v>16</v>
      </c>
      <c r="F137" s="46" t="s">
        <v>16</v>
      </c>
      <c r="G137" s="2">
        <f t="array" ref="G137">_xlfn.IFS(E137=F137,1)</f>
        <v>1</v>
      </c>
      <c r="H137" s="2"/>
      <c r="J137" s="45">
        <v>0</v>
      </c>
      <c r="K137" s="46">
        <v>0.92</v>
      </c>
      <c r="L137" s="2">
        <f t="shared" si="11"/>
        <v>1.09691001300806</v>
      </c>
      <c r="T137" s="45">
        <v>0</v>
      </c>
      <c r="U137" s="46">
        <v>0.92</v>
      </c>
      <c r="V137" s="46">
        <f t="shared" si="12"/>
        <v>1</v>
      </c>
      <c r="W137" s="2">
        <f t="shared" si="13"/>
        <v>1</v>
      </c>
      <c r="X137" s="2">
        <f t="shared" si="14"/>
        <v>1</v>
      </c>
      <c r="Y137" s="2">
        <f t="shared" si="15"/>
        <v>1</v>
      </c>
    </row>
    <row r="138" spans="1:25">
      <c r="A138" s="45">
        <v>1</v>
      </c>
      <c r="B138" s="46">
        <v>0.98</v>
      </c>
      <c r="C138" s="46">
        <v>1</v>
      </c>
      <c r="D138" s="47"/>
      <c r="E138" s="45" t="s">
        <v>15</v>
      </c>
      <c r="F138" s="46" t="s">
        <v>15</v>
      </c>
      <c r="G138" s="2">
        <f t="array" ref="G138">_xlfn.IFS(E138=F138,1)</f>
        <v>1</v>
      </c>
      <c r="H138" s="2"/>
      <c r="J138" s="45">
        <v>1</v>
      </c>
      <c r="K138" s="46">
        <v>0.98</v>
      </c>
      <c r="L138" s="2">
        <f t="shared" si="11"/>
        <v>0.00877392430750515</v>
      </c>
      <c r="T138" s="45">
        <v>1</v>
      </c>
      <c r="U138" s="46">
        <v>0.98</v>
      </c>
      <c r="V138" s="46">
        <f t="shared" si="12"/>
        <v>1</v>
      </c>
      <c r="W138" s="2">
        <f t="shared" si="13"/>
        <v>1</v>
      </c>
      <c r="X138" s="2">
        <f t="shared" si="14"/>
        <v>1</v>
      </c>
      <c r="Y138" s="2">
        <f t="shared" si="15"/>
        <v>1</v>
      </c>
    </row>
    <row r="139" spans="1:25">
      <c r="A139" s="45">
        <v>1</v>
      </c>
      <c r="B139" s="46">
        <v>0.21</v>
      </c>
      <c r="C139" s="46"/>
      <c r="D139" s="47"/>
      <c r="E139" s="45" t="s">
        <v>15</v>
      </c>
      <c r="F139" s="46" t="s">
        <v>15</v>
      </c>
      <c r="G139" s="2">
        <f t="array" ref="G139">_xlfn.IFS(E139=F139,1)</f>
        <v>1</v>
      </c>
      <c r="H139" s="2"/>
      <c r="J139" s="45">
        <v>1</v>
      </c>
      <c r="K139" s="46">
        <v>0.21</v>
      </c>
      <c r="L139" s="2">
        <f t="shared" si="11"/>
        <v>0.677780705266081</v>
      </c>
      <c r="T139" s="45">
        <v>1</v>
      </c>
      <c r="U139" s="46">
        <v>0.21</v>
      </c>
      <c r="V139" s="46">
        <f t="shared" si="12"/>
        <v>1</v>
      </c>
      <c r="W139" s="2">
        <f t="shared" si="13"/>
        <v>0</v>
      </c>
      <c r="X139" s="2">
        <f t="shared" si="14"/>
        <v>0</v>
      </c>
      <c r="Y139" s="2">
        <f t="shared" si="15"/>
        <v>0</v>
      </c>
    </row>
    <row r="140" spans="1:25">
      <c r="A140" s="45">
        <v>0</v>
      </c>
      <c r="B140" s="46">
        <v>0.83</v>
      </c>
      <c r="C140" s="46">
        <v>1</v>
      </c>
      <c r="D140" s="47"/>
      <c r="E140" s="45" t="s">
        <v>16</v>
      </c>
      <c r="F140" s="46" t="s">
        <v>16</v>
      </c>
      <c r="G140" s="2">
        <f t="array" ref="G140">_xlfn.IFS(E140=F140,1)</f>
        <v>1</v>
      </c>
      <c r="H140" s="2"/>
      <c r="J140" s="45">
        <v>0</v>
      </c>
      <c r="K140" s="46">
        <v>0.83</v>
      </c>
      <c r="L140" s="2">
        <f t="shared" si="11"/>
        <v>0.769551078621726</v>
      </c>
      <c r="T140" s="45">
        <v>0</v>
      </c>
      <c r="U140" s="46">
        <v>0.83</v>
      </c>
      <c r="V140" s="46">
        <f t="shared" si="12"/>
        <v>1</v>
      </c>
      <c r="W140" s="2">
        <f t="shared" si="13"/>
        <v>1</v>
      </c>
      <c r="X140" s="2">
        <f t="shared" si="14"/>
        <v>1</v>
      </c>
      <c r="Y140" s="2">
        <f t="shared" si="15"/>
        <v>1</v>
      </c>
    </row>
    <row r="141" spans="1:25">
      <c r="A141" s="45">
        <v>1</v>
      </c>
      <c r="B141" s="46">
        <v>0.83</v>
      </c>
      <c r="C141" s="46">
        <v>1</v>
      </c>
      <c r="D141" s="47"/>
      <c r="E141" s="45" t="s">
        <v>15</v>
      </c>
      <c r="F141" s="46" t="s">
        <v>15</v>
      </c>
      <c r="G141" s="2">
        <f t="array" ref="G141">_xlfn.IFS(E141=F141,1)</f>
        <v>1</v>
      </c>
      <c r="H141" s="2"/>
      <c r="J141" s="45">
        <v>1</v>
      </c>
      <c r="K141" s="46">
        <v>0.83</v>
      </c>
      <c r="L141" s="2">
        <f t="shared" si="11"/>
        <v>0.0809219076239261</v>
      </c>
      <c r="T141" s="45">
        <v>1</v>
      </c>
      <c r="U141" s="46">
        <v>0.83</v>
      </c>
      <c r="V141" s="46">
        <f t="shared" si="12"/>
        <v>1</v>
      </c>
      <c r="W141" s="2">
        <f t="shared" si="13"/>
        <v>1</v>
      </c>
      <c r="X141" s="2">
        <f t="shared" si="14"/>
        <v>1</v>
      </c>
      <c r="Y141" s="2">
        <f t="shared" si="15"/>
        <v>1</v>
      </c>
    </row>
    <row r="142" spans="1:25">
      <c r="A142" s="45">
        <v>1</v>
      </c>
      <c r="B142" s="46">
        <v>0.07</v>
      </c>
      <c r="C142" s="46"/>
      <c r="D142" s="47"/>
      <c r="E142" s="45" t="s">
        <v>15</v>
      </c>
      <c r="F142" s="46" t="s">
        <v>15</v>
      </c>
      <c r="G142" s="2">
        <f t="array" ref="G142">_xlfn.IFS(E142=F142,1)</f>
        <v>1</v>
      </c>
      <c r="H142" s="2"/>
      <c r="J142" s="45">
        <v>1</v>
      </c>
      <c r="K142" s="46">
        <v>0.07</v>
      </c>
      <c r="L142" s="2">
        <f t="shared" si="11"/>
        <v>1.15490195998574</v>
      </c>
      <c r="T142" s="45">
        <v>1</v>
      </c>
      <c r="U142" s="46">
        <v>0.07</v>
      </c>
      <c r="V142" s="46">
        <f t="shared" si="12"/>
        <v>0</v>
      </c>
      <c r="W142" s="2">
        <f t="shared" si="13"/>
        <v>0</v>
      </c>
      <c r="X142" s="2">
        <f t="shared" si="14"/>
        <v>0</v>
      </c>
      <c r="Y142" s="2">
        <f t="shared" si="15"/>
        <v>0</v>
      </c>
    </row>
    <row r="143" spans="1:25">
      <c r="A143" s="45">
        <v>1</v>
      </c>
      <c r="B143" s="46">
        <v>0.5</v>
      </c>
      <c r="C143" s="46">
        <v>1</v>
      </c>
      <c r="D143" s="47"/>
      <c r="E143" s="45" t="s">
        <v>15</v>
      </c>
      <c r="F143" s="46" t="s">
        <v>15</v>
      </c>
      <c r="G143" s="2">
        <f t="array" ref="G143">_xlfn.IFS(E143=F143,1)</f>
        <v>1</v>
      </c>
      <c r="H143" s="2"/>
      <c r="J143" s="45">
        <v>1</v>
      </c>
      <c r="K143" s="46">
        <v>0.5</v>
      </c>
      <c r="L143" s="2">
        <f t="shared" si="11"/>
        <v>0.301029995663981</v>
      </c>
      <c r="T143" s="45">
        <v>1</v>
      </c>
      <c r="U143" s="46">
        <v>0.5</v>
      </c>
      <c r="V143" s="46">
        <f t="shared" si="12"/>
        <v>1</v>
      </c>
      <c r="W143" s="2">
        <f t="shared" si="13"/>
        <v>1</v>
      </c>
      <c r="X143" s="2">
        <f t="shared" si="14"/>
        <v>1</v>
      </c>
      <c r="Y143" s="2">
        <f t="shared" si="15"/>
        <v>0</v>
      </c>
    </row>
    <row r="144" spans="1:25">
      <c r="A144" s="45">
        <v>0</v>
      </c>
      <c r="B144" s="46">
        <v>0.71</v>
      </c>
      <c r="C144" s="46">
        <v>1</v>
      </c>
      <c r="D144" s="47"/>
      <c r="E144" s="45" t="s">
        <v>16</v>
      </c>
      <c r="F144" s="46" t="s">
        <v>15</v>
      </c>
      <c r="G144" s="2" t="e">
        <f t="array" ref="G144">_xlfn.IFS(E144=F144,1)</f>
        <v>#N/A</v>
      </c>
      <c r="H144" s="2"/>
      <c r="J144" s="45">
        <v>0</v>
      </c>
      <c r="K144" s="46">
        <v>0.71</v>
      </c>
      <c r="L144" s="2">
        <f t="shared" si="11"/>
        <v>0.537602002101044</v>
      </c>
      <c r="T144" s="45">
        <v>0</v>
      </c>
      <c r="U144" s="46">
        <v>0.71</v>
      </c>
      <c r="V144" s="46">
        <f t="shared" si="12"/>
        <v>1</v>
      </c>
      <c r="W144" s="2">
        <f t="shared" si="13"/>
        <v>1</v>
      </c>
      <c r="X144" s="2">
        <f t="shared" si="14"/>
        <v>1</v>
      </c>
      <c r="Y144" s="2">
        <f t="shared" si="15"/>
        <v>0</v>
      </c>
    </row>
    <row r="145" spans="1:25">
      <c r="A145" s="45">
        <v>1</v>
      </c>
      <c r="B145" s="46">
        <v>0.95</v>
      </c>
      <c r="C145" s="46">
        <v>1</v>
      </c>
      <c r="D145" s="47"/>
      <c r="E145" s="45" t="s">
        <v>15</v>
      </c>
      <c r="F145" s="46" t="s">
        <v>15</v>
      </c>
      <c r="G145" s="2">
        <f t="array" ref="G145">_xlfn.IFS(E145=F145,1)</f>
        <v>1</v>
      </c>
      <c r="H145" s="2"/>
      <c r="J145" s="45">
        <v>1</v>
      </c>
      <c r="K145" s="46">
        <v>0.95</v>
      </c>
      <c r="L145" s="2">
        <f t="shared" si="11"/>
        <v>0.0222763947111523</v>
      </c>
      <c r="T145" s="45">
        <v>1</v>
      </c>
      <c r="U145" s="46">
        <v>0.95</v>
      </c>
      <c r="V145" s="46">
        <f t="shared" si="12"/>
        <v>1</v>
      </c>
      <c r="W145" s="2">
        <f t="shared" si="13"/>
        <v>1</v>
      </c>
      <c r="X145" s="2">
        <f t="shared" si="14"/>
        <v>1</v>
      </c>
      <c r="Y145" s="2">
        <f t="shared" si="15"/>
        <v>1</v>
      </c>
    </row>
    <row r="146" spans="1:25">
      <c r="A146" s="45">
        <v>1</v>
      </c>
      <c r="B146" s="46">
        <v>0.98</v>
      </c>
      <c r="C146" s="46">
        <v>1</v>
      </c>
      <c r="D146" s="47"/>
      <c r="E146" s="45" t="s">
        <v>15</v>
      </c>
      <c r="F146" s="46" t="s">
        <v>15</v>
      </c>
      <c r="G146" s="2">
        <f t="array" ref="G146">_xlfn.IFS(E146=F146,1)</f>
        <v>1</v>
      </c>
      <c r="H146" s="2"/>
      <c r="J146" s="45">
        <v>1</v>
      </c>
      <c r="K146" s="46">
        <v>0.98</v>
      </c>
      <c r="L146" s="2">
        <f t="shared" si="11"/>
        <v>0.00877392430750515</v>
      </c>
      <c r="T146" s="45">
        <v>1</v>
      </c>
      <c r="U146" s="46">
        <v>0.98</v>
      </c>
      <c r="V146" s="46">
        <f t="shared" si="12"/>
        <v>1</v>
      </c>
      <c r="W146" s="2">
        <f t="shared" si="13"/>
        <v>1</v>
      </c>
      <c r="X146" s="2">
        <f t="shared" si="14"/>
        <v>1</v>
      </c>
      <c r="Y146" s="2">
        <f t="shared" si="15"/>
        <v>1</v>
      </c>
    </row>
    <row r="147" spans="1:25">
      <c r="A147" s="45">
        <v>0</v>
      </c>
      <c r="B147" s="46">
        <v>0.09</v>
      </c>
      <c r="C147" s="46"/>
      <c r="D147" s="47"/>
      <c r="E147" s="45" t="s">
        <v>16</v>
      </c>
      <c r="F147" s="46" t="s">
        <v>16</v>
      </c>
      <c r="G147" s="2">
        <f t="array" ref="G147">_xlfn.IFS(E147=F147,1)</f>
        <v>1</v>
      </c>
      <c r="H147" s="2"/>
      <c r="J147" s="45">
        <v>0</v>
      </c>
      <c r="K147" s="46">
        <v>0.09</v>
      </c>
      <c r="L147" s="2">
        <f t="shared" si="11"/>
        <v>0.0409586076789064</v>
      </c>
      <c r="T147" s="45">
        <v>0</v>
      </c>
      <c r="U147" s="46">
        <v>0.09</v>
      </c>
      <c r="V147" s="46">
        <f t="shared" si="12"/>
        <v>0</v>
      </c>
      <c r="W147" s="2">
        <f t="shared" si="13"/>
        <v>0</v>
      </c>
      <c r="X147" s="2">
        <f t="shared" si="14"/>
        <v>0</v>
      </c>
      <c r="Y147" s="2">
        <f t="shared" si="15"/>
        <v>0</v>
      </c>
    </row>
    <row r="148" spans="1:25">
      <c r="A148" s="45">
        <v>1</v>
      </c>
      <c r="B148" s="46">
        <v>0.84</v>
      </c>
      <c r="C148" s="46">
        <v>1</v>
      </c>
      <c r="D148" s="47"/>
      <c r="E148" s="45" t="s">
        <v>15</v>
      </c>
      <c r="F148" s="46" t="s">
        <v>15</v>
      </c>
      <c r="G148" s="2">
        <f t="array" ref="G148">_xlfn.IFS(E148=F148,1)</f>
        <v>1</v>
      </c>
      <c r="H148" s="2"/>
      <c r="J148" s="45">
        <v>1</v>
      </c>
      <c r="K148" s="46">
        <v>0.84</v>
      </c>
      <c r="L148" s="2">
        <f t="shared" si="11"/>
        <v>0.0757207139381184</v>
      </c>
      <c r="T148" s="45">
        <v>1</v>
      </c>
      <c r="U148" s="46">
        <v>0.84</v>
      </c>
      <c r="V148" s="46">
        <f t="shared" si="12"/>
        <v>1</v>
      </c>
      <c r="W148" s="2">
        <f t="shared" si="13"/>
        <v>1</v>
      </c>
      <c r="X148" s="2">
        <f t="shared" si="14"/>
        <v>1</v>
      </c>
      <c r="Y148" s="2">
        <f t="shared" si="15"/>
        <v>1</v>
      </c>
    </row>
    <row r="149" spans="1:25">
      <c r="A149" s="45">
        <v>0</v>
      </c>
      <c r="B149" s="46">
        <v>0.32</v>
      </c>
      <c r="C149" s="46"/>
      <c r="D149" s="47"/>
      <c r="E149" s="45" t="s">
        <v>16</v>
      </c>
      <c r="F149" s="46" t="s">
        <v>15</v>
      </c>
      <c r="G149" s="2" t="e">
        <f t="array" ref="G149">_xlfn.IFS(E149=F149,1)</f>
        <v>#N/A</v>
      </c>
      <c r="H149" s="2"/>
      <c r="J149" s="45">
        <v>0</v>
      </c>
      <c r="K149" s="46">
        <v>0.32</v>
      </c>
      <c r="L149" s="2">
        <f t="shared" si="11"/>
        <v>0.167491087293764</v>
      </c>
      <c r="T149" s="45">
        <v>0</v>
      </c>
      <c r="U149" s="46">
        <v>0.32</v>
      </c>
      <c r="V149" s="46">
        <f t="shared" si="12"/>
        <v>1</v>
      </c>
      <c r="W149" s="2">
        <f t="shared" si="13"/>
        <v>1</v>
      </c>
      <c r="X149" s="2">
        <f t="shared" si="14"/>
        <v>0</v>
      </c>
      <c r="Y149" s="2">
        <f t="shared" si="15"/>
        <v>0</v>
      </c>
    </row>
    <row r="150" spans="1:25">
      <c r="A150" s="45">
        <v>0</v>
      </c>
      <c r="B150" s="46">
        <v>0.3</v>
      </c>
      <c r="C150" s="46"/>
      <c r="D150" s="47"/>
      <c r="E150" s="45" t="s">
        <v>16</v>
      </c>
      <c r="F150" s="46" t="s">
        <v>15</v>
      </c>
      <c r="G150" s="2" t="e">
        <f t="array" ref="G150">_xlfn.IFS(E150=F150,1)</f>
        <v>#N/A</v>
      </c>
      <c r="H150" s="2"/>
      <c r="J150" s="45">
        <v>0</v>
      </c>
      <c r="K150" s="46">
        <v>0.3</v>
      </c>
      <c r="L150" s="2">
        <f t="shared" si="11"/>
        <v>0.154901959985743</v>
      </c>
      <c r="T150" s="45">
        <v>0</v>
      </c>
      <c r="U150" s="46">
        <v>0.3</v>
      </c>
      <c r="V150" s="46">
        <f t="shared" si="12"/>
        <v>1</v>
      </c>
      <c r="W150" s="2">
        <f t="shared" si="13"/>
        <v>1</v>
      </c>
      <c r="X150" s="2">
        <f t="shared" si="14"/>
        <v>0</v>
      </c>
      <c r="Y150" s="2">
        <f t="shared" si="15"/>
        <v>0</v>
      </c>
    </row>
    <row r="151" spans="1:25">
      <c r="A151" s="45">
        <v>1</v>
      </c>
      <c r="B151" s="46">
        <v>0.39</v>
      </c>
      <c r="C151" s="46"/>
      <c r="D151" s="47"/>
      <c r="E151" s="45" t="s">
        <v>15</v>
      </c>
      <c r="F151" s="46" t="s">
        <v>15</v>
      </c>
      <c r="G151" s="2">
        <f t="array" ref="G151">_xlfn.IFS(E151=F151,1)</f>
        <v>1</v>
      </c>
      <c r="H151" s="2"/>
      <c r="J151" s="45">
        <v>1</v>
      </c>
      <c r="K151" s="46">
        <v>0.39</v>
      </c>
      <c r="L151" s="2">
        <f t="shared" si="11"/>
        <v>0.408935392973501</v>
      </c>
      <c r="T151" s="45">
        <v>1</v>
      </c>
      <c r="U151" s="46">
        <v>0.39</v>
      </c>
      <c r="V151" s="46">
        <f t="shared" si="12"/>
        <v>1</v>
      </c>
      <c r="W151" s="2">
        <f t="shared" si="13"/>
        <v>1</v>
      </c>
      <c r="X151" s="2">
        <f t="shared" si="14"/>
        <v>0</v>
      </c>
      <c r="Y151" s="2">
        <f t="shared" si="15"/>
        <v>0</v>
      </c>
    </row>
    <row r="152" spans="1:25">
      <c r="A152" s="45">
        <v>1</v>
      </c>
      <c r="B152" s="46">
        <v>0.56</v>
      </c>
      <c r="C152" s="46">
        <v>1</v>
      </c>
      <c r="D152" s="47"/>
      <c r="E152" s="45" t="s">
        <v>15</v>
      </c>
      <c r="F152" s="46" t="s">
        <v>15</v>
      </c>
      <c r="G152" s="2">
        <f t="array" ref="G152">_xlfn.IFS(E152=F152,1)</f>
        <v>1</v>
      </c>
      <c r="H152" s="2"/>
      <c r="J152" s="45">
        <v>1</v>
      </c>
      <c r="K152" s="46">
        <v>0.56</v>
      </c>
      <c r="L152" s="2">
        <f t="shared" si="11"/>
        <v>0.2518119729938</v>
      </c>
      <c r="T152" s="45">
        <v>1</v>
      </c>
      <c r="U152" s="46">
        <v>0.56</v>
      </c>
      <c r="V152" s="46">
        <f t="shared" si="12"/>
        <v>1</v>
      </c>
      <c r="W152" s="2">
        <f t="shared" si="13"/>
        <v>1</v>
      </c>
      <c r="X152" s="2">
        <f t="shared" si="14"/>
        <v>1</v>
      </c>
      <c r="Y152" s="2">
        <f t="shared" si="15"/>
        <v>0</v>
      </c>
    </row>
    <row r="153" spans="1:25">
      <c r="A153" s="45">
        <v>1</v>
      </c>
      <c r="B153" s="46">
        <v>0.82</v>
      </c>
      <c r="C153" s="46">
        <v>1</v>
      </c>
      <c r="D153" s="47"/>
      <c r="E153" s="45" t="s">
        <v>15</v>
      </c>
      <c r="F153" s="46" t="s">
        <v>15</v>
      </c>
      <c r="G153" s="2">
        <f t="array" ref="G153">_xlfn.IFS(E153=F153,1)</f>
        <v>1</v>
      </c>
      <c r="H153" s="2"/>
      <c r="J153" s="45">
        <v>1</v>
      </c>
      <c r="K153" s="46">
        <v>0.82</v>
      </c>
      <c r="L153" s="2">
        <f t="shared" si="11"/>
        <v>0.0861861476162833</v>
      </c>
      <c r="T153" s="45">
        <v>1</v>
      </c>
      <c r="U153" s="46">
        <v>0.82</v>
      </c>
      <c r="V153" s="46">
        <f t="shared" si="12"/>
        <v>1</v>
      </c>
      <c r="W153" s="2">
        <f t="shared" si="13"/>
        <v>1</v>
      </c>
      <c r="X153" s="2">
        <f t="shared" si="14"/>
        <v>1</v>
      </c>
      <c r="Y153" s="2">
        <f t="shared" si="15"/>
        <v>1</v>
      </c>
    </row>
    <row r="154" spans="1:25">
      <c r="A154" s="45">
        <v>1</v>
      </c>
      <c r="B154" s="46">
        <v>0.08</v>
      </c>
      <c r="C154" s="46"/>
      <c r="D154" s="47"/>
      <c r="E154" s="45" t="s">
        <v>15</v>
      </c>
      <c r="F154" s="46" t="s">
        <v>15</v>
      </c>
      <c r="G154" s="2">
        <f t="array" ref="G154">_xlfn.IFS(E154=F154,1)</f>
        <v>1</v>
      </c>
      <c r="H154" s="2"/>
      <c r="J154" s="45">
        <v>1</v>
      </c>
      <c r="K154" s="46">
        <v>0.08</v>
      </c>
      <c r="L154" s="2">
        <f t="shared" si="11"/>
        <v>1.09691001300806</v>
      </c>
      <c r="T154" s="45">
        <v>1</v>
      </c>
      <c r="U154" s="46">
        <v>0.08</v>
      </c>
      <c r="V154" s="46">
        <f t="shared" si="12"/>
        <v>0</v>
      </c>
      <c r="W154" s="2">
        <f t="shared" si="13"/>
        <v>0</v>
      </c>
      <c r="X154" s="2">
        <f t="shared" si="14"/>
        <v>0</v>
      </c>
      <c r="Y154" s="2">
        <f t="shared" si="15"/>
        <v>0</v>
      </c>
    </row>
    <row r="155" spans="1:25">
      <c r="A155" s="45">
        <v>0</v>
      </c>
      <c r="B155" s="46">
        <v>0.74</v>
      </c>
      <c r="C155" s="46">
        <v>1</v>
      </c>
      <c r="D155" s="47"/>
      <c r="E155" s="45" t="s">
        <v>16</v>
      </c>
      <c r="F155" s="46" t="s">
        <v>16</v>
      </c>
      <c r="G155" s="2">
        <f t="array" ref="G155">_xlfn.IFS(E155=F155,1)</f>
        <v>1</v>
      </c>
      <c r="H155" s="2"/>
      <c r="J155" s="45">
        <v>0</v>
      </c>
      <c r="K155" s="46">
        <v>0.74</v>
      </c>
      <c r="L155" s="2">
        <f t="shared" si="11"/>
        <v>0.585026652029182</v>
      </c>
      <c r="T155" s="45">
        <v>0</v>
      </c>
      <c r="U155" s="46">
        <v>0.74</v>
      </c>
      <c r="V155" s="46">
        <f t="shared" si="12"/>
        <v>1</v>
      </c>
      <c r="W155" s="2">
        <f t="shared" si="13"/>
        <v>1</v>
      </c>
      <c r="X155" s="2">
        <f t="shared" si="14"/>
        <v>1</v>
      </c>
      <c r="Y155" s="2">
        <f t="shared" si="15"/>
        <v>0</v>
      </c>
    </row>
    <row r="156" spans="1:25">
      <c r="A156" s="45">
        <v>1</v>
      </c>
      <c r="B156" s="46">
        <v>0.55</v>
      </c>
      <c r="C156" s="46">
        <v>1</v>
      </c>
      <c r="D156" s="47"/>
      <c r="E156" s="45" t="s">
        <v>15</v>
      </c>
      <c r="F156" s="46" t="s">
        <v>15</v>
      </c>
      <c r="G156" s="2">
        <f t="array" ref="G156">_xlfn.IFS(E156=F156,1)</f>
        <v>1</v>
      </c>
      <c r="H156" s="2"/>
      <c r="J156" s="45">
        <v>1</v>
      </c>
      <c r="K156" s="46">
        <v>0.55</v>
      </c>
      <c r="L156" s="2">
        <f t="shared" si="11"/>
        <v>0.259637310505756</v>
      </c>
      <c r="T156" s="45">
        <v>1</v>
      </c>
      <c r="U156" s="46">
        <v>0.55</v>
      </c>
      <c r="V156" s="46">
        <f t="shared" si="12"/>
        <v>1</v>
      </c>
      <c r="W156" s="2">
        <f t="shared" si="13"/>
        <v>1</v>
      </c>
      <c r="X156" s="2">
        <f t="shared" si="14"/>
        <v>1</v>
      </c>
      <c r="Y156" s="2">
        <f t="shared" si="15"/>
        <v>0</v>
      </c>
    </row>
    <row r="157" spans="1:25">
      <c r="A157" s="45">
        <v>1</v>
      </c>
      <c r="B157" s="46">
        <v>0.01</v>
      </c>
      <c r="C157" s="46"/>
      <c r="D157" s="47"/>
      <c r="E157" s="45" t="s">
        <v>15</v>
      </c>
      <c r="F157" s="46" t="s">
        <v>15</v>
      </c>
      <c r="G157" s="2">
        <f t="array" ref="G157">_xlfn.IFS(E157=F157,1)</f>
        <v>1</v>
      </c>
      <c r="H157" s="2"/>
      <c r="J157" s="45">
        <v>1</v>
      </c>
      <c r="K157" s="46">
        <v>0.01</v>
      </c>
      <c r="L157" s="2">
        <f t="shared" si="11"/>
        <v>2</v>
      </c>
      <c r="T157" s="45">
        <v>1</v>
      </c>
      <c r="U157" s="46">
        <v>0.01</v>
      </c>
      <c r="V157" s="46">
        <f t="shared" si="12"/>
        <v>0</v>
      </c>
      <c r="W157" s="2">
        <f t="shared" si="13"/>
        <v>0</v>
      </c>
      <c r="X157" s="2">
        <f t="shared" si="14"/>
        <v>0</v>
      </c>
      <c r="Y157" s="2">
        <f t="shared" si="15"/>
        <v>0</v>
      </c>
    </row>
    <row r="158" spans="1:25">
      <c r="A158" s="45">
        <v>1</v>
      </c>
      <c r="B158" s="46">
        <v>0.51</v>
      </c>
      <c r="C158" s="46">
        <v>1</v>
      </c>
      <c r="D158" s="47"/>
      <c r="E158" s="45" t="s">
        <v>15</v>
      </c>
      <c r="F158" s="46" t="s">
        <v>15</v>
      </c>
      <c r="G158" s="2">
        <f t="array" ref="G158">_xlfn.IFS(E158=F158,1)</f>
        <v>1</v>
      </c>
      <c r="H158" s="2"/>
      <c r="J158" s="45">
        <v>1</v>
      </c>
      <c r="K158" s="46">
        <v>0.51</v>
      </c>
      <c r="L158" s="2">
        <f t="shared" si="11"/>
        <v>0.292429823902064</v>
      </c>
      <c r="T158" s="45">
        <v>1</v>
      </c>
      <c r="U158" s="46">
        <v>0.51</v>
      </c>
      <c r="V158" s="46">
        <f t="shared" si="12"/>
        <v>1</v>
      </c>
      <c r="W158" s="2">
        <f t="shared" si="13"/>
        <v>1</v>
      </c>
      <c r="X158" s="2">
        <f t="shared" si="14"/>
        <v>1</v>
      </c>
      <c r="Y158" s="2">
        <f t="shared" si="15"/>
        <v>0</v>
      </c>
    </row>
    <row r="159" spans="1:25">
      <c r="A159" s="45">
        <v>1</v>
      </c>
      <c r="B159" s="46">
        <v>0.27</v>
      </c>
      <c r="C159" s="46"/>
      <c r="D159" s="47"/>
      <c r="E159" s="45" t="s">
        <v>15</v>
      </c>
      <c r="F159" s="46" t="s">
        <v>15</v>
      </c>
      <c r="G159" s="2">
        <f t="array" ref="G159">_xlfn.IFS(E159=F159,1)</f>
        <v>1</v>
      </c>
      <c r="H159" s="2"/>
      <c r="J159" s="45">
        <v>1</v>
      </c>
      <c r="K159" s="46">
        <v>0.27</v>
      </c>
      <c r="L159" s="2">
        <f t="shared" si="11"/>
        <v>0.568636235841013</v>
      </c>
      <c r="T159" s="45">
        <v>1</v>
      </c>
      <c r="U159" s="46">
        <v>0.27</v>
      </c>
      <c r="V159" s="46">
        <f t="shared" si="12"/>
        <v>1</v>
      </c>
      <c r="W159" s="2">
        <f t="shared" si="13"/>
        <v>0</v>
      </c>
      <c r="X159" s="2">
        <f t="shared" si="14"/>
        <v>0</v>
      </c>
      <c r="Y159" s="2">
        <f t="shared" si="15"/>
        <v>0</v>
      </c>
    </row>
    <row r="160" spans="1:25">
      <c r="A160" s="45">
        <v>1</v>
      </c>
      <c r="B160" s="46">
        <v>0.38</v>
      </c>
      <c r="C160" s="46"/>
      <c r="D160" s="47"/>
      <c r="E160" s="45" t="s">
        <v>15</v>
      </c>
      <c r="F160" s="46" t="s">
        <v>16</v>
      </c>
      <c r="G160" s="2" t="e">
        <f t="array" ref="G160">_xlfn.IFS(E160=F160,1)</f>
        <v>#N/A</v>
      </c>
      <c r="H160" s="2"/>
      <c r="J160" s="45">
        <v>1</v>
      </c>
      <c r="K160" s="46">
        <v>0.38</v>
      </c>
      <c r="L160" s="2">
        <f t="shared" si="11"/>
        <v>0.42021640338319</v>
      </c>
      <c r="T160" s="45">
        <v>1</v>
      </c>
      <c r="U160" s="46">
        <v>0.38</v>
      </c>
      <c r="V160" s="46">
        <f t="shared" si="12"/>
        <v>1</v>
      </c>
      <c r="W160" s="2">
        <f t="shared" si="13"/>
        <v>1</v>
      </c>
      <c r="X160" s="2">
        <f t="shared" si="14"/>
        <v>0</v>
      </c>
      <c r="Y160" s="2">
        <f t="shared" si="15"/>
        <v>0</v>
      </c>
    </row>
    <row r="161" spans="1:25">
      <c r="A161" s="45">
        <v>1</v>
      </c>
      <c r="B161" s="46">
        <v>0.72</v>
      </c>
      <c r="C161" s="46">
        <v>1</v>
      </c>
      <c r="D161" s="47"/>
      <c r="E161" s="45" t="s">
        <v>15</v>
      </c>
      <c r="F161" s="46" t="s">
        <v>15</v>
      </c>
      <c r="G161" s="2">
        <f t="array" ref="G161">_xlfn.IFS(E161=F161,1)</f>
        <v>1</v>
      </c>
      <c r="H161" s="2"/>
      <c r="J161" s="45">
        <v>1</v>
      </c>
      <c r="K161" s="46">
        <v>0.72</v>
      </c>
      <c r="L161" s="2">
        <f t="shared" si="11"/>
        <v>0.142667503568732</v>
      </c>
      <c r="T161" s="45">
        <v>1</v>
      </c>
      <c r="U161" s="46">
        <v>0.72</v>
      </c>
      <c r="V161" s="46">
        <f t="shared" si="12"/>
        <v>1</v>
      </c>
      <c r="W161" s="2">
        <f t="shared" si="13"/>
        <v>1</v>
      </c>
      <c r="X161" s="2">
        <f t="shared" si="14"/>
        <v>1</v>
      </c>
      <c r="Y161" s="2">
        <f t="shared" si="15"/>
        <v>0</v>
      </c>
    </row>
    <row r="162" spans="1:25">
      <c r="A162" s="45">
        <v>1</v>
      </c>
      <c r="B162" s="46">
        <v>0.86</v>
      </c>
      <c r="C162" s="46">
        <v>1</v>
      </c>
      <c r="D162" s="47"/>
      <c r="E162" s="45" t="s">
        <v>15</v>
      </c>
      <c r="F162" s="46" t="s">
        <v>15</v>
      </c>
      <c r="G162" s="2">
        <f t="array" ref="G162">_xlfn.IFS(E162=F162,1)</f>
        <v>1</v>
      </c>
      <c r="H162" s="2"/>
      <c r="J162" s="45">
        <v>1</v>
      </c>
      <c r="K162" s="46">
        <v>0.86</v>
      </c>
      <c r="L162" s="2">
        <f t="shared" si="11"/>
        <v>0.0655015487564323</v>
      </c>
      <c r="T162" s="45">
        <v>1</v>
      </c>
      <c r="U162" s="46">
        <v>0.86</v>
      </c>
      <c r="V162" s="46">
        <f t="shared" si="12"/>
        <v>1</v>
      </c>
      <c r="W162" s="2">
        <f t="shared" si="13"/>
        <v>1</v>
      </c>
      <c r="X162" s="2">
        <f t="shared" si="14"/>
        <v>1</v>
      </c>
      <c r="Y162" s="2">
        <f t="shared" si="15"/>
        <v>1</v>
      </c>
    </row>
    <row r="163" spans="1:25">
      <c r="A163" s="45">
        <v>1</v>
      </c>
      <c r="B163" s="46">
        <v>0.51</v>
      </c>
      <c r="C163" s="46">
        <v>1</v>
      </c>
      <c r="D163" s="47"/>
      <c r="E163" s="45" t="s">
        <v>15</v>
      </c>
      <c r="F163" s="46" t="s">
        <v>15</v>
      </c>
      <c r="G163" s="2">
        <f t="array" ref="G163">_xlfn.IFS(E163=F163,1)</f>
        <v>1</v>
      </c>
      <c r="H163" s="2"/>
      <c r="J163" s="45">
        <v>1</v>
      </c>
      <c r="K163" s="46">
        <v>0.51</v>
      </c>
      <c r="L163" s="2">
        <f t="shared" si="11"/>
        <v>0.292429823902064</v>
      </c>
      <c r="T163" s="45">
        <v>1</v>
      </c>
      <c r="U163" s="46">
        <v>0.51</v>
      </c>
      <c r="V163" s="46">
        <f t="shared" si="12"/>
        <v>1</v>
      </c>
      <c r="W163" s="2">
        <f t="shared" si="13"/>
        <v>1</v>
      </c>
      <c r="X163" s="2">
        <f t="shared" si="14"/>
        <v>1</v>
      </c>
      <c r="Y163" s="2">
        <f t="shared" si="15"/>
        <v>0</v>
      </c>
    </row>
    <row r="164" spans="1:25">
      <c r="A164" s="45">
        <v>0</v>
      </c>
      <c r="B164" s="46">
        <v>0.63</v>
      </c>
      <c r="C164" s="46">
        <v>1</v>
      </c>
      <c r="D164" s="47"/>
      <c r="E164" s="45" t="s">
        <v>16</v>
      </c>
      <c r="F164" s="46" t="s">
        <v>16</v>
      </c>
      <c r="G164" s="2">
        <f t="array" ref="G164">_xlfn.IFS(E164=F164,1)</f>
        <v>1</v>
      </c>
      <c r="H164" s="2"/>
      <c r="J164" s="45">
        <v>0</v>
      </c>
      <c r="K164" s="46">
        <v>0.63</v>
      </c>
      <c r="L164" s="2">
        <f t="shared" si="11"/>
        <v>0.431798275933005</v>
      </c>
      <c r="T164" s="45">
        <v>0</v>
      </c>
      <c r="U164" s="46">
        <v>0.63</v>
      </c>
      <c r="V164" s="46">
        <f t="shared" si="12"/>
        <v>1</v>
      </c>
      <c r="W164" s="2">
        <f t="shared" si="13"/>
        <v>1</v>
      </c>
      <c r="X164" s="2">
        <f t="shared" si="14"/>
        <v>1</v>
      </c>
      <c r="Y164" s="2">
        <f t="shared" si="15"/>
        <v>0</v>
      </c>
    </row>
    <row r="165" spans="1:25">
      <c r="A165" s="45">
        <v>1</v>
      </c>
      <c r="B165" s="46">
        <v>0.09</v>
      </c>
      <c r="C165" s="46"/>
      <c r="D165" s="47"/>
      <c r="E165" s="45" t="s">
        <v>15</v>
      </c>
      <c r="F165" s="46" t="s">
        <v>15</v>
      </c>
      <c r="G165" s="2">
        <f t="array" ref="G165">_xlfn.IFS(E165=F165,1)</f>
        <v>1</v>
      </c>
      <c r="H165" s="2"/>
      <c r="J165" s="45">
        <v>1</v>
      </c>
      <c r="K165" s="46">
        <v>0.09</v>
      </c>
      <c r="L165" s="2">
        <f t="shared" si="11"/>
        <v>1.04575749056068</v>
      </c>
      <c r="T165" s="45">
        <v>1</v>
      </c>
      <c r="U165" s="46">
        <v>0.09</v>
      </c>
      <c r="V165" s="46">
        <f t="shared" si="12"/>
        <v>0</v>
      </c>
      <c r="W165" s="2">
        <f t="shared" si="13"/>
        <v>0</v>
      </c>
      <c r="X165" s="2">
        <f t="shared" si="14"/>
        <v>0</v>
      </c>
      <c r="Y165" s="2">
        <f t="shared" si="15"/>
        <v>0</v>
      </c>
    </row>
    <row r="166" spans="1:25">
      <c r="A166" s="45">
        <v>1</v>
      </c>
      <c r="B166" s="46">
        <v>0.44</v>
      </c>
      <c r="C166" s="46"/>
      <c r="D166" s="47"/>
      <c r="E166" s="45" t="s">
        <v>15</v>
      </c>
      <c r="F166" s="46" t="s">
        <v>15</v>
      </c>
      <c r="G166" s="2">
        <f t="array" ref="G166">_xlfn.IFS(E166=F166,1)</f>
        <v>1</v>
      </c>
      <c r="H166" s="2"/>
      <c r="J166" s="45">
        <v>1</v>
      </c>
      <c r="K166" s="46">
        <v>0.44</v>
      </c>
      <c r="L166" s="2">
        <f t="shared" si="11"/>
        <v>0.356547323513813</v>
      </c>
      <c r="T166" s="45">
        <v>1</v>
      </c>
      <c r="U166" s="46">
        <v>0.44</v>
      </c>
      <c r="V166" s="46">
        <f t="shared" si="12"/>
        <v>1</v>
      </c>
      <c r="W166" s="2">
        <f t="shared" si="13"/>
        <v>1</v>
      </c>
      <c r="X166" s="2">
        <f t="shared" si="14"/>
        <v>0</v>
      </c>
      <c r="Y166" s="2">
        <f t="shared" si="15"/>
        <v>0</v>
      </c>
    </row>
    <row r="167" spans="1:25">
      <c r="A167" s="45">
        <v>0</v>
      </c>
      <c r="B167" s="46">
        <v>0.58</v>
      </c>
      <c r="C167" s="46">
        <v>1</v>
      </c>
      <c r="D167" s="47"/>
      <c r="E167" s="45" t="s">
        <v>16</v>
      </c>
      <c r="F167" s="46" t="s">
        <v>15</v>
      </c>
      <c r="G167" s="2" t="e">
        <f t="array" ref="G167">_xlfn.IFS(E167=F167,1)</f>
        <v>#N/A</v>
      </c>
      <c r="H167" s="2"/>
      <c r="J167" s="45">
        <v>0</v>
      </c>
      <c r="K167" s="46">
        <v>0.58</v>
      </c>
      <c r="L167" s="2">
        <f t="shared" si="11"/>
        <v>0.376750709602099</v>
      </c>
      <c r="T167" s="45">
        <v>0</v>
      </c>
      <c r="U167" s="46">
        <v>0.58</v>
      </c>
      <c r="V167" s="46">
        <f t="shared" si="12"/>
        <v>1</v>
      </c>
      <c r="W167" s="2">
        <f t="shared" si="13"/>
        <v>1</v>
      </c>
      <c r="X167" s="2">
        <f t="shared" si="14"/>
        <v>1</v>
      </c>
      <c r="Y167" s="2">
        <f t="shared" si="15"/>
        <v>0</v>
      </c>
    </row>
    <row r="168" spans="1:25">
      <c r="A168" s="45">
        <v>1</v>
      </c>
      <c r="B168" s="46">
        <v>0.51</v>
      </c>
      <c r="C168" s="46">
        <v>1</v>
      </c>
      <c r="D168" s="47"/>
      <c r="E168" s="45" t="s">
        <v>15</v>
      </c>
      <c r="F168" s="46" t="s">
        <v>15</v>
      </c>
      <c r="G168" s="2">
        <f t="array" ref="G168">_xlfn.IFS(E168=F168,1)</f>
        <v>1</v>
      </c>
      <c r="H168" s="2"/>
      <c r="J168" s="45">
        <v>1</v>
      </c>
      <c r="K168" s="46">
        <v>0.51</v>
      </c>
      <c r="L168" s="2">
        <f t="shared" si="11"/>
        <v>0.292429823902064</v>
      </c>
      <c r="T168" s="45">
        <v>1</v>
      </c>
      <c r="U168" s="46">
        <v>0.51</v>
      </c>
      <c r="V168" s="46">
        <f t="shared" si="12"/>
        <v>1</v>
      </c>
      <c r="W168" s="2">
        <f t="shared" si="13"/>
        <v>1</v>
      </c>
      <c r="X168" s="2">
        <f t="shared" si="14"/>
        <v>1</v>
      </c>
      <c r="Y168" s="2">
        <f t="shared" si="15"/>
        <v>0</v>
      </c>
    </row>
    <row r="169" spans="1:25">
      <c r="A169" s="45">
        <v>1</v>
      </c>
      <c r="B169" s="46">
        <v>0.56</v>
      </c>
      <c r="C169" s="46">
        <v>1</v>
      </c>
      <c r="D169" s="47"/>
      <c r="E169" s="45" t="s">
        <v>15</v>
      </c>
      <c r="F169" s="46" t="s">
        <v>15</v>
      </c>
      <c r="G169" s="2">
        <f t="array" ref="G169">_xlfn.IFS(E169=F169,1)</f>
        <v>1</v>
      </c>
      <c r="H169" s="2"/>
      <c r="J169" s="45">
        <v>1</v>
      </c>
      <c r="K169" s="46">
        <v>0.56</v>
      </c>
      <c r="L169" s="2">
        <f t="shared" si="11"/>
        <v>0.2518119729938</v>
      </c>
      <c r="T169" s="45">
        <v>1</v>
      </c>
      <c r="U169" s="46">
        <v>0.56</v>
      </c>
      <c r="V169" s="46">
        <f t="shared" si="12"/>
        <v>1</v>
      </c>
      <c r="W169" s="2">
        <f t="shared" si="13"/>
        <v>1</v>
      </c>
      <c r="X169" s="2">
        <f t="shared" si="14"/>
        <v>1</v>
      </c>
      <c r="Y169" s="2">
        <f t="shared" si="15"/>
        <v>0</v>
      </c>
    </row>
    <row r="170" spans="1:25">
      <c r="A170" s="45">
        <v>1</v>
      </c>
      <c r="B170" s="46">
        <v>0.35</v>
      </c>
      <c r="C170" s="46"/>
      <c r="D170" s="47"/>
      <c r="E170" s="45" t="s">
        <v>15</v>
      </c>
      <c r="F170" s="46" t="s">
        <v>15</v>
      </c>
      <c r="G170" s="2">
        <f t="array" ref="G170">_xlfn.IFS(E170=F170,1)</f>
        <v>1</v>
      </c>
      <c r="H170" s="2"/>
      <c r="J170" s="45">
        <v>1</v>
      </c>
      <c r="K170" s="46">
        <v>0.35</v>
      </c>
      <c r="L170" s="2">
        <f t="shared" si="11"/>
        <v>0.455931955649724</v>
      </c>
      <c r="T170" s="45">
        <v>1</v>
      </c>
      <c r="U170" s="46">
        <v>0.35</v>
      </c>
      <c r="V170" s="46">
        <f t="shared" si="12"/>
        <v>1</v>
      </c>
      <c r="W170" s="2">
        <f t="shared" si="13"/>
        <v>1</v>
      </c>
      <c r="X170" s="2">
        <f t="shared" si="14"/>
        <v>0</v>
      </c>
      <c r="Y170" s="2">
        <f t="shared" si="15"/>
        <v>0</v>
      </c>
    </row>
    <row r="171" spans="1:25">
      <c r="A171" s="45">
        <v>1</v>
      </c>
      <c r="B171" s="46">
        <v>0.73</v>
      </c>
      <c r="C171" s="46">
        <v>1</v>
      </c>
      <c r="D171" s="47"/>
      <c r="E171" s="45" t="s">
        <v>15</v>
      </c>
      <c r="F171" s="46" t="s">
        <v>15</v>
      </c>
      <c r="G171" s="2">
        <f t="array" ref="G171">_xlfn.IFS(E171=F171,1)</f>
        <v>1</v>
      </c>
      <c r="H171" s="2"/>
      <c r="J171" s="45">
        <v>1</v>
      </c>
      <c r="K171" s="46">
        <v>0.73</v>
      </c>
      <c r="L171" s="2">
        <f t="shared" si="11"/>
        <v>0.136677139879544</v>
      </c>
      <c r="T171" s="45">
        <v>1</v>
      </c>
      <c r="U171" s="46">
        <v>0.73</v>
      </c>
      <c r="V171" s="46">
        <f t="shared" si="12"/>
        <v>1</v>
      </c>
      <c r="W171" s="2">
        <f t="shared" si="13"/>
        <v>1</v>
      </c>
      <c r="X171" s="2">
        <f t="shared" si="14"/>
        <v>1</v>
      </c>
      <c r="Y171" s="2">
        <f t="shared" si="15"/>
        <v>0</v>
      </c>
    </row>
    <row r="172" spans="1:25">
      <c r="A172" s="45">
        <v>1</v>
      </c>
      <c r="B172" s="46">
        <v>0.94</v>
      </c>
      <c r="C172" s="46">
        <v>1</v>
      </c>
      <c r="D172" s="47"/>
      <c r="E172" s="45" t="s">
        <v>15</v>
      </c>
      <c r="F172" s="46" t="s">
        <v>15</v>
      </c>
      <c r="G172" s="2">
        <f t="array" ref="G172">_xlfn.IFS(E172=F172,1)</f>
        <v>1</v>
      </c>
      <c r="H172" s="2"/>
      <c r="J172" s="45">
        <v>1</v>
      </c>
      <c r="K172" s="46">
        <v>0.94</v>
      </c>
      <c r="L172" s="2">
        <f t="shared" si="11"/>
        <v>0.0268721464003014</v>
      </c>
      <c r="T172" s="45">
        <v>1</v>
      </c>
      <c r="U172" s="46">
        <v>0.94</v>
      </c>
      <c r="V172" s="46">
        <f t="shared" si="12"/>
        <v>1</v>
      </c>
      <c r="W172" s="2">
        <f t="shared" si="13"/>
        <v>1</v>
      </c>
      <c r="X172" s="2">
        <f t="shared" si="14"/>
        <v>1</v>
      </c>
      <c r="Y172" s="2">
        <f t="shared" si="15"/>
        <v>1</v>
      </c>
    </row>
    <row r="173" spans="1:25">
      <c r="A173" s="45">
        <v>1</v>
      </c>
      <c r="B173" s="46">
        <v>0.79</v>
      </c>
      <c r="C173" s="46">
        <v>1</v>
      </c>
      <c r="D173" s="47"/>
      <c r="E173" s="45" t="s">
        <v>15</v>
      </c>
      <c r="F173" s="46" t="s">
        <v>15</v>
      </c>
      <c r="G173" s="2">
        <f t="array" ref="G173">_xlfn.IFS(E173=F173,1)</f>
        <v>1</v>
      </c>
      <c r="H173" s="2"/>
      <c r="J173" s="45">
        <v>1</v>
      </c>
      <c r="K173" s="46">
        <v>0.79</v>
      </c>
      <c r="L173" s="2">
        <f t="shared" si="11"/>
        <v>0.102372908709559</v>
      </c>
      <c r="T173" s="45">
        <v>1</v>
      </c>
      <c r="U173" s="46">
        <v>0.79</v>
      </c>
      <c r="V173" s="46">
        <f t="shared" si="12"/>
        <v>1</v>
      </c>
      <c r="W173" s="2">
        <f t="shared" si="13"/>
        <v>1</v>
      </c>
      <c r="X173" s="2">
        <f t="shared" si="14"/>
        <v>1</v>
      </c>
      <c r="Y173" s="2">
        <f t="shared" si="15"/>
        <v>0</v>
      </c>
    </row>
    <row r="174" spans="1:25">
      <c r="A174" s="45">
        <v>0</v>
      </c>
      <c r="B174" s="46">
        <v>0.85</v>
      </c>
      <c r="C174" s="46">
        <v>1</v>
      </c>
      <c r="D174" s="47"/>
      <c r="E174" s="45" t="s">
        <v>16</v>
      </c>
      <c r="F174" s="46" t="s">
        <v>16</v>
      </c>
      <c r="G174" s="2">
        <f t="array" ref="G174">_xlfn.IFS(E174=F174,1)</f>
        <v>1</v>
      </c>
      <c r="H174" s="2"/>
      <c r="J174" s="45">
        <v>0</v>
      </c>
      <c r="K174" s="46">
        <v>0.85</v>
      </c>
      <c r="L174" s="2">
        <f t="shared" si="11"/>
        <v>0.823908740944319</v>
      </c>
      <c r="T174" s="45">
        <v>0</v>
      </c>
      <c r="U174" s="46">
        <v>0.85</v>
      </c>
      <c r="V174" s="46">
        <f t="shared" si="12"/>
        <v>1</v>
      </c>
      <c r="W174" s="2">
        <f t="shared" si="13"/>
        <v>1</v>
      </c>
      <c r="X174" s="2">
        <f t="shared" si="14"/>
        <v>1</v>
      </c>
      <c r="Y174" s="2">
        <f t="shared" si="15"/>
        <v>1</v>
      </c>
    </row>
    <row r="175" spans="1:25">
      <c r="A175" s="45">
        <v>0</v>
      </c>
      <c r="B175" s="46">
        <v>0.76</v>
      </c>
      <c r="C175" s="46">
        <v>1</v>
      </c>
      <c r="D175" s="47"/>
      <c r="E175" s="45" t="s">
        <v>16</v>
      </c>
      <c r="F175" s="46" t="s">
        <v>16</v>
      </c>
      <c r="G175" s="2">
        <f t="array" ref="G175">_xlfn.IFS(E175=F175,1)</f>
        <v>1</v>
      </c>
      <c r="H175" s="2"/>
      <c r="J175" s="45">
        <v>0</v>
      </c>
      <c r="K175" s="46">
        <v>0.76</v>
      </c>
      <c r="L175" s="2">
        <f t="shared" si="11"/>
        <v>0.619788758288394</v>
      </c>
      <c r="T175" s="45">
        <v>0</v>
      </c>
      <c r="U175" s="46">
        <v>0.76</v>
      </c>
      <c r="V175" s="46">
        <f t="shared" si="12"/>
        <v>1</v>
      </c>
      <c r="W175" s="2">
        <f t="shared" si="13"/>
        <v>1</v>
      </c>
      <c r="X175" s="2">
        <f t="shared" si="14"/>
        <v>1</v>
      </c>
      <c r="Y175" s="2">
        <f t="shared" si="15"/>
        <v>0</v>
      </c>
    </row>
    <row r="176" spans="1:25">
      <c r="A176" s="45">
        <v>1</v>
      </c>
      <c r="B176" s="46">
        <v>0.21</v>
      </c>
      <c r="C176" s="46"/>
      <c r="D176" s="47"/>
      <c r="E176" s="45" t="s">
        <v>15</v>
      </c>
      <c r="F176" s="46" t="s">
        <v>16</v>
      </c>
      <c r="G176" s="2" t="e">
        <f t="array" ref="G176">_xlfn.IFS(E176=F176,1)</f>
        <v>#N/A</v>
      </c>
      <c r="H176" s="2"/>
      <c r="J176" s="45">
        <v>1</v>
      </c>
      <c r="K176" s="46">
        <v>0.21</v>
      </c>
      <c r="L176" s="2">
        <f t="shared" si="11"/>
        <v>0.677780705266081</v>
      </c>
      <c r="T176" s="45">
        <v>1</v>
      </c>
      <c r="U176" s="46">
        <v>0.21</v>
      </c>
      <c r="V176" s="46">
        <f t="shared" si="12"/>
        <v>1</v>
      </c>
      <c r="W176" s="2">
        <f t="shared" si="13"/>
        <v>0</v>
      </c>
      <c r="X176" s="2">
        <f t="shared" si="14"/>
        <v>0</v>
      </c>
      <c r="Y176" s="2">
        <f t="shared" si="15"/>
        <v>0</v>
      </c>
    </row>
    <row r="177" spans="1:25">
      <c r="A177" s="45">
        <v>1</v>
      </c>
      <c r="B177" s="46">
        <v>0.8</v>
      </c>
      <c r="C177" s="46">
        <v>1</v>
      </c>
      <c r="D177" s="47"/>
      <c r="E177" s="45" t="s">
        <v>15</v>
      </c>
      <c r="F177" s="46" t="s">
        <v>15</v>
      </c>
      <c r="G177" s="2">
        <f t="array" ref="G177">_xlfn.IFS(E177=F177,1)</f>
        <v>1</v>
      </c>
      <c r="H177" s="2"/>
      <c r="J177" s="45">
        <v>1</v>
      </c>
      <c r="K177" s="46">
        <v>0.8</v>
      </c>
      <c r="L177" s="2">
        <f t="shared" si="11"/>
        <v>0.0969100130080564</v>
      </c>
      <c r="T177" s="45">
        <v>1</v>
      </c>
      <c r="U177" s="46">
        <v>0.8</v>
      </c>
      <c r="V177" s="46">
        <f t="shared" si="12"/>
        <v>1</v>
      </c>
      <c r="W177" s="2">
        <f t="shared" si="13"/>
        <v>1</v>
      </c>
      <c r="X177" s="2">
        <f t="shared" si="14"/>
        <v>1</v>
      </c>
      <c r="Y177" s="2">
        <f t="shared" si="15"/>
        <v>1</v>
      </c>
    </row>
    <row r="178" spans="1:25">
      <c r="A178" s="45">
        <v>1</v>
      </c>
      <c r="B178" s="46">
        <v>0.22</v>
      </c>
      <c r="C178" s="46"/>
      <c r="D178" s="47"/>
      <c r="E178" s="45" t="s">
        <v>15</v>
      </c>
      <c r="F178" s="46" t="s">
        <v>15</v>
      </c>
      <c r="G178" s="2">
        <f t="array" ref="G178">_xlfn.IFS(E178=F178,1)</f>
        <v>1</v>
      </c>
      <c r="H178" s="2"/>
      <c r="J178" s="45">
        <v>1</v>
      </c>
      <c r="K178" s="46">
        <v>0.22</v>
      </c>
      <c r="L178" s="2">
        <f t="shared" si="11"/>
        <v>0.657577319177794</v>
      </c>
      <c r="T178" s="45">
        <v>1</v>
      </c>
      <c r="U178" s="46">
        <v>0.22</v>
      </c>
      <c r="V178" s="46">
        <f t="shared" si="12"/>
        <v>1</v>
      </c>
      <c r="W178" s="2">
        <f t="shared" si="13"/>
        <v>0</v>
      </c>
      <c r="X178" s="2">
        <f t="shared" si="14"/>
        <v>0</v>
      </c>
      <c r="Y178" s="2">
        <f t="shared" si="15"/>
        <v>0</v>
      </c>
    </row>
    <row r="179" spans="1:25">
      <c r="A179" s="45">
        <v>0</v>
      </c>
      <c r="B179" s="46">
        <v>1</v>
      </c>
      <c r="C179" s="46">
        <v>1</v>
      </c>
      <c r="D179" s="47"/>
      <c r="E179" s="45" t="s">
        <v>16</v>
      </c>
      <c r="F179" s="46" t="s">
        <v>16</v>
      </c>
      <c r="G179" s="2">
        <f t="array" ref="G179">_xlfn.IFS(E179=F179,1)</f>
        <v>1</v>
      </c>
      <c r="H179" s="2"/>
      <c r="J179" s="45">
        <v>0</v>
      </c>
      <c r="K179" s="46">
        <v>0.5</v>
      </c>
      <c r="L179" s="2">
        <f t="shared" si="11"/>
        <v>0.301029995663981</v>
      </c>
      <c r="T179" s="45">
        <v>0</v>
      </c>
      <c r="U179" s="46">
        <v>1</v>
      </c>
      <c r="V179" s="46">
        <f t="shared" si="12"/>
        <v>1</v>
      </c>
      <c r="W179" s="2">
        <f t="shared" si="13"/>
        <v>1</v>
      </c>
      <c r="X179" s="2">
        <f t="shared" si="14"/>
        <v>1</v>
      </c>
      <c r="Y179" s="2">
        <f t="shared" si="15"/>
        <v>1</v>
      </c>
    </row>
    <row r="180" spans="1:25">
      <c r="A180" s="45">
        <v>1</v>
      </c>
      <c r="B180" s="46">
        <v>0.76</v>
      </c>
      <c r="C180" s="46">
        <v>1</v>
      </c>
      <c r="D180" s="47"/>
      <c r="E180" s="45" t="s">
        <v>15</v>
      </c>
      <c r="F180" s="46" t="s">
        <v>15</v>
      </c>
      <c r="G180" s="2">
        <f t="array" ref="G180">_xlfn.IFS(E180=F180,1)</f>
        <v>1</v>
      </c>
      <c r="H180" s="2"/>
      <c r="J180" s="45">
        <v>1</v>
      </c>
      <c r="K180" s="46">
        <v>0.76</v>
      </c>
      <c r="L180" s="2">
        <f t="shared" si="11"/>
        <v>0.119186407719209</v>
      </c>
      <c r="T180" s="45">
        <v>1</v>
      </c>
      <c r="U180" s="46">
        <v>0.76</v>
      </c>
      <c r="V180" s="46">
        <f t="shared" si="12"/>
        <v>1</v>
      </c>
      <c r="W180" s="2">
        <f t="shared" si="13"/>
        <v>1</v>
      </c>
      <c r="X180" s="2">
        <f t="shared" si="14"/>
        <v>1</v>
      </c>
      <c r="Y180" s="2">
        <f t="shared" si="15"/>
        <v>0</v>
      </c>
    </row>
    <row r="181" spans="1:25">
      <c r="A181" s="45">
        <v>1</v>
      </c>
      <c r="B181" s="46">
        <v>0.6</v>
      </c>
      <c r="C181" s="46">
        <v>1</v>
      </c>
      <c r="D181" s="47"/>
      <c r="E181" s="45" t="s">
        <v>15</v>
      </c>
      <c r="F181" s="46" t="s">
        <v>16</v>
      </c>
      <c r="G181" s="2" t="e">
        <f t="array" ref="G181">_xlfn.IFS(E181=F181,1)</f>
        <v>#N/A</v>
      </c>
      <c r="H181" s="2"/>
      <c r="J181" s="45">
        <v>1</v>
      </c>
      <c r="K181" s="46">
        <v>0.6</v>
      </c>
      <c r="L181" s="2">
        <f t="shared" si="11"/>
        <v>0.221848749616356</v>
      </c>
      <c r="T181" s="45">
        <v>1</v>
      </c>
      <c r="U181" s="46">
        <v>0.6</v>
      </c>
      <c r="V181" s="46">
        <f t="shared" si="12"/>
        <v>1</v>
      </c>
      <c r="W181" s="2">
        <f t="shared" si="13"/>
        <v>1</v>
      </c>
      <c r="X181" s="2">
        <f t="shared" si="14"/>
        <v>1</v>
      </c>
      <c r="Y181" s="2">
        <f t="shared" si="15"/>
        <v>0</v>
      </c>
    </row>
    <row r="182" spans="1:25">
      <c r="A182" s="45">
        <v>1</v>
      </c>
      <c r="B182" s="46">
        <v>0.05</v>
      </c>
      <c r="C182" s="46"/>
      <c r="D182" s="47"/>
      <c r="E182" s="45" t="s">
        <v>15</v>
      </c>
      <c r="F182" s="46" t="s">
        <v>16</v>
      </c>
      <c r="G182" s="2" t="e">
        <f t="array" ref="G182">_xlfn.IFS(E182=F182,1)</f>
        <v>#N/A</v>
      </c>
      <c r="H182" s="2"/>
      <c r="J182" s="45">
        <v>1</v>
      </c>
      <c r="K182" s="46">
        <v>0.05</v>
      </c>
      <c r="L182" s="2">
        <f t="shared" si="11"/>
        <v>1.30102999566398</v>
      </c>
      <c r="T182" s="45">
        <v>1</v>
      </c>
      <c r="U182" s="46">
        <v>0.05</v>
      </c>
      <c r="V182" s="46">
        <f t="shared" si="12"/>
        <v>0</v>
      </c>
      <c r="W182" s="2">
        <f t="shared" si="13"/>
        <v>0</v>
      </c>
      <c r="X182" s="2">
        <f t="shared" si="14"/>
        <v>0</v>
      </c>
      <c r="Y182" s="2">
        <f t="shared" si="15"/>
        <v>0</v>
      </c>
    </row>
    <row r="183" spans="1:25">
      <c r="A183" s="45">
        <v>1</v>
      </c>
      <c r="B183" s="46">
        <v>0.8</v>
      </c>
      <c r="C183" s="46">
        <v>1</v>
      </c>
      <c r="D183" s="47"/>
      <c r="E183" s="45" t="s">
        <v>15</v>
      </c>
      <c r="F183" s="46" t="s">
        <v>15</v>
      </c>
      <c r="G183" s="2">
        <f t="array" ref="G183">_xlfn.IFS(E183=F183,1)</f>
        <v>1</v>
      </c>
      <c r="H183" s="2"/>
      <c r="J183" s="45">
        <v>1</v>
      </c>
      <c r="K183" s="46">
        <v>0.8</v>
      </c>
      <c r="L183" s="2">
        <f t="shared" si="11"/>
        <v>0.0969100130080564</v>
      </c>
      <c r="T183" s="45">
        <v>1</v>
      </c>
      <c r="U183" s="46">
        <v>0.8</v>
      </c>
      <c r="V183" s="46">
        <f t="shared" si="12"/>
        <v>1</v>
      </c>
      <c r="W183" s="2">
        <f t="shared" si="13"/>
        <v>1</v>
      </c>
      <c r="X183" s="2">
        <f t="shared" si="14"/>
        <v>1</v>
      </c>
      <c r="Y183" s="2">
        <f t="shared" si="15"/>
        <v>1</v>
      </c>
    </row>
    <row r="184" spans="1:25">
      <c r="A184" s="45">
        <v>0</v>
      </c>
      <c r="B184" s="46">
        <v>0.4</v>
      </c>
      <c r="C184" s="46"/>
      <c r="D184" s="47"/>
      <c r="E184" s="45" t="s">
        <v>16</v>
      </c>
      <c r="F184" s="46" t="s">
        <v>16</v>
      </c>
      <c r="G184" s="2">
        <f t="array" ref="G184">_xlfn.IFS(E184=F184,1)</f>
        <v>1</v>
      </c>
      <c r="H184" s="2"/>
      <c r="J184" s="45">
        <v>0</v>
      </c>
      <c r="K184" s="46">
        <v>0.4</v>
      </c>
      <c r="L184" s="2">
        <f t="shared" si="11"/>
        <v>0.221848749616356</v>
      </c>
      <c r="T184" s="45">
        <v>0</v>
      </c>
      <c r="U184" s="46">
        <v>0.4</v>
      </c>
      <c r="V184" s="46">
        <f t="shared" si="12"/>
        <v>1</v>
      </c>
      <c r="W184" s="2">
        <f t="shared" si="13"/>
        <v>1</v>
      </c>
      <c r="X184" s="2">
        <f t="shared" si="14"/>
        <v>0</v>
      </c>
      <c r="Y184" s="2">
        <f t="shared" si="15"/>
        <v>0</v>
      </c>
    </row>
    <row r="185" spans="1:25">
      <c r="A185" s="45">
        <v>1</v>
      </c>
      <c r="B185" s="46">
        <v>0.99</v>
      </c>
      <c r="C185" s="46">
        <v>1</v>
      </c>
      <c r="D185" s="47"/>
      <c r="E185" s="45" t="s">
        <v>15</v>
      </c>
      <c r="F185" s="46" t="s">
        <v>15</v>
      </c>
      <c r="G185" s="2">
        <f t="array" ref="G185">_xlfn.IFS(E185=F185,1)</f>
        <v>1</v>
      </c>
      <c r="H185" s="2"/>
      <c r="J185" s="45">
        <v>1</v>
      </c>
      <c r="K185" s="46">
        <v>0.99</v>
      </c>
      <c r="L185" s="2">
        <f t="shared" si="11"/>
        <v>0.00436480540245009</v>
      </c>
      <c r="T185" s="45">
        <v>1</v>
      </c>
      <c r="U185" s="46">
        <v>0.99</v>
      </c>
      <c r="V185" s="46">
        <f t="shared" si="12"/>
        <v>1</v>
      </c>
      <c r="W185" s="2">
        <f t="shared" si="13"/>
        <v>1</v>
      </c>
      <c r="X185" s="2">
        <f t="shared" si="14"/>
        <v>1</v>
      </c>
      <c r="Y185" s="2">
        <f t="shared" si="15"/>
        <v>1</v>
      </c>
    </row>
    <row r="186" spans="1:25">
      <c r="A186" s="45">
        <v>0</v>
      </c>
      <c r="B186" s="46">
        <v>0.3</v>
      </c>
      <c r="C186" s="46"/>
      <c r="D186" s="47"/>
      <c r="E186" s="45" t="s">
        <v>16</v>
      </c>
      <c r="F186" s="46" t="s">
        <v>16</v>
      </c>
      <c r="G186" s="2">
        <f t="array" ref="G186">_xlfn.IFS(E186=F186,1)</f>
        <v>1</v>
      </c>
      <c r="H186" s="2"/>
      <c r="J186" s="45">
        <v>0</v>
      </c>
      <c r="K186" s="46">
        <v>0.3</v>
      </c>
      <c r="L186" s="2">
        <f t="shared" si="11"/>
        <v>0.154901959985743</v>
      </c>
      <c r="T186" s="45">
        <v>0</v>
      </c>
      <c r="U186" s="46">
        <v>0.3</v>
      </c>
      <c r="V186" s="46">
        <f t="shared" si="12"/>
        <v>1</v>
      </c>
      <c r="W186" s="2">
        <f t="shared" si="13"/>
        <v>1</v>
      </c>
      <c r="X186" s="2">
        <f t="shared" si="14"/>
        <v>0</v>
      </c>
      <c r="Y186" s="2">
        <f t="shared" si="15"/>
        <v>0</v>
      </c>
    </row>
    <row r="187" spans="1:25">
      <c r="A187" s="45">
        <v>1</v>
      </c>
      <c r="B187" s="46">
        <v>0.63</v>
      </c>
      <c r="C187" s="46">
        <v>1</v>
      </c>
      <c r="D187" s="47"/>
      <c r="E187" s="45" t="s">
        <v>15</v>
      </c>
      <c r="F187" s="46" t="s">
        <v>15</v>
      </c>
      <c r="G187" s="2">
        <f t="array" ref="G187">_xlfn.IFS(E187=F187,1)</f>
        <v>1</v>
      </c>
      <c r="H187" s="2"/>
      <c r="J187" s="45">
        <v>1</v>
      </c>
      <c r="K187" s="46">
        <v>0.63</v>
      </c>
      <c r="L187" s="2">
        <f t="shared" si="11"/>
        <v>0.200659450546418</v>
      </c>
      <c r="T187" s="45">
        <v>1</v>
      </c>
      <c r="U187" s="46">
        <v>0.63</v>
      </c>
      <c r="V187" s="46">
        <f t="shared" si="12"/>
        <v>1</v>
      </c>
      <c r="W187" s="2">
        <f t="shared" si="13"/>
        <v>1</v>
      </c>
      <c r="X187" s="2">
        <f t="shared" si="14"/>
        <v>1</v>
      </c>
      <c r="Y187" s="2">
        <f t="shared" si="15"/>
        <v>0</v>
      </c>
    </row>
    <row r="188" spans="1:25">
      <c r="A188" s="45">
        <v>1</v>
      </c>
      <c r="B188" s="46">
        <v>0.53</v>
      </c>
      <c r="C188" s="46">
        <v>1</v>
      </c>
      <c r="D188" s="47"/>
      <c r="E188" s="45" t="s">
        <v>15</v>
      </c>
      <c r="F188" s="46" t="s">
        <v>15</v>
      </c>
      <c r="G188" s="2">
        <f t="array" ref="G188">_xlfn.IFS(E188=F188,1)</f>
        <v>1</v>
      </c>
      <c r="H188" s="2"/>
      <c r="J188" s="45">
        <v>1</v>
      </c>
      <c r="K188" s="46">
        <v>0.53</v>
      </c>
      <c r="L188" s="2">
        <f t="shared" si="11"/>
        <v>0.275724130399211</v>
      </c>
      <c r="T188" s="45">
        <v>1</v>
      </c>
      <c r="U188" s="46">
        <v>0.53</v>
      </c>
      <c r="V188" s="46">
        <f t="shared" si="12"/>
        <v>1</v>
      </c>
      <c r="W188" s="2">
        <f t="shared" si="13"/>
        <v>1</v>
      </c>
      <c r="X188" s="2">
        <f t="shared" si="14"/>
        <v>1</v>
      </c>
      <c r="Y188" s="2">
        <f t="shared" si="15"/>
        <v>0</v>
      </c>
    </row>
    <row r="189" spans="1:25">
      <c r="A189" s="45">
        <v>0</v>
      </c>
      <c r="B189" s="46">
        <v>0.19</v>
      </c>
      <c r="C189" s="46"/>
      <c r="D189" s="47"/>
      <c r="E189" s="45" t="s">
        <v>16</v>
      </c>
      <c r="F189" s="46" t="s">
        <v>15</v>
      </c>
      <c r="G189" s="2" t="e">
        <f t="array" ref="G189">_xlfn.IFS(E189=F189,1)</f>
        <v>#N/A</v>
      </c>
      <c r="H189" s="2"/>
      <c r="J189" s="45">
        <v>0</v>
      </c>
      <c r="K189" s="46">
        <v>0.19</v>
      </c>
      <c r="L189" s="2">
        <f t="shared" si="11"/>
        <v>0.0915149811213502</v>
      </c>
      <c r="T189" s="45">
        <v>0</v>
      </c>
      <c r="U189" s="46">
        <v>0.19</v>
      </c>
      <c r="V189" s="46">
        <f t="shared" si="12"/>
        <v>1</v>
      </c>
      <c r="W189" s="2">
        <f t="shared" si="13"/>
        <v>0</v>
      </c>
      <c r="X189" s="2">
        <f t="shared" si="14"/>
        <v>0</v>
      </c>
      <c r="Y189" s="2">
        <f t="shared" si="15"/>
        <v>0</v>
      </c>
    </row>
    <row r="190" spans="1:25">
      <c r="A190" s="45">
        <v>1</v>
      </c>
      <c r="B190" s="46">
        <v>0.62</v>
      </c>
      <c r="C190" s="46">
        <v>1</v>
      </c>
      <c r="D190" s="47"/>
      <c r="E190" s="45" t="s">
        <v>15</v>
      </c>
      <c r="F190" s="46" t="s">
        <v>15</v>
      </c>
      <c r="G190" s="2">
        <f t="array" ref="G190">_xlfn.IFS(E190=F190,1)</f>
        <v>1</v>
      </c>
      <c r="H190" s="2"/>
      <c r="J190" s="45">
        <v>1</v>
      </c>
      <c r="K190" s="46">
        <v>0.62</v>
      </c>
      <c r="L190" s="2">
        <f t="shared" si="11"/>
        <v>0.207608310501746</v>
      </c>
      <c r="T190" s="45">
        <v>1</v>
      </c>
      <c r="U190" s="46">
        <v>0.62</v>
      </c>
      <c r="V190" s="46">
        <f t="shared" si="12"/>
        <v>1</v>
      </c>
      <c r="W190" s="2">
        <f t="shared" si="13"/>
        <v>1</v>
      </c>
      <c r="X190" s="2">
        <f t="shared" si="14"/>
        <v>1</v>
      </c>
      <c r="Y190" s="2">
        <f t="shared" si="15"/>
        <v>0</v>
      </c>
    </row>
    <row r="191" spans="1:25">
      <c r="A191" s="45">
        <v>1</v>
      </c>
      <c r="B191" s="46">
        <v>0.75</v>
      </c>
      <c r="C191" s="46">
        <v>1</v>
      </c>
      <c r="D191" s="47"/>
      <c r="E191" s="45" t="s">
        <v>15</v>
      </c>
      <c r="F191" s="46" t="s">
        <v>15</v>
      </c>
      <c r="G191" s="2">
        <f t="array" ref="G191">_xlfn.IFS(E191=F191,1)</f>
        <v>1</v>
      </c>
      <c r="H191" s="2"/>
      <c r="J191" s="45">
        <v>1</v>
      </c>
      <c r="K191" s="46">
        <v>0.75</v>
      </c>
      <c r="L191" s="2">
        <f t="shared" si="11"/>
        <v>0.1249387366083</v>
      </c>
      <c r="T191" s="45">
        <v>1</v>
      </c>
      <c r="U191" s="46">
        <v>0.75</v>
      </c>
      <c r="V191" s="46">
        <f t="shared" si="12"/>
        <v>1</v>
      </c>
      <c r="W191" s="2">
        <f t="shared" si="13"/>
        <v>1</v>
      </c>
      <c r="X191" s="2">
        <f t="shared" si="14"/>
        <v>1</v>
      </c>
      <c r="Y191" s="2">
        <f t="shared" si="15"/>
        <v>0</v>
      </c>
    </row>
    <row r="192" spans="1:25">
      <c r="A192" s="45">
        <v>1</v>
      </c>
      <c r="B192" s="46">
        <v>0.94</v>
      </c>
      <c r="C192" s="46">
        <v>1</v>
      </c>
      <c r="D192" s="47"/>
      <c r="E192" s="45" t="s">
        <v>15</v>
      </c>
      <c r="F192" s="46" t="s">
        <v>15</v>
      </c>
      <c r="G192" s="2">
        <f t="array" ref="G192">_xlfn.IFS(E192=F192,1)</f>
        <v>1</v>
      </c>
      <c r="H192" s="2"/>
      <c r="J192" s="45">
        <v>1</v>
      </c>
      <c r="K192" s="46">
        <v>0.94</v>
      </c>
      <c r="L192" s="2">
        <f t="shared" si="11"/>
        <v>0.0268721464003014</v>
      </c>
      <c r="T192" s="45">
        <v>1</v>
      </c>
      <c r="U192" s="46">
        <v>0.94</v>
      </c>
      <c r="V192" s="46">
        <f t="shared" si="12"/>
        <v>1</v>
      </c>
      <c r="W192" s="2">
        <f t="shared" si="13"/>
        <v>1</v>
      </c>
      <c r="X192" s="2">
        <f t="shared" si="14"/>
        <v>1</v>
      </c>
      <c r="Y192" s="2">
        <f t="shared" si="15"/>
        <v>1</v>
      </c>
    </row>
    <row r="193" spans="1:25">
      <c r="A193" s="45">
        <v>0</v>
      </c>
      <c r="B193" s="46">
        <v>0.77</v>
      </c>
      <c r="C193" s="46">
        <v>1</v>
      </c>
      <c r="D193" s="47"/>
      <c r="E193" s="45" t="s">
        <v>16</v>
      </c>
      <c r="F193" s="46" t="s">
        <v>16</v>
      </c>
      <c r="G193" s="2">
        <f t="array" ref="G193">_xlfn.IFS(E193=F193,1)</f>
        <v>1</v>
      </c>
      <c r="H193" s="2"/>
      <c r="J193" s="45">
        <v>0</v>
      </c>
      <c r="K193" s="46">
        <v>0.77</v>
      </c>
      <c r="L193" s="2">
        <f t="shared" si="11"/>
        <v>0.638272163982407</v>
      </c>
      <c r="T193" s="45">
        <v>0</v>
      </c>
      <c r="U193" s="46">
        <v>0.77</v>
      </c>
      <c r="V193" s="46">
        <f t="shared" si="12"/>
        <v>1</v>
      </c>
      <c r="W193" s="2">
        <f t="shared" si="13"/>
        <v>1</v>
      </c>
      <c r="X193" s="2">
        <f t="shared" si="14"/>
        <v>1</v>
      </c>
      <c r="Y193" s="2">
        <f t="shared" si="15"/>
        <v>0</v>
      </c>
    </row>
    <row r="194" spans="1:25">
      <c r="A194" s="45">
        <v>1</v>
      </c>
      <c r="B194" s="46">
        <v>0.57</v>
      </c>
      <c r="C194" s="46">
        <v>1</v>
      </c>
      <c r="D194" s="47"/>
      <c r="E194" s="45" t="s">
        <v>15</v>
      </c>
      <c r="F194" s="46" t="s">
        <v>15</v>
      </c>
      <c r="G194" s="2">
        <f t="array" ref="G194">_xlfn.IFS(E194=F194,1)</f>
        <v>1</v>
      </c>
      <c r="H194" s="2"/>
      <c r="J194" s="45">
        <v>1</v>
      </c>
      <c r="K194" s="46">
        <v>0.57</v>
      </c>
      <c r="L194" s="2">
        <f t="shared" si="11"/>
        <v>0.244125144327509</v>
      </c>
      <c r="T194" s="45">
        <v>1</v>
      </c>
      <c r="U194" s="46">
        <v>0.57</v>
      </c>
      <c r="V194" s="46">
        <f t="shared" si="12"/>
        <v>1</v>
      </c>
      <c r="W194" s="2">
        <f t="shared" si="13"/>
        <v>1</v>
      </c>
      <c r="X194" s="2">
        <f t="shared" si="14"/>
        <v>1</v>
      </c>
      <c r="Y194" s="2">
        <f t="shared" si="15"/>
        <v>0</v>
      </c>
    </row>
    <row r="195" spans="1:25">
      <c r="A195" s="45">
        <v>1</v>
      </c>
      <c r="B195" s="46">
        <v>0.44</v>
      </c>
      <c r="C195" s="46"/>
      <c r="D195" s="47"/>
      <c r="E195" s="45" t="s">
        <v>15</v>
      </c>
      <c r="F195" s="46" t="s">
        <v>16</v>
      </c>
      <c r="G195" s="2" t="e">
        <f t="array" ref="G195">_xlfn.IFS(E195=F195,1)</f>
        <v>#N/A</v>
      </c>
      <c r="H195" s="2"/>
      <c r="J195" s="45">
        <v>1</v>
      </c>
      <c r="K195" s="46">
        <v>0.44</v>
      </c>
      <c r="L195" s="2">
        <f t="shared" ref="L195:L247" si="16">-(J195*LOG(K195)+(1-J195)*LOG(1-K195))</f>
        <v>0.356547323513813</v>
      </c>
      <c r="T195" s="45">
        <v>1</v>
      </c>
      <c r="U195" s="46">
        <v>0.44</v>
      </c>
      <c r="V195" s="46">
        <f t="shared" ref="V195:V247" si="17">IF(U195&gt;=0.1,1,0)</f>
        <v>1</v>
      </c>
      <c r="W195" s="2">
        <f t="shared" ref="W195:W247" si="18">IF(U195&gt;=0.3,1,0)</f>
        <v>1</v>
      </c>
      <c r="X195" s="2">
        <f t="shared" ref="X195:X247" si="19">IF(U195&gt;=0.5,1,0)</f>
        <v>0</v>
      </c>
      <c r="Y195" s="2">
        <f t="shared" ref="Y195:Y247" si="20">IF(U195&gt;=0.8,1,0)</f>
        <v>0</v>
      </c>
    </row>
    <row r="196" spans="1:25">
      <c r="A196" s="45">
        <v>1</v>
      </c>
      <c r="B196" s="46">
        <v>0.38</v>
      </c>
      <c r="C196" s="46"/>
      <c r="D196" s="47"/>
      <c r="E196" s="45" t="s">
        <v>15</v>
      </c>
      <c r="F196" s="46" t="s">
        <v>15</v>
      </c>
      <c r="G196" s="2">
        <f t="array" ref="G196">_xlfn.IFS(E196=F196,1)</f>
        <v>1</v>
      </c>
      <c r="H196" s="2"/>
      <c r="J196" s="45">
        <v>1</v>
      </c>
      <c r="K196" s="46">
        <v>0.38</v>
      </c>
      <c r="L196" s="2">
        <f t="shared" si="16"/>
        <v>0.42021640338319</v>
      </c>
      <c r="T196" s="45">
        <v>1</v>
      </c>
      <c r="U196" s="46">
        <v>0.38</v>
      </c>
      <c r="V196" s="46">
        <f t="shared" si="17"/>
        <v>1</v>
      </c>
      <c r="W196" s="2">
        <f t="shared" si="18"/>
        <v>1</v>
      </c>
      <c r="X196" s="2">
        <f t="shared" si="19"/>
        <v>0</v>
      </c>
      <c r="Y196" s="2">
        <f t="shared" si="20"/>
        <v>0</v>
      </c>
    </row>
    <row r="197" spans="1:25">
      <c r="A197" s="45">
        <v>1</v>
      </c>
      <c r="B197" s="46">
        <v>0.7</v>
      </c>
      <c r="C197" s="46">
        <v>1</v>
      </c>
      <c r="D197" s="47"/>
      <c r="E197" s="45" t="s">
        <v>15</v>
      </c>
      <c r="F197" s="46" t="s">
        <v>15</v>
      </c>
      <c r="G197" s="2">
        <f t="array" ref="G197">_xlfn.IFS(E197=F197,1)</f>
        <v>1</v>
      </c>
      <c r="H197" s="2"/>
      <c r="J197" s="45">
        <v>1</v>
      </c>
      <c r="K197" s="46">
        <v>0.7</v>
      </c>
      <c r="L197" s="2">
        <f t="shared" si="16"/>
        <v>0.154901959985743</v>
      </c>
      <c r="T197" s="45">
        <v>1</v>
      </c>
      <c r="U197" s="46">
        <v>0.7</v>
      </c>
      <c r="V197" s="46">
        <f t="shared" si="17"/>
        <v>1</v>
      </c>
      <c r="W197" s="2">
        <f t="shared" si="18"/>
        <v>1</v>
      </c>
      <c r="X197" s="2">
        <f t="shared" si="19"/>
        <v>1</v>
      </c>
      <c r="Y197" s="2">
        <f t="shared" si="20"/>
        <v>0</v>
      </c>
    </row>
    <row r="198" spans="1:25">
      <c r="A198" s="45">
        <v>1</v>
      </c>
      <c r="B198" s="46">
        <v>0.4</v>
      </c>
      <c r="C198" s="46"/>
      <c r="D198" s="47"/>
      <c r="E198" s="45" t="s">
        <v>15</v>
      </c>
      <c r="F198" s="46" t="s">
        <v>15</v>
      </c>
      <c r="G198" s="2">
        <f t="array" ref="G198">_xlfn.IFS(E198=F198,1)</f>
        <v>1</v>
      </c>
      <c r="H198" s="2"/>
      <c r="J198" s="45">
        <v>1</v>
      </c>
      <c r="K198" s="46">
        <v>0.4</v>
      </c>
      <c r="L198" s="2">
        <f t="shared" si="16"/>
        <v>0.397940008672038</v>
      </c>
      <c r="T198" s="45">
        <v>1</v>
      </c>
      <c r="U198" s="46">
        <v>0.4</v>
      </c>
      <c r="V198" s="46">
        <f t="shared" si="17"/>
        <v>1</v>
      </c>
      <c r="W198" s="2">
        <f t="shared" si="18"/>
        <v>1</v>
      </c>
      <c r="X198" s="2">
        <f t="shared" si="19"/>
        <v>0</v>
      </c>
      <c r="Y198" s="2">
        <f t="shared" si="20"/>
        <v>0</v>
      </c>
    </row>
    <row r="199" spans="1:25">
      <c r="A199" s="45">
        <v>1</v>
      </c>
      <c r="B199" s="46">
        <v>0.64</v>
      </c>
      <c r="C199" s="46">
        <v>1</v>
      </c>
      <c r="D199" s="47"/>
      <c r="E199" s="45" t="s">
        <v>15</v>
      </c>
      <c r="F199" s="46" t="s">
        <v>15</v>
      </c>
      <c r="G199" s="2">
        <f t="array" ref="G199">_xlfn.IFS(E199=F199,1)</f>
        <v>1</v>
      </c>
      <c r="H199" s="2"/>
      <c r="J199" s="45">
        <v>1</v>
      </c>
      <c r="K199" s="46">
        <v>0.64</v>
      </c>
      <c r="L199" s="2">
        <f t="shared" si="16"/>
        <v>0.193820026016113</v>
      </c>
      <c r="T199" s="45">
        <v>1</v>
      </c>
      <c r="U199" s="46">
        <v>0.64</v>
      </c>
      <c r="V199" s="46">
        <f t="shared" si="17"/>
        <v>1</v>
      </c>
      <c r="W199" s="2">
        <f t="shared" si="18"/>
        <v>1</v>
      </c>
      <c r="X199" s="2">
        <f t="shared" si="19"/>
        <v>1</v>
      </c>
      <c r="Y199" s="2">
        <f t="shared" si="20"/>
        <v>0</v>
      </c>
    </row>
    <row r="200" spans="1:25">
      <c r="A200" s="45">
        <v>1</v>
      </c>
      <c r="B200" s="46">
        <v>0.53</v>
      </c>
      <c r="C200" s="46">
        <v>1</v>
      </c>
      <c r="D200" s="47"/>
      <c r="E200" s="45" t="s">
        <v>15</v>
      </c>
      <c r="F200" s="46" t="s">
        <v>16</v>
      </c>
      <c r="G200" s="2" t="e">
        <f t="array" ref="G200">_xlfn.IFS(E200=F200,1)</f>
        <v>#N/A</v>
      </c>
      <c r="H200" s="2"/>
      <c r="J200" s="45">
        <v>1</v>
      </c>
      <c r="K200" s="46">
        <v>0.53</v>
      </c>
      <c r="L200" s="2">
        <f t="shared" si="16"/>
        <v>0.275724130399211</v>
      </c>
      <c r="T200" s="45">
        <v>1</v>
      </c>
      <c r="U200" s="46">
        <v>0.53</v>
      </c>
      <c r="V200" s="46">
        <f t="shared" si="17"/>
        <v>1</v>
      </c>
      <c r="W200" s="2">
        <f t="shared" si="18"/>
        <v>1</v>
      </c>
      <c r="X200" s="2">
        <f t="shared" si="19"/>
        <v>1</v>
      </c>
      <c r="Y200" s="2">
        <f t="shared" si="20"/>
        <v>0</v>
      </c>
    </row>
    <row r="201" spans="1:25">
      <c r="A201" s="45">
        <v>1</v>
      </c>
      <c r="B201" s="46">
        <v>0.52</v>
      </c>
      <c r="C201" s="46">
        <v>1</v>
      </c>
      <c r="D201" s="47"/>
      <c r="E201" s="45" t="s">
        <v>15</v>
      </c>
      <c r="F201" s="46" t="s">
        <v>15</v>
      </c>
      <c r="G201" s="2">
        <f t="array" ref="G201">_xlfn.IFS(E201=F201,1)</f>
        <v>1</v>
      </c>
      <c r="H201" s="2"/>
      <c r="J201" s="45">
        <v>1</v>
      </c>
      <c r="K201" s="46">
        <v>0.52</v>
      </c>
      <c r="L201" s="2">
        <f t="shared" si="16"/>
        <v>0.283996656365201</v>
      </c>
      <c r="T201" s="45">
        <v>1</v>
      </c>
      <c r="U201" s="46">
        <v>0.52</v>
      </c>
      <c r="V201" s="46">
        <f t="shared" si="17"/>
        <v>1</v>
      </c>
      <c r="W201" s="2">
        <f t="shared" si="18"/>
        <v>1</v>
      </c>
      <c r="X201" s="2">
        <f t="shared" si="19"/>
        <v>1</v>
      </c>
      <c r="Y201" s="2">
        <f t="shared" si="20"/>
        <v>0</v>
      </c>
    </row>
    <row r="202" spans="1:25">
      <c r="A202" s="45">
        <v>1</v>
      </c>
      <c r="B202" s="46">
        <v>0.21</v>
      </c>
      <c r="C202" s="46"/>
      <c r="D202" s="47"/>
      <c r="E202" s="45" t="s">
        <v>15</v>
      </c>
      <c r="F202" s="46" t="s">
        <v>15</v>
      </c>
      <c r="G202" s="2">
        <f t="array" ref="G202">_xlfn.IFS(E202=F202,1)</f>
        <v>1</v>
      </c>
      <c r="H202" s="2"/>
      <c r="J202" s="45">
        <v>1</v>
      </c>
      <c r="K202" s="46">
        <v>0.21</v>
      </c>
      <c r="L202" s="2">
        <f t="shared" si="16"/>
        <v>0.677780705266081</v>
      </c>
      <c r="T202" s="45">
        <v>1</v>
      </c>
      <c r="U202" s="46">
        <v>0.21</v>
      </c>
      <c r="V202" s="46">
        <f t="shared" si="17"/>
        <v>1</v>
      </c>
      <c r="W202" s="2">
        <f t="shared" si="18"/>
        <v>0</v>
      </c>
      <c r="X202" s="2">
        <f t="shared" si="19"/>
        <v>0</v>
      </c>
      <c r="Y202" s="2">
        <f t="shared" si="20"/>
        <v>0</v>
      </c>
    </row>
    <row r="203" spans="1:25">
      <c r="A203" s="45">
        <v>0</v>
      </c>
      <c r="B203" s="46">
        <v>0.86</v>
      </c>
      <c r="C203" s="46">
        <v>1</v>
      </c>
      <c r="D203" s="47"/>
      <c r="E203" s="45" t="s">
        <v>16</v>
      </c>
      <c r="F203" s="46" t="s">
        <v>16</v>
      </c>
      <c r="G203" s="2">
        <f t="array" ref="G203">_xlfn.IFS(E203=F203,1)</f>
        <v>1</v>
      </c>
      <c r="H203" s="2"/>
      <c r="J203" s="45">
        <v>0</v>
      </c>
      <c r="K203" s="46">
        <v>0.86</v>
      </c>
      <c r="L203" s="2">
        <f t="shared" si="16"/>
        <v>0.853871964321762</v>
      </c>
      <c r="T203" s="45">
        <v>0</v>
      </c>
      <c r="U203" s="46">
        <v>0.86</v>
      </c>
      <c r="V203" s="46">
        <f t="shared" si="17"/>
        <v>1</v>
      </c>
      <c r="W203" s="2">
        <f t="shared" si="18"/>
        <v>1</v>
      </c>
      <c r="X203" s="2">
        <f t="shared" si="19"/>
        <v>1</v>
      </c>
      <c r="Y203" s="2">
        <f t="shared" si="20"/>
        <v>1</v>
      </c>
    </row>
    <row r="204" spans="1:25">
      <c r="A204" s="45">
        <v>1</v>
      </c>
      <c r="B204" s="46">
        <v>0.79</v>
      </c>
      <c r="C204" s="46">
        <v>1</v>
      </c>
      <c r="D204" s="47"/>
      <c r="E204" s="45" t="s">
        <v>15</v>
      </c>
      <c r="F204" s="46" t="s">
        <v>15</v>
      </c>
      <c r="G204" s="2">
        <f t="array" ref="G204">_xlfn.IFS(E204=F204,1)</f>
        <v>1</v>
      </c>
      <c r="H204" s="2"/>
      <c r="J204" s="45">
        <v>1</v>
      </c>
      <c r="K204" s="46">
        <v>0.79</v>
      </c>
      <c r="L204" s="2">
        <f t="shared" si="16"/>
        <v>0.102372908709559</v>
      </c>
      <c r="T204" s="45">
        <v>1</v>
      </c>
      <c r="U204" s="46">
        <v>0.79</v>
      </c>
      <c r="V204" s="46">
        <f t="shared" si="17"/>
        <v>1</v>
      </c>
      <c r="W204" s="2">
        <f t="shared" si="18"/>
        <v>1</v>
      </c>
      <c r="X204" s="2">
        <f t="shared" si="19"/>
        <v>1</v>
      </c>
      <c r="Y204" s="2">
        <f t="shared" si="20"/>
        <v>0</v>
      </c>
    </row>
    <row r="205" spans="1:25">
      <c r="A205" s="45">
        <v>1</v>
      </c>
      <c r="B205" s="46">
        <v>0.71</v>
      </c>
      <c r="C205" s="46">
        <v>1</v>
      </c>
      <c r="D205" s="47"/>
      <c r="E205" s="45" t="s">
        <v>15</v>
      </c>
      <c r="F205" s="46" t="s">
        <v>15</v>
      </c>
      <c r="G205" s="2">
        <f t="array" ref="G205">_xlfn.IFS(E205=F205,1)</f>
        <v>1</v>
      </c>
      <c r="H205" s="2"/>
      <c r="J205" s="45">
        <v>1</v>
      </c>
      <c r="K205" s="46">
        <v>0.71</v>
      </c>
      <c r="L205" s="2">
        <f t="shared" si="16"/>
        <v>0.148741651280925</v>
      </c>
      <c r="T205" s="45">
        <v>1</v>
      </c>
      <c r="U205" s="46">
        <v>0.71</v>
      </c>
      <c r="V205" s="46">
        <f t="shared" si="17"/>
        <v>1</v>
      </c>
      <c r="W205" s="2">
        <f t="shared" si="18"/>
        <v>1</v>
      </c>
      <c r="X205" s="2">
        <f t="shared" si="19"/>
        <v>1</v>
      </c>
      <c r="Y205" s="2">
        <f t="shared" si="20"/>
        <v>0</v>
      </c>
    </row>
    <row r="206" spans="1:25">
      <c r="A206" s="45">
        <v>1</v>
      </c>
      <c r="B206" s="46">
        <v>0.56</v>
      </c>
      <c r="C206" s="46">
        <v>1</v>
      </c>
      <c r="D206" s="47"/>
      <c r="E206" s="45" t="s">
        <v>15</v>
      </c>
      <c r="F206" s="46" t="s">
        <v>15</v>
      </c>
      <c r="G206" s="2">
        <f t="array" ref="G206">_xlfn.IFS(E206=F206,1)</f>
        <v>1</v>
      </c>
      <c r="H206" s="2"/>
      <c r="J206" s="45">
        <v>1</v>
      </c>
      <c r="K206" s="46">
        <v>0.56</v>
      </c>
      <c r="L206" s="2">
        <f t="shared" si="16"/>
        <v>0.2518119729938</v>
      </c>
      <c r="T206" s="45">
        <v>1</v>
      </c>
      <c r="U206" s="46">
        <v>0.56</v>
      </c>
      <c r="V206" s="46">
        <f t="shared" si="17"/>
        <v>1</v>
      </c>
      <c r="W206" s="2">
        <f t="shared" si="18"/>
        <v>1</v>
      </c>
      <c r="X206" s="2">
        <f t="shared" si="19"/>
        <v>1</v>
      </c>
      <c r="Y206" s="2">
        <f t="shared" si="20"/>
        <v>0</v>
      </c>
    </row>
    <row r="207" spans="1:25">
      <c r="A207" s="45">
        <v>1</v>
      </c>
      <c r="B207" s="46">
        <v>0.5</v>
      </c>
      <c r="C207" s="46">
        <v>1</v>
      </c>
      <c r="D207" s="47"/>
      <c r="E207" s="45" t="s">
        <v>15</v>
      </c>
      <c r="F207" s="46" t="s">
        <v>15</v>
      </c>
      <c r="G207" s="2">
        <f t="array" ref="G207">_xlfn.IFS(E207=F207,1)</f>
        <v>1</v>
      </c>
      <c r="H207" s="2"/>
      <c r="J207" s="45">
        <v>1</v>
      </c>
      <c r="K207" s="46">
        <v>0.5</v>
      </c>
      <c r="L207" s="2">
        <f t="shared" si="16"/>
        <v>0.301029995663981</v>
      </c>
      <c r="T207" s="45">
        <v>1</v>
      </c>
      <c r="U207" s="46">
        <v>0.5</v>
      </c>
      <c r="V207" s="46">
        <f t="shared" si="17"/>
        <v>1</v>
      </c>
      <c r="W207" s="2">
        <f t="shared" si="18"/>
        <v>1</v>
      </c>
      <c r="X207" s="2">
        <f t="shared" si="19"/>
        <v>1</v>
      </c>
      <c r="Y207" s="2">
        <f t="shared" si="20"/>
        <v>0</v>
      </c>
    </row>
    <row r="208" spans="1:25">
      <c r="A208" s="45">
        <v>1</v>
      </c>
      <c r="B208" s="46">
        <v>0.5</v>
      </c>
      <c r="C208" s="46">
        <v>1</v>
      </c>
      <c r="D208" s="47"/>
      <c r="E208" s="45" t="s">
        <v>15</v>
      </c>
      <c r="F208" s="46" t="s">
        <v>15</v>
      </c>
      <c r="G208" s="2">
        <f t="array" ref="G208">_xlfn.IFS(E208=F208,1)</f>
        <v>1</v>
      </c>
      <c r="H208" s="2"/>
      <c r="J208" s="45">
        <v>1</v>
      </c>
      <c r="K208" s="46">
        <v>0.5</v>
      </c>
      <c r="L208" s="2">
        <f t="shared" si="16"/>
        <v>0.301029995663981</v>
      </c>
      <c r="T208" s="45">
        <v>1</v>
      </c>
      <c r="U208" s="46">
        <v>0.5</v>
      </c>
      <c r="V208" s="46">
        <f t="shared" si="17"/>
        <v>1</v>
      </c>
      <c r="W208" s="2">
        <f t="shared" si="18"/>
        <v>1</v>
      </c>
      <c r="X208" s="2">
        <f t="shared" si="19"/>
        <v>1</v>
      </c>
      <c r="Y208" s="2">
        <f t="shared" si="20"/>
        <v>0</v>
      </c>
    </row>
    <row r="209" spans="1:25">
      <c r="A209" s="45">
        <v>1</v>
      </c>
      <c r="B209" s="46">
        <v>0.41</v>
      </c>
      <c r="C209" s="46"/>
      <c r="D209" s="47"/>
      <c r="E209" s="45" t="s">
        <v>15</v>
      </c>
      <c r="F209" s="46" t="s">
        <v>15</v>
      </c>
      <c r="G209" s="2">
        <f t="array" ref="G209">_xlfn.IFS(E209=F209,1)</f>
        <v>1</v>
      </c>
      <c r="H209" s="2"/>
      <c r="J209" s="45">
        <v>1</v>
      </c>
      <c r="K209" s="46">
        <v>0.41</v>
      </c>
      <c r="L209" s="2">
        <f t="shared" si="16"/>
        <v>0.387216143280265</v>
      </c>
      <c r="T209" s="45">
        <v>1</v>
      </c>
      <c r="U209" s="46">
        <v>0.41</v>
      </c>
      <c r="V209" s="46">
        <f t="shared" si="17"/>
        <v>1</v>
      </c>
      <c r="W209" s="2">
        <f t="shared" si="18"/>
        <v>1</v>
      </c>
      <c r="X209" s="2">
        <f t="shared" si="19"/>
        <v>0</v>
      </c>
      <c r="Y209" s="2">
        <f t="shared" si="20"/>
        <v>0</v>
      </c>
    </row>
    <row r="210" spans="1:25">
      <c r="A210" s="45">
        <v>0</v>
      </c>
      <c r="B210" s="46">
        <v>0.6</v>
      </c>
      <c r="C210" s="46">
        <v>1</v>
      </c>
      <c r="D210" s="47"/>
      <c r="E210" s="45" t="s">
        <v>16</v>
      </c>
      <c r="F210" s="46" t="s">
        <v>16</v>
      </c>
      <c r="G210" s="2">
        <f t="array" ref="G210">_xlfn.IFS(E210=F210,1)</f>
        <v>1</v>
      </c>
      <c r="H210" s="2"/>
      <c r="J210" s="45">
        <v>0</v>
      </c>
      <c r="K210" s="46">
        <v>0.6</v>
      </c>
      <c r="L210" s="2">
        <f t="shared" si="16"/>
        <v>0.397940008672038</v>
      </c>
      <c r="T210" s="45">
        <v>0</v>
      </c>
      <c r="U210" s="46">
        <v>0.6</v>
      </c>
      <c r="V210" s="46">
        <f t="shared" si="17"/>
        <v>1</v>
      </c>
      <c r="W210" s="2">
        <f t="shared" si="18"/>
        <v>1</v>
      </c>
      <c r="X210" s="2">
        <f t="shared" si="19"/>
        <v>1</v>
      </c>
      <c r="Y210" s="2">
        <f t="shared" si="20"/>
        <v>0</v>
      </c>
    </row>
    <row r="211" spans="1:25">
      <c r="A211" s="45">
        <v>1</v>
      </c>
      <c r="B211" s="46">
        <v>0</v>
      </c>
      <c r="C211" s="46"/>
      <c r="D211" s="47"/>
      <c r="E211" s="45" t="s">
        <v>15</v>
      </c>
      <c r="F211" s="46" t="s">
        <v>15</v>
      </c>
      <c r="G211" s="2">
        <f t="array" ref="G211">_xlfn.IFS(E211=F211,1)</f>
        <v>1</v>
      </c>
      <c r="H211" s="2"/>
      <c r="J211" s="45">
        <v>1</v>
      </c>
      <c r="K211" s="46">
        <v>0.5</v>
      </c>
      <c r="L211" s="2">
        <f t="shared" si="16"/>
        <v>0.301029995663981</v>
      </c>
      <c r="T211" s="45">
        <v>1</v>
      </c>
      <c r="U211" s="46">
        <v>0</v>
      </c>
      <c r="V211" s="46">
        <f t="shared" si="17"/>
        <v>0</v>
      </c>
      <c r="W211" s="2">
        <f t="shared" si="18"/>
        <v>0</v>
      </c>
      <c r="X211" s="2">
        <f t="shared" si="19"/>
        <v>0</v>
      </c>
      <c r="Y211" s="2">
        <f t="shared" si="20"/>
        <v>0</v>
      </c>
    </row>
    <row r="212" spans="1:25">
      <c r="A212" s="45">
        <v>0</v>
      </c>
      <c r="B212" s="46">
        <v>0.23</v>
      </c>
      <c r="C212" s="46"/>
      <c r="D212" s="47"/>
      <c r="E212" s="45" t="s">
        <v>16</v>
      </c>
      <c r="F212" s="46" t="s">
        <v>16</v>
      </c>
      <c r="G212" s="2">
        <f t="array" ref="G212">_xlfn.IFS(E212=F212,1)</f>
        <v>1</v>
      </c>
      <c r="H212" s="2"/>
      <c r="J212" s="45">
        <v>0</v>
      </c>
      <c r="K212" s="46">
        <v>0.23</v>
      </c>
      <c r="L212" s="2">
        <f t="shared" si="16"/>
        <v>0.113509274827518</v>
      </c>
      <c r="T212" s="45">
        <v>0</v>
      </c>
      <c r="U212" s="46">
        <v>0.23</v>
      </c>
      <c r="V212" s="46">
        <f t="shared" si="17"/>
        <v>1</v>
      </c>
      <c r="W212" s="2">
        <f t="shared" si="18"/>
        <v>0</v>
      </c>
      <c r="X212" s="2">
        <f t="shared" si="19"/>
        <v>0</v>
      </c>
      <c r="Y212" s="2">
        <f t="shared" si="20"/>
        <v>0</v>
      </c>
    </row>
    <row r="213" spans="1:25">
      <c r="A213" s="45">
        <v>0</v>
      </c>
      <c r="B213" s="46">
        <v>0.86</v>
      </c>
      <c r="C213" s="46">
        <v>1</v>
      </c>
      <c r="D213" s="47"/>
      <c r="E213" s="45" t="s">
        <v>16</v>
      </c>
      <c r="F213" s="46" t="s">
        <v>16</v>
      </c>
      <c r="G213" s="2">
        <f t="array" ref="G213">_xlfn.IFS(E213=F213,1)</f>
        <v>1</v>
      </c>
      <c r="H213" s="2"/>
      <c r="J213" s="45">
        <v>0</v>
      </c>
      <c r="K213" s="46">
        <v>0.86</v>
      </c>
      <c r="L213" s="2">
        <f t="shared" si="16"/>
        <v>0.853871964321762</v>
      </c>
      <c r="T213" s="45">
        <v>0</v>
      </c>
      <c r="U213" s="46">
        <v>0.86</v>
      </c>
      <c r="V213" s="46">
        <f t="shared" si="17"/>
        <v>1</v>
      </c>
      <c r="W213" s="2">
        <f t="shared" si="18"/>
        <v>1</v>
      </c>
      <c r="X213" s="2">
        <f t="shared" si="19"/>
        <v>1</v>
      </c>
      <c r="Y213" s="2">
        <f t="shared" si="20"/>
        <v>1</v>
      </c>
    </row>
    <row r="214" spans="1:25">
      <c r="A214" s="45">
        <v>1</v>
      </c>
      <c r="B214" s="46">
        <v>0.76</v>
      </c>
      <c r="C214" s="46">
        <v>1</v>
      </c>
      <c r="D214" s="47"/>
      <c r="E214" s="45" t="s">
        <v>15</v>
      </c>
      <c r="F214" s="46" t="s">
        <v>15</v>
      </c>
      <c r="G214" s="2">
        <f t="array" ref="G214">_xlfn.IFS(E214=F214,1)</f>
        <v>1</v>
      </c>
      <c r="H214" s="2"/>
      <c r="J214" s="45">
        <v>1</v>
      </c>
      <c r="K214" s="46">
        <v>0.76</v>
      </c>
      <c r="L214" s="2">
        <f t="shared" si="16"/>
        <v>0.119186407719209</v>
      </c>
      <c r="T214" s="45">
        <v>1</v>
      </c>
      <c r="U214" s="46">
        <v>0.76</v>
      </c>
      <c r="V214" s="46">
        <f t="shared" si="17"/>
        <v>1</v>
      </c>
      <c r="W214" s="2">
        <f t="shared" si="18"/>
        <v>1</v>
      </c>
      <c r="X214" s="2">
        <f t="shared" si="19"/>
        <v>1</v>
      </c>
      <c r="Y214" s="2">
        <f t="shared" si="20"/>
        <v>0</v>
      </c>
    </row>
    <row r="215" spans="1:25">
      <c r="A215" s="45">
        <v>0</v>
      </c>
      <c r="B215" s="46">
        <v>0.46</v>
      </c>
      <c r="C215" s="46"/>
      <c r="D215" s="47"/>
      <c r="E215" s="45" t="s">
        <v>16</v>
      </c>
      <c r="F215" s="46" t="s">
        <v>16</v>
      </c>
      <c r="G215" s="2">
        <f t="array" ref="G215">_xlfn.IFS(E215=F215,1)</f>
        <v>1</v>
      </c>
      <c r="H215" s="2"/>
      <c r="J215" s="45">
        <v>0</v>
      </c>
      <c r="K215" s="46">
        <v>0.46</v>
      </c>
      <c r="L215" s="2">
        <f t="shared" si="16"/>
        <v>0.267606240177031</v>
      </c>
      <c r="T215" s="45">
        <v>0</v>
      </c>
      <c r="U215" s="46">
        <v>0.46</v>
      </c>
      <c r="V215" s="46">
        <f t="shared" si="17"/>
        <v>1</v>
      </c>
      <c r="W215" s="2">
        <f t="shared" si="18"/>
        <v>1</v>
      </c>
      <c r="X215" s="2">
        <f t="shared" si="19"/>
        <v>0</v>
      </c>
      <c r="Y215" s="2">
        <f t="shared" si="20"/>
        <v>0</v>
      </c>
    </row>
    <row r="216" spans="1:25">
      <c r="A216" s="45">
        <v>1</v>
      </c>
      <c r="B216" s="46">
        <v>0.58</v>
      </c>
      <c r="C216" s="46">
        <v>1</v>
      </c>
      <c r="D216" s="47"/>
      <c r="E216" s="45" t="s">
        <v>15</v>
      </c>
      <c r="F216" s="46" t="s">
        <v>15</v>
      </c>
      <c r="G216" s="2">
        <f t="array" ref="G216">_xlfn.IFS(E216=F216,1)</f>
        <v>1</v>
      </c>
      <c r="H216" s="2"/>
      <c r="J216" s="45">
        <v>1</v>
      </c>
      <c r="K216" s="46">
        <v>0.58</v>
      </c>
      <c r="L216" s="2">
        <f t="shared" si="16"/>
        <v>0.236572006437063</v>
      </c>
      <c r="T216" s="45">
        <v>1</v>
      </c>
      <c r="U216" s="46">
        <v>0.58</v>
      </c>
      <c r="V216" s="46">
        <f t="shared" si="17"/>
        <v>1</v>
      </c>
      <c r="W216" s="2">
        <f t="shared" si="18"/>
        <v>1</v>
      </c>
      <c r="X216" s="2">
        <f t="shared" si="19"/>
        <v>1</v>
      </c>
      <c r="Y216" s="2">
        <f t="shared" si="20"/>
        <v>0</v>
      </c>
    </row>
    <row r="217" spans="1:25">
      <c r="A217" s="45">
        <v>0</v>
      </c>
      <c r="B217" s="46">
        <v>0.67</v>
      </c>
      <c r="C217" s="46">
        <v>1</v>
      </c>
      <c r="D217" s="47"/>
      <c r="E217" s="45" t="s">
        <v>16</v>
      </c>
      <c r="F217" s="46" t="s">
        <v>16</v>
      </c>
      <c r="G217" s="2">
        <f t="array" ref="G217">_xlfn.IFS(E217=F217,1)</f>
        <v>1</v>
      </c>
      <c r="H217" s="2"/>
      <c r="J217" s="45">
        <v>0</v>
      </c>
      <c r="K217" s="46">
        <v>0.67</v>
      </c>
      <c r="L217" s="2">
        <f t="shared" si="16"/>
        <v>0.481486060122113</v>
      </c>
      <c r="T217" s="45">
        <v>0</v>
      </c>
      <c r="U217" s="46">
        <v>0.67</v>
      </c>
      <c r="V217" s="46">
        <f t="shared" si="17"/>
        <v>1</v>
      </c>
      <c r="W217" s="2">
        <f t="shared" si="18"/>
        <v>1</v>
      </c>
      <c r="X217" s="2">
        <f t="shared" si="19"/>
        <v>1</v>
      </c>
      <c r="Y217" s="2">
        <f t="shared" si="20"/>
        <v>0</v>
      </c>
    </row>
    <row r="218" spans="1:25">
      <c r="A218" s="45">
        <v>1</v>
      </c>
      <c r="B218" s="46">
        <v>0.24</v>
      </c>
      <c r="C218" s="46"/>
      <c r="D218" s="47"/>
      <c r="E218" s="45" t="s">
        <v>15</v>
      </c>
      <c r="F218" s="46" t="s">
        <v>15</v>
      </c>
      <c r="G218" s="2">
        <f t="array" ref="G218">_xlfn.IFS(E218=F218,1)</f>
        <v>1</v>
      </c>
      <c r="H218" s="2"/>
      <c r="J218" s="45">
        <v>1</v>
      </c>
      <c r="K218" s="46">
        <v>0.24</v>
      </c>
      <c r="L218" s="2">
        <f t="shared" si="16"/>
        <v>0.619788758288394</v>
      </c>
      <c r="T218" s="45">
        <v>1</v>
      </c>
      <c r="U218" s="46">
        <v>0.24</v>
      </c>
      <c r="V218" s="46">
        <f t="shared" si="17"/>
        <v>1</v>
      </c>
      <c r="W218" s="2">
        <f t="shared" si="18"/>
        <v>0</v>
      </c>
      <c r="X218" s="2">
        <f t="shared" si="19"/>
        <v>0</v>
      </c>
      <c r="Y218" s="2">
        <f t="shared" si="20"/>
        <v>0</v>
      </c>
    </row>
    <row r="219" spans="1:25">
      <c r="A219" s="45">
        <v>0</v>
      </c>
      <c r="B219" s="46">
        <v>0.63</v>
      </c>
      <c r="C219" s="46">
        <v>1</v>
      </c>
      <c r="D219" s="47"/>
      <c r="E219" s="45" t="s">
        <v>16</v>
      </c>
      <c r="F219" s="46" t="s">
        <v>15</v>
      </c>
      <c r="G219" s="2" t="e">
        <f t="array" ref="G219">_xlfn.IFS(E219=F219,1)</f>
        <v>#N/A</v>
      </c>
      <c r="H219" s="2"/>
      <c r="J219" s="45">
        <v>0</v>
      </c>
      <c r="K219" s="46">
        <v>0.63</v>
      </c>
      <c r="L219" s="2">
        <f t="shared" si="16"/>
        <v>0.431798275933005</v>
      </c>
      <c r="T219" s="45">
        <v>0</v>
      </c>
      <c r="U219" s="46">
        <v>0.63</v>
      </c>
      <c r="V219" s="46">
        <f t="shared" si="17"/>
        <v>1</v>
      </c>
      <c r="W219" s="2">
        <f t="shared" si="18"/>
        <v>1</v>
      </c>
      <c r="X219" s="2">
        <f t="shared" si="19"/>
        <v>1</v>
      </c>
      <c r="Y219" s="2">
        <f t="shared" si="20"/>
        <v>0</v>
      </c>
    </row>
    <row r="220" spans="1:25">
      <c r="A220" s="45">
        <v>0</v>
      </c>
      <c r="B220" s="46">
        <v>0.52</v>
      </c>
      <c r="C220" s="46">
        <v>1</v>
      </c>
      <c r="D220" s="47"/>
      <c r="E220" s="45" t="s">
        <v>16</v>
      </c>
      <c r="F220" s="46" t="s">
        <v>16</v>
      </c>
      <c r="G220" s="2">
        <f t="array" ref="G220">_xlfn.IFS(E220=F220,1)</f>
        <v>1</v>
      </c>
      <c r="H220" s="2"/>
      <c r="J220" s="45">
        <v>0</v>
      </c>
      <c r="K220" s="46">
        <v>0.52</v>
      </c>
      <c r="L220" s="2">
        <f t="shared" si="16"/>
        <v>0.318758762624413</v>
      </c>
      <c r="T220" s="45">
        <v>0</v>
      </c>
      <c r="U220" s="46">
        <v>0.52</v>
      </c>
      <c r="V220" s="46">
        <f t="shared" si="17"/>
        <v>1</v>
      </c>
      <c r="W220" s="2">
        <f t="shared" si="18"/>
        <v>1</v>
      </c>
      <c r="X220" s="2">
        <f t="shared" si="19"/>
        <v>1</v>
      </c>
      <c r="Y220" s="2">
        <f t="shared" si="20"/>
        <v>0</v>
      </c>
    </row>
    <row r="221" spans="1:25">
      <c r="A221" s="45">
        <v>1</v>
      </c>
      <c r="B221" s="46">
        <v>0.95</v>
      </c>
      <c r="C221" s="46">
        <v>1</v>
      </c>
      <c r="D221" s="47"/>
      <c r="E221" s="45" t="s">
        <v>15</v>
      </c>
      <c r="F221" s="46" t="s">
        <v>15</v>
      </c>
      <c r="G221" s="2">
        <f t="array" ref="G221">_xlfn.IFS(E221=F221,1)</f>
        <v>1</v>
      </c>
      <c r="H221" s="2"/>
      <c r="J221" s="45">
        <v>1</v>
      </c>
      <c r="K221" s="46">
        <v>0.95</v>
      </c>
      <c r="L221" s="2">
        <f t="shared" si="16"/>
        <v>0.0222763947111523</v>
      </c>
      <c r="T221" s="45">
        <v>1</v>
      </c>
      <c r="U221" s="46">
        <v>0.95</v>
      </c>
      <c r="V221" s="46">
        <f t="shared" si="17"/>
        <v>1</v>
      </c>
      <c r="W221" s="2">
        <f t="shared" si="18"/>
        <v>1</v>
      </c>
      <c r="X221" s="2">
        <f t="shared" si="19"/>
        <v>1</v>
      </c>
      <c r="Y221" s="2">
        <f t="shared" si="20"/>
        <v>1</v>
      </c>
    </row>
    <row r="222" spans="1:25">
      <c r="A222" s="45">
        <v>0</v>
      </c>
      <c r="B222" s="46">
        <v>0.71</v>
      </c>
      <c r="C222" s="46">
        <v>1</v>
      </c>
      <c r="D222" s="47"/>
      <c r="E222" s="45" t="s">
        <v>16</v>
      </c>
      <c r="F222" s="46" t="s">
        <v>16</v>
      </c>
      <c r="G222" s="2">
        <f t="array" ref="G222">_xlfn.IFS(E222=F222,1)</f>
        <v>1</v>
      </c>
      <c r="H222" s="2"/>
      <c r="J222" s="45">
        <v>0</v>
      </c>
      <c r="K222" s="46">
        <v>0.71</v>
      </c>
      <c r="L222" s="2">
        <f t="shared" si="16"/>
        <v>0.537602002101044</v>
      </c>
      <c r="T222" s="45">
        <v>0</v>
      </c>
      <c r="U222" s="46">
        <v>0.71</v>
      </c>
      <c r="V222" s="46">
        <f t="shared" si="17"/>
        <v>1</v>
      </c>
      <c r="W222" s="2">
        <f t="shared" si="18"/>
        <v>1</v>
      </c>
      <c r="X222" s="2">
        <f t="shared" si="19"/>
        <v>1</v>
      </c>
      <c r="Y222" s="2">
        <f t="shared" si="20"/>
        <v>0</v>
      </c>
    </row>
    <row r="223" spans="1:25">
      <c r="A223" s="45">
        <v>1</v>
      </c>
      <c r="B223" s="46">
        <v>0.84</v>
      </c>
      <c r="C223" s="46">
        <v>1</v>
      </c>
      <c r="D223" s="47"/>
      <c r="E223" s="45" t="s">
        <v>15</v>
      </c>
      <c r="F223" s="46" t="s">
        <v>15</v>
      </c>
      <c r="G223" s="2">
        <f t="array" ref="G223">_xlfn.IFS(E223=F223,1)</f>
        <v>1</v>
      </c>
      <c r="H223" s="2"/>
      <c r="J223" s="45">
        <v>1</v>
      </c>
      <c r="K223" s="46">
        <v>0.84</v>
      </c>
      <c r="L223" s="2">
        <f t="shared" si="16"/>
        <v>0.0757207139381184</v>
      </c>
      <c r="T223" s="45">
        <v>1</v>
      </c>
      <c r="U223" s="46">
        <v>0.84</v>
      </c>
      <c r="V223" s="46">
        <f t="shared" si="17"/>
        <v>1</v>
      </c>
      <c r="W223" s="2">
        <f t="shared" si="18"/>
        <v>1</v>
      </c>
      <c r="X223" s="2">
        <f t="shared" si="19"/>
        <v>1</v>
      </c>
      <c r="Y223" s="2">
        <f t="shared" si="20"/>
        <v>1</v>
      </c>
    </row>
    <row r="224" spans="1:25">
      <c r="A224" s="45">
        <v>1</v>
      </c>
      <c r="B224" s="46">
        <v>0.84</v>
      </c>
      <c r="C224" s="46">
        <v>1</v>
      </c>
      <c r="D224" s="47"/>
      <c r="E224" s="45" t="s">
        <v>15</v>
      </c>
      <c r="F224" s="46" t="s">
        <v>15</v>
      </c>
      <c r="G224" s="2">
        <f t="array" ref="G224">_xlfn.IFS(E224=F224,1)</f>
        <v>1</v>
      </c>
      <c r="H224" s="2"/>
      <c r="J224" s="45">
        <v>1</v>
      </c>
      <c r="K224" s="46">
        <v>0.84</v>
      </c>
      <c r="L224" s="2">
        <f t="shared" si="16"/>
        <v>0.0757207139381184</v>
      </c>
      <c r="T224" s="45">
        <v>1</v>
      </c>
      <c r="U224" s="46">
        <v>0.84</v>
      </c>
      <c r="V224" s="46">
        <f t="shared" si="17"/>
        <v>1</v>
      </c>
      <c r="W224" s="2">
        <f t="shared" si="18"/>
        <v>1</v>
      </c>
      <c r="X224" s="2">
        <f t="shared" si="19"/>
        <v>1</v>
      </c>
      <c r="Y224" s="2">
        <f t="shared" si="20"/>
        <v>1</v>
      </c>
    </row>
    <row r="225" spans="1:25">
      <c r="A225" s="45">
        <v>0</v>
      </c>
      <c r="B225" s="46">
        <v>0.06</v>
      </c>
      <c r="C225" s="46"/>
      <c r="D225" s="47"/>
      <c r="E225" s="45" t="s">
        <v>16</v>
      </c>
      <c r="F225" s="46" t="s">
        <v>16</v>
      </c>
      <c r="G225" s="2">
        <f t="array" ref="G225">_xlfn.IFS(E225=F225,1)</f>
        <v>1</v>
      </c>
      <c r="H225" s="2"/>
      <c r="J225" s="45">
        <v>0</v>
      </c>
      <c r="K225" s="46">
        <v>0.06</v>
      </c>
      <c r="L225" s="2">
        <f t="shared" si="16"/>
        <v>0.0268721464003014</v>
      </c>
      <c r="T225" s="45">
        <v>0</v>
      </c>
      <c r="U225" s="46">
        <v>0.06</v>
      </c>
      <c r="V225" s="46">
        <f t="shared" si="17"/>
        <v>0</v>
      </c>
      <c r="W225" s="2">
        <f t="shared" si="18"/>
        <v>0</v>
      </c>
      <c r="X225" s="2">
        <f t="shared" si="19"/>
        <v>0</v>
      </c>
      <c r="Y225" s="2">
        <f t="shared" si="20"/>
        <v>0</v>
      </c>
    </row>
    <row r="226" spans="1:25">
      <c r="A226" s="45">
        <v>0</v>
      </c>
      <c r="B226" s="46">
        <v>0.72</v>
      </c>
      <c r="C226" s="46">
        <v>1</v>
      </c>
      <c r="D226" s="47"/>
      <c r="E226" s="45" t="s">
        <v>16</v>
      </c>
      <c r="F226" s="46" t="s">
        <v>15</v>
      </c>
      <c r="G226" s="2" t="e">
        <f t="array" ref="G226">_xlfn.IFS(E226=F226,1)</f>
        <v>#N/A</v>
      </c>
      <c r="H226" s="2"/>
      <c r="J226" s="45">
        <v>0</v>
      </c>
      <c r="K226" s="46">
        <v>0.72</v>
      </c>
      <c r="L226" s="2">
        <f t="shared" si="16"/>
        <v>0.552841968657781</v>
      </c>
      <c r="T226" s="45">
        <v>0</v>
      </c>
      <c r="U226" s="46">
        <v>0.72</v>
      </c>
      <c r="V226" s="46">
        <f t="shared" si="17"/>
        <v>1</v>
      </c>
      <c r="W226" s="2">
        <f t="shared" si="18"/>
        <v>1</v>
      </c>
      <c r="X226" s="2">
        <f t="shared" si="19"/>
        <v>1</v>
      </c>
      <c r="Y226" s="2">
        <f t="shared" si="20"/>
        <v>0</v>
      </c>
    </row>
    <row r="227" spans="1:25">
      <c r="A227" s="45">
        <v>1</v>
      </c>
      <c r="B227" s="46">
        <v>0.43</v>
      </c>
      <c r="C227" s="46"/>
      <c r="D227" s="47"/>
      <c r="E227" s="45" t="s">
        <v>15</v>
      </c>
      <c r="F227" s="46" t="s">
        <v>15</v>
      </c>
      <c r="G227" s="2">
        <f t="array" ref="G227">_xlfn.IFS(E227=F227,1)</f>
        <v>1</v>
      </c>
      <c r="H227" s="2"/>
      <c r="J227" s="45">
        <v>1</v>
      </c>
      <c r="K227" s="46">
        <v>0.43</v>
      </c>
      <c r="L227" s="2">
        <f t="shared" si="16"/>
        <v>0.366531544420413</v>
      </c>
      <c r="T227" s="45">
        <v>1</v>
      </c>
      <c r="U227" s="46">
        <v>0.43</v>
      </c>
      <c r="V227" s="46">
        <f t="shared" si="17"/>
        <v>1</v>
      </c>
      <c r="W227" s="2">
        <f t="shared" si="18"/>
        <v>1</v>
      </c>
      <c r="X227" s="2">
        <f t="shared" si="19"/>
        <v>0</v>
      </c>
      <c r="Y227" s="2">
        <f t="shared" si="20"/>
        <v>0</v>
      </c>
    </row>
    <row r="228" spans="1:25">
      <c r="A228" s="45">
        <v>1</v>
      </c>
      <c r="B228" s="46">
        <v>0.88</v>
      </c>
      <c r="C228" s="46">
        <v>1</v>
      </c>
      <c r="D228" s="47"/>
      <c r="E228" s="45" t="s">
        <v>15</v>
      </c>
      <c r="F228" s="46" t="s">
        <v>15</v>
      </c>
      <c r="G228" s="2">
        <f t="array" ref="G228">_xlfn.IFS(E228=F228,1)</f>
        <v>1</v>
      </c>
      <c r="H228" s="2"/>
      <c r="J228" s="45">
        <v>1</v>
      </c>
      <c r="K228" s="46">
        <v>0.88</v>
      </c>
      <c r="L228" s="2">
        <f t="shared" si="16"/>
        <v>0.0555173278498314</v>
      </c>
      <c r="T228" s="45">
        <v>1</v>
      </c>
      <c r="U228" s="46">
        <v>0.88</v>
      </c>
      <c r="V228" s="46">
        <f t="shared" si="17"/>
        <v>1</v>
      </c>
      <c r="W228" s="2">
        <f t="shared" si="18"/>
        <v>1</v>
      </c>
      <c r="X228" s="2">
        <f t="shared" si="19"/>
        <v>1</v>
      </c>
      <c r="Y228" s="2">
        <f t="shared" si="20"/>
        <v>1</v>
      </c>
    </row>
    <row r="229" spans="1:25">
      <c r="A229" s="45">
        <v>1</v>
      </c>
      <c r="B229" s="46">
        <v>0.47</v>
      </c>
      <c r="C229" s="46"/>
      <c r="D229" s="47"/>
      <c r="E229" s="45" t="s">
        <v>15</v>
      </c>
      <c r="F229" s="46" t="s">
        <v>15</v>
      </c>
      <c r="G229" s="2">
        <f t="array" ref="G229">_xlfn.IFS(E229=F229,1)</f>
        <v>1</v>
      </c>
      <c r="H229" s="2"/>
      <c r="J229" s="45">
        <v>1</v>
      </c>
      <c r="K229" s="46">
        <v>0.47</v>
      </c>
      <c r="L229" s="2">
        <f t="shared" si="16"/>
        <v>0.327902142064283</v>
      </c>
      <c r="T229" s="45">
        <v>1</v>
      </c>
      <c r="U229" s="46">
        <v>0.47</v>
      </c>
      <c r="V229" s="46">
        <f t="shared" si="17"/>
        <v>1</v>
      </c>
      <c r="W229" s="2">
        <f t="shared" si="18"/>
        <v>1</v>
      </c>
      <c r="X229" s="2">
        <f t="shared" si="19"/>
        <v>0</v>
      </c>
      <c r="Y229" s="2">
        <f t="shared" si="20"/>
        <v>0</v>
      </c>
    </row>
    <row r="230" spans="1:25">
      <c r="A230" s="45">
        <v>1</v>
      </c>
      <c r="B230" s="46">
        <v>0.83</v>
      </c>
      <c r="C230" s="46">
        <v>1</v>
      </c>
      <c r="D230" s="47"/>
      <c r="E230" s="45" t="s">
        <v>15</v>
      </c>
      <c r="F230" s="46" t="s">
        <v>15</v>
      </c>
      <c r="G230" s="2">
        <f t="array" ref="G230">_xlfn.IFS(E230=F230,1)</f>
        <v>1</v>
      </c>
      <c r="H230" s="2"/>
      <c r="J230" s="45">
        <v>1</v>
      </c>
      <c r="K230" s="46">
        <v>0.83</v>
      </c>
      <c r="L230" s="2">
        <f t="shared" si="16"/>
        <v>0.0809219076239261</v>
      </c>
      <c r="T230" s="45">
        <v>1</v>
      </c>
      <c r="U230" s="46">
        <v>0.83</v>
      </c>
      <c r="V230" s="46">
        <f t="shared" si="17"/>
        <v>1</v>
      </c>
      <c r="W230" s="2">
        <f t="shared" si="18"/>
        <v>1</v>
      </c>
      <c r="X230" s="2">
        <f t="shared" si="19"/>
        <v>1</v>
      </c>
      <c r="Y230" s="2">
        <f t="shared" si="20"/>
        <v>1</v>
      </c>
    </row>
    <row r="231" spans="1:25">
      <c r="A231" s="45">
        <v>1</v>
      </c>
      <c r="B231" s="46">
        <v>0.75</v>
      </c>
      <c r="C231" s="46">
        <v>1</v>
      </c>
      <c r="D231" s="47"/>
      <c r="E231" s="45" t="s">
        <v>15</v>
      </c>
      <c r="F231" s="46" t="s">
        <v>15</v>
      </c>
      <c r="G231" s="2">
        <f t="array" ref="G231">_xlfn.IFS(E231=F231,1)</f>
        <v>1</v>
      </c>
      <c r="H231" s="2"/>
      <c r="J231" s="45">
        <v>1</v>
      </c>
      <c r="K231" s="46">
        <v>0.75</v>
      </c>
      <c r="L231" s="2">
        <f t="shared" si="16"/>
        <v>0.1249387366083</v>
      </c>
      <c r="T231" s="45">
        <v>1</v>
      </c>
      <c r="U231" s="46">
        <v>0.75</v>
      </c>
      <c r="V231" s="46">
        <f t="shared" si="17"/>
        <v>1</v>
      </c>
      <c r="W231" s="2">
        <f t="shared" si="18"/>
        <v>1</v>
      </c>
      <c r="X231" s="2">
        <f t="shared" si="19"/>
        <v>1</v>
      </c>
      <c r="Y231" s="2">
        <f t="shared" si="20"/>
        <v>0</v>
      </c>
    </row>
    <row r="232" spans="1:25">
      <c r="A232" s="45">
        <v>1</v>
      </c>
      <c r="B232" s="46">
        <v>0.56</v>
      </c>
      <c r="C232" s="46">
        <v>1</v>
      </c>
      <c r="D232" s="47"/>
      <c r="E232" s="45" t="s">
        <v>15</v>
      </c>
      <c r="F232" s="46" t="s">
        <v>15</v>
      </c>
      <c r="G232" s="2">
        <f t="array" ref="G232">_xlfn.IFS(E232=F232,1)</f>
        <v>1</v>
      </c>
      <c r="H232" s="2"/>
      <c r="J232" s="45">
        <v>1</v>
      </c>
      <c r="K232" s="46">
        <v>0.56</v>
      </c>
      <c r="L232" s="2">
        <f t="shared" si="16"/>
        <v>0.2518119729938</v>
      </c>
      <c r="T232" s="45">
        <v>1</v>
      </c>
      <c r="U232" s="46">
        <v>0.56</v>
      </c>
      <c r="V232" s="46">
        <f t="shared" si="17"/>
        <v>1</v>
      </c>
      <c r="W232" s="2">
        <f t="shared" si="18"/>
        <v>1</v>
      </c>
      <c r="X232" s="2">
        <f t="shared" si="19"/>
        <v>1</v>
      </c>
      <c r="Y232" s="2">
        <f t="shared" si="20"/>
        <v>0</v>
      </c>
    </row>
    <row r="233" spans="1:25">
      <c r="A233" s="45">
        <v>0</v>
      </c>
      <c r="B233" s="46">
        <v>0.43</v>
      </c>
      <c r="C233" s="46"/>
      <c r="D233" s="47"/>
      <c r="E233" s="45" t="s">
        <v>16</v>
      </c>
      <c r="F233" s="46" t="s">
        <v>16</v>
      </c>
      <c r="G233" s="2">
        <f t="array" ref="G233">_xlfn.IFS(E233=F233,1)</f>
        <v>1</v>
      </c>
      <c r="H233" s="2"/>
      <c r="J233" s="45">
        <v>0</v>
      </c>
      <c r="K233" s="46">
        <v>0.43</v>
      </c>
      <c r="L233" s="2">
        <f t="shared" si="16"/>
        <v>0.244125144327509</v>
      </c>
      <c r="T233" s="45">
        <v>0</v>
      </c>
      <c r="U233" s="46">
        <v>0.43</v>
      </c>
      <c r="V233" s="46">
        <f t="shared" si="17"/>
        <v>1</v>
      </c>
      <c r="W233" s="2">
        <f t="shared" si="18"/>
        <v>1</v>
      </c>
      <c r="X233" s="2">
        <f t="shared" si="19"/>
        <v>0</v>
      </c>
      <c r="Y233" s="2">
        <f t="shared" si="20"/>
        <v>0</v>
      </c>
    </row>
    <row r="234" spans="1:25">
      <c r="A234" s="45">
        <v>1</v>
      </c>
      <c r="B234" s="46">
        <v>0.68</v>
      </c>
      <c r="C234" s="46">
        <v>1</v>
      </c>
      <c r="D234" s="47"/>
      <c r="E234" s="45" t="s">
        <v>15</v>
      </c>
      <c r="F234" s="46" t="s">
        <v>16</v>
      </c>
      <c r="G234" s="2" t="e">
        <f t="array" ref="G234">_xlfn.IFS(E234=F234,1)</f>
        <v>#N/A</v>
      </c>
      <c r="H234" s="2"/>
      <c r="J234" s="45">
        <v>1</v>
      </c>
      <c r="K234" s="46">
        <v>0.68</v>
      </c>
      <c r="L234" s="2">
        <f t="shared" si="16"/>
        <v>0.167491087293764</v>
      </c>
      <c r="T234" s="45">
        <v>1</v>
      </c>
      <c r="U234" s="46">
        <v>0.68</v>
      </c>
      <c r="V234" s="46">
        <f t="shared" si="17"/>
        <v>1</v>
      </c>
      <c r="W234" s="2">
        <f t="shared" si="18"/>
        <v>1</v>
      </c>
      <c r="X234" s="2">
        <f t="shared" si="19"/>
        <v>1</v>
      </c>
      <c r="Y234" s="2">
        <f t="shared" si="20"/>
        <v>0</v>
      </c>
    </row>
    <row r="235" spans="1:25">
      <c r="A235" s="45">
        <v>1</v>
      </c>
      <c r="B235" s="46">
        <v>0.42</v>
      </c>
      <c r="C235" s="46"/>
      <c r="D235" s="47"/>
      <c r="E235" s="45" t="s">
        <v>15</v>
      </c>
      <c r="F235" s="46" t="s">
        <v>15</v>
      </c>
      <c r="G235" s="2">
        <f t="array" ref="G235">_xlfn.IFS(E235=F235,1)</f>
        <v>1</v>
      </c>
      <c r="H235" s="2"/>
      <c r="J235" s="45">
        <v>1</v>
      </c>
      <c r="K235" s="46">
        <v>0.42</v>
      </c>
      <c r="L235" s="2">
        <f t="shared" si="16"/>
        <v>0.3767507096021</v>
      </c>
      <c r="T235" s="45">
        <v>1</v>
      </c>
      <c r="U235" s="46">
        <v>0.42</v>
      </c>
      <c r="V235" s="46">
        <f t="shared" si="17"/>
        <v>1</v>
      </c>
      <c r="W235" s="2">
        <f t="shared" si="18"/>
        <v>1</v>
      </c>
      <c r="X235" s="2">
        <f t="shared" si="19"/>
        <v>0</v>
      </c>
      <c r="Y235" s="2">
        <f t="shared" si="20"/>
        <v>0</v>
      </c>
    </row>
    <row r="236" spans="1:25">
      <c r="A236" s="45">
        <v>1</v>
      </c>
      <c r="B236" s="46">
        <v>0.53</v>
      </c>
      <c r="C236" s="46">
        <v>1</v>
      </c>
      <c r="D236" s="47"/>
      <c r="E236" s="45" t="s">
        <v>15</v>
      </c>
      <c r="F236" s="46" t="s">
        <v>15</v>
      </c>
      <c r="G236" s="2">
        <f t="array" ref="G236">_xlfn.IFS(E236=F236,1)</f>
        <v>1</v>
      </c>
      <c r="H236" s="2"/>
      <c r="J236" s="45">
        <v>1</v>
      </c>
      <c r="K236" s="46">
        <v>0.53</v>
      </c>
      <c r="L236" s="2">
        <f t="shared" si="16"/>
        <v>0.275724130399211</v>
      </c>
      <c r="T236" s="45">
        <v>1</v>
      </c>
      <c r="U236" s="46">
        <v>0.53</v>
      </c>
      <c r="V236" s="46">
        <f t="shared" si="17"/>
        <v>1</v>
      </c>
      <c r="W236" s="2">
        <f t="shared" si="18"/>
        <v>1</v>
      </c>
      <c r="X236" s="2">
        <f t="shared" si="19"/>
        <v>1</v>
      </c>
      <c r="Y236" s="2">
        <f t="shared" si="20"/>
        <v>0</v>
      </c>
    </row>
    <row r="237" spans="1:25">
      <c r="A237" s="45">
        <v>1</v>
      </c>
      <c r="B237" s="46">
        <v>0.06</v>
      </c>
      <c r="C237" s="46"/>
      <c r="D237" s="47"/>
      <c r="E237" s="45" t="s">
        <v>15</v>
      </c>
      <c r="F237" s="46" t="s">
        <v>15</v>
      </c>
      <c r="G237" s="2">
        <f t="array" ref="G237">_xlfn.IFS(E237=F237,1)</f>
        <v>1</v>
      </c>
      <c r="H237" s="2"/>
      <c r="J237" s="45">
        <v>1</v>
      </c>
      <c r="K237" s="46">
        <v>0.06</v>
      </c>
      <c r="L237" s="2">
        <f t="shared" si="16"/>
        <v>1.22184874961636</v>
      </c>
      <c r="T237" s="45">
        <v>1</v>
      </c>
      <c r="U237" s="46">
        <v>0.06</v>
      </c>
      <c r="V237" s="46">
        <f t="shared" si="17"/>
        <v>0</v>
      </c>
      <c r="W237" s="2">
        <f t="shared" si="18"/>
        <v>0</v>
      </c>
      <c r="X237" s="2">
        <f t="shared" si="19"/>
        <v>0</v>
      </c>
      <c r="Y237" s="2">
        <f t="shared" si="20"/>
        <v>0</v>
      </c>
    </row>
    <row r="238" spans="1:25">
      <c r="A238" s="45">
        <v>0</v>
      </c>
      <c r="B238" s="46">
        <v>1</v>
      </c>
      <c r="C238" s="46">
        <v>1</v>
      </c>
      <c r="D238" s="47"/>
      <c r="E238" s="45" t="s">
        <v>16</v>
      </c>
      <c r="F238" s="46" t="s">
        <v>16</v>
      </c>
      <c r="G238" s="2">
        <f t="array" ref="G238">_xlfn.IFS(E238=F238,1)</f>
        <v>1</v>
      </c>
      <c r="H238" s="2"/>
      <c r="J238" s="45">
        <v>0</v>
      </c>
      <c r="K238" s="46">
        <v>0.5</v>
      </c>
      <c r="L238" s="2">
        <f t="shared" si="16"/>
        <v>0.301029995663981</v>
      </c>
      <c r="T238" s="45">
        <v>0</v>
      </c>
      <c r="U238" s="46">
        <v>1</v>
      </c>
      <c r="V238" s="46">
        <f t="shared" si="17"/>
        <v>1</v>
      </c>
      <c r="W238" s="2">
        <f t="shared" si="18"/>
        <v>1</v>
      </c>
      <c r="X238" s="2">
        <f t="shared" si="19"/>
        <v>1</v>
      </c>
      <c r="Y238" s="2">
        <f t="shared" si="20"/>
        <v>1</v>
      </c>
    </row>
    <row r="239" spans="1:25">
      <c r="A239" s="45">
        <v>1</v>
      </c>
      <c r="B239" s="46">
        <v>0.48</v>
      </c>
      <c r="C239" s="46"/>
      <c r="D239" s="47"/>
      <c r="E239" s="45" t="s">
        <v>15</v>
      </c>
      <c r="F239" s="46" t="s">
        <v>15</v>
      </c>
      <c r="G239" s="2">
        <f t="array" ref="G239">_xlfn.IFS(E239=F239,1)</f>
        <v>1</v>
      </c>
      <c r="H239" s="2"/>
      <c r="J239" s="45">
        <v>1</v>
      </c>
      <c r="K239" s="46">
        <v>0.48</v>
      </c>
      <c r="L239" s="2">
        <f t="shared" si="16"/>
        <v>0.318758762624413</v>
      </c>
      <c r="T239" s="45">
        <v>1</v>
      </c>
      <c r="U239" s="46">
        <v>0.48</v>
      </c>
      <c r="V239" s="46">
        <f t="shared" si="17"/>
        <v>1</v>
      </c>
      <c r="W239" s="2">
        <f t="shared" si="18"/>
        <v>1</v>
      </c>
      <c r="X239" s="2">
        <f t="shared" si="19"/>
        <v>0</v>
      </c>
      <c r="Y239" s="2">
        <f t="shared" si="20"/>
        <v>0</v>
      </c>
    </row>
    <row r="240" spans="1:25">
      <c r="A240" s="45">
        <v>1</v>
      </c>
      <c r="B240" s="46">
        <v>0.97</v>
      </c>
      <c r="C240" s="46">
        <v>1</v>
      </c>
      <c r="D240" s="47"/>
      <c r="E240" s="45" t="s">
        <v>15</v>
      </c>
      <c r="F240" s="46" t="s">
        <v>15</v>
      </c>
      <c r="G240" s="2">
        <f t="array" ref="G240">_xlfn.IFS(E240=F240,1)</f>
        <v>1</v>
      </c>
      <c r="H240" s="2"/>
      <c r="J240" s="45">
        <v>1</v>
      </c>
      <c r="K240" s="46">
        <v>0.97</v>
      </c>
      <c r="L240" s="2">
        <f t="shared" si="16"/>
        <v>0.0132282657337552</v>
      </c>
      <c r="T240" s="45">
        <v>1</v>
      </c>
      <c r="U240" s="46">
        <v>0.97</v>
      </c>
      <c r="V240" s="46">
        <f t="shared" si="17"/>
        <v>1</v>
      </c>
      <c r="W240" s="2">
        <f t="shared" si="18"/>
        <v>1</v>
      </c>
      <c r="X240" s="2">
        <f t="shared" si="19"/>
        <v>1</v>
      </c>
      <c r="Y240" s="2">
        <f t="shared" si="20"/>
        <v>1</v>
      </c>
    </row>
    <row r="241" spans="1:25">
      <c r="A241" s="45">
        <v>1</v>
      </c>
      <c r="B241" s="46">
        <v>0.38</v>
      </c>
      <c r="C241" s="46"/>
      <c r="D241" s="47"/>
      <c r="E241" s="45" t="s">
        <v>15</v>
      </c>
      <c r="F241" s="46" t="s">
        <v>15</v>
      </c>
      <c r="G241" s="2">
        <f t="array" ref="G241">_xlfn.IFS(E241=F241,1)</f>
        <v>1</v>
      </c>
      <c r="H241" s="2"/>
      <c r="J241" s="45">
        <v>1</v>
      </c>
      <c r="K241" s="46">
        <v>0.38</v>
      </c>
      <c r="L241" s="2">
        <f t="shared" si="16"/>
        <v>0.42021640338319</v>
      </c>
      <c r="T241" s="45">
        <v>1</v>
      </c>
      <c r="U241" s="46">
        <v>0.38</v>
      </c>
      <c r="V241" s="46">
        <f t="shared" si="17"/>
        <v>1</v>
      </c>
      <c r="W241" s="2">
        <f t="shared" si="18"/>
        <v>1</v>
      </c>
      <c r="X241" s="2">
        <f t="shared" si="19"/>
        <v>0</v>
      </c>
      <c r="Y241" s="2">
        <f t="shared" si="20"/>
        <v>0</v>
      </c>
    </row>
    <row r="242" spans="1:25">
      <c r="A242" s="45">
        <v>1</v>
      </c>
      <c r="B242" s="46">
        <v>0.4</v>
      </c>
      <c r="C242" s="46"/>
      <c r="D242" s="47"/>
      <c r="E242" s="45" t="s">
        <v>15</v>
      </c>
      <c r="F242" s="46" t="s">
        <v>15</v>
      </c>
      <c r="G242" s="2">
        <f t="array" ref="G242">_xlfn.IFS(E242=F242,1)</f>
        <v>1</v>
      </c>
      <c r="H242" s="2"/>
      <c r="J242" s="45">
        <v>1</v>
      </c>
      <c r="K242" s="46">
        <v>0.4</v>
      </c>
      <c r="L242" s="2">
        <f t="shared" si="16"/>
        <v>0.397940008672038</v>
      </c>
      <c r="T242" s="45">
        <v>1</v>
      </c>
      <c r="U242" s="46">
        <v>0.4</v>
      </c>
      <c r="V242" s="46">
        <f t="shared" si="17"/>
        <v>1</v>
      </c>
      <c r="W242" s="2">
        <f t="shared" si="18"/>
        <v>1</v>
      </c>
      <c r="X242" s="2">
        <f t="shared" si="19"/>
        <v>0</v>
      </c>
      <c r="Y242" s="2">
        <f t="shared" si="20"/>
        <v>0</v>
      </c>
    </row>
    <row r="243" spans="1:25">
      <c r="A243" s="45">
        <v>1</v>
      </c>
      <c r="B243" s="46">
        <v>0.89</v>
      </c>
      <c r="C243" s="46">
        <v>1</v>
      </c>
      <c r="D243" s="47"/>
      <c r="E243" s="45" t="s">
        <v>15</v>
      </c>
      <c r="F243" s="46" t="s">
        <v>15</v>
      </c>
      <c r="G243" s="2">
        <f t="array" ref="G243">_xlfn.IFS(E243=F243,1)</f>
        <v>1</v>
      </c>
      <c r="H243" s="2"/>
      <c r="J243" s="45">
        <v>1</v>
      </c>
      <c r="K243" s="46">
        <v>0.89</v>
      </c>
      <c r="L243" s="2">
        <f t="shared" si="16"/>
        <v>0.0506099933550872</v>
      </c>
      <c r="T243" s="45">
        <v>1</v>
      </c>
      <c r="U243" s="46">
        <v>0.89</v>
      </c>
      <c r="V243" s="46">
        <f t="shared" si="17"/>
        <v>1</v>
      </c>
      <c r="W243" s="2">
        <f t="shared" si="18"/>
        <v>1</v>
      </c>
      <c r="X243" s="2">
        <f t="shared" si="19"/>
        <v>1</v>
      </c>
      <c r="Y243" s="2">
        <f t="shared" si="20"/>
        <v>1</v>
      </c>
    </row>
    <row r="244" spans="1:25">
      <c r="A244" s="45">
        <v>1</v>
      </c>
      <c r="B244" s="46">
        <v>0.53</v>
      </c>
      <c r="C244" s="46">
        <v>1</v>
      </c>
      <c r="D244" s="47"/>
      <c r="E244" s="45" t="s">
        <v>15</v>
      </c>
      <c r="F244" s="46" t="s">
        <v>15</v>
      </c>
      <c r="G244" s="2">
        <f t="array" ref="G244">_xlfn.IFS(E244=F244,1)</f>
        <v>1</v>
      </c>
      <c r="H244" s="2"/>
      <c r="J244" s="45">
        <v>1</v>
      </c>
      <c r="K244" s="46">
        <v>0.53</v>
      </c>
      <c r="L244" s="2">
        <f t="shared" si="16"/>
        <v>0.275724130399211</v>
      </c>
      <c r="T244" s="45">
        <v>1</v>
      </c>
      <c r="U244" s="46">
        <v>0.53</v>
      </c>
      <c r="V244" s="46">
        <f t="shared" si="17"/>
        <v>1</v>
      </c>
      <c r="W244" s="2">
        <f t="shared" si="18"/>
        <v>1</v>
      </c>
      <c r="X244" s="2">
        <f t="shared" si="19"/>
        <v>1</v>
      </c>
      <c r="Y244" s="2">
        <f t="shared" si="20"/>
        <v>0</v>
      </c>
    </row>
    <row r="245" spans="1:25">
      <c r="A245" s="45">
        <v>1</v>
      </c>
      <c r="B245" s="46">
        <v>0.83</v>
      </c>
      <c r="C245" s="46">
        <v>1</v>
      </c>
      <c r="D245" s="47"/>
      <c r="E245" s="45" t="s">
        <v>15</v>
      </c>
      <c r="F245" s="46" t="s">
        <v>16</v>
      </c>
      <c r="G245" s="2" t="e">
        <f t="array" ref="G245">_xlfn.IFS(E245=F245,1)</f>
        <v>#N/A</v>
      </c>
      <c r="H245" s="2"/>
      <c r="J245" s="45">
        <v>1</v>
      </c>
      <c r="K245" s="46">
        <v>0.83</v>
      </c>
      <c r="L245" s="2">
        <f t="shared" si="16"/>
        <v>0.0809219076239261</v>
      </c>
      <c r="T245" s="45">
        <v>1</v>
      </c>
      <c r="U245" s="46">
        <v>0.83</v>
      </c>
      <c r="V245" s="46">
        <f t="shared" si="17"/>
        <v>1</v>
      </c>
      <c r="W245" s="2">
        <f t="shared" si="18"/>
        <v>1</v>
      </c>
      <c r="X245" s="2">
        <f t="shared" si="19"/>
        <v>1</v>
      </c>
      <c r="Y245" s="2">
        <f t="shared" si="20"/>
        <v>1</v>
      </c>
    </row>
    <row r="246" spans="1:25">
      <c r="A246" s="45">
        <v>1</v>
      </c>
      <c r="B246" s="46">
        <v>0.55</v>
      </c>
      <c r="C246" s="46">
        <v>1</v>
      </c>
      <c r="D246" s="47"/>
      <c r="E246" s="45" t="s">
        <v>15</v>
      </c>
      <c r="F246" s="46" t="s">
        <v>16</v>
      </c>
      <c r="G246" s="2" t="e">
        <f t="array" ref="G246">_xlfn.IFS(E246=F246,1)</f>
        <v>#N/A</v>
      </c>
      <c r="H246" s="2"/>
      <c r="J246" s="45">
        <v>1</v>
      </c>
      <c r="K246" s="46">
        <v>0</v>
      </c>
      <c r="L246" s="2" t="e">
        <f t="shared" si="16"/>
        <v>#NUM!</v>
      </c>
      <c r="T246" s="45">
        <v>1</v>
      </c>
      <c r="U246" s="46">
        <v>0.55</v>
      </c>
      <c r="V246" s="46">
        <f t="shared" si="17"/>
        <v>1</v>
      </c>
      <c r="W246" s="2">
        <f t="shared" si="18"/>
        <v>1</v>
      </c>
      <c r="X246" s="2">
        <f t="shared" si="19"/>
        <v>1</v>
      </c>
      <c r="Y246" s="2">
        <f t="shared" si="20"/>
        <v>0</v>
      </c>
    </row>
    <row r="247" spans="1:25">
      <c r="A247" s="45">
        <v>1</v>
      </c>
      <c r="B247" s="46">
        <v>0.61</v>
      </c>
      <c r="C247" s="46">
        <v>1</v>
      </c>
      <c r="D247" s="47"/>
      <c r="E247" s="45" t="s">
        <v>15</v>
      </c>
      <c r="F247" s="46" t="s">
        <v>15</v>
      </c>
      <c r="G247" s="2">
        <f t="array" ref="G247">_xlfn.IFS(E247=F247,1)</f>
        <v>1</v>
      </c>
      <c r="H247" s="2"/>
      <c r="J247" s="45">
        <v>1</v>
      </c>
      <c r="K247" s="46">
        <v>0.61</v>
      </c>
      <c r="L247" s="2">
        <f t="shared" si="16"/>
        <v>0.214670164989233</v>
      </c>
      <c r="T247" s="45">
        <v>1</v>
      </c>
      <c r="U247" s="46">
        <v>0.61</v>
      </c>
      <c r="V247" s="46">
        <f t="shared" si="17"/>
        <v>1</v>
      </c>
      <c r="W247" s="2">
        <f t="shared" si="18"/>
        <v>1</v>
      </c>
      <c r="X247" s="2">
        <f t="shared" si="19"/>
        <v>1</v>
      </c>
      <c r="Y247" s="2">
        <f t="shared" si="20"/>
        <v>0</v>
      </c>
    </row>
    <row r="248" spans="5:12">
      <c r="E248" s="2"/>
      <c r="F248" s="2"/>
      <c r="G248" s="2">
        <f>COUNT(G3:G247)</f>
        <v>208</v>
      </c>
      <c r="H248" s="55">
        <f>G248/COUNTA(E3:E247)</f>
        <v>0.848979591836735</v>
      </c>
      <c r="J248" s="2"/>
      <c r="K248" s="21" t="s">
        <v>36</v>
      </c>
      <c r="L248" s="2" t="e">
        <f>SUM(L3:L247)</f>
        <v>#NUM!</v>
      </c>
    </row>
    <row r="249" spans="10:12">
      <c r="J249" s="2"/>
      <c r="K249" s="21" t="s">
        <v>37</v>
      </c>
      <c r="L249" s="2" t="e">
        <f>L248/COUNTA(K3:K247)</f>
        <v>#NUM!</v>
      </c>
    </row>
    <row r="250" spans="20:20">
      <c r="T250" s="56" t="s">
        <v>11</v>
      </c>
    </row>
    <row r="251" spans="20:23">
      <c r="T251" s="2"/>
      <c r="U251" s="2"/>
      <c r="V251" s="4" t="s">
        <v>10</v>
      </c>
      <c r="W251" s="4"/>
    </row>
    <row r="252" spans="20:23">
      <c r="T252" s="2"/>
      <c r="U252" s="2"/>
      <c r="V252" s="4" t="s">
        <v>25</v>
      </c>
      <c r="W252" s="4" t="s">
        <v>24</v>
      </c>
    </row>
    <row r="253" spans="20:24">
      <c r="T253" s="4" t="s">
        <v>19</v>
      </c>
      <c r="U253" s="4" t="s">
        <v>25</v>
      </c>
      <c r="V253" s="2">
        <v>163</v>
      </c>
      <c r="W253" s="2">
        <v>9</v>
      </c>
      <c r="X253">
        <f>SUM(V253:W253)</f>
        <v>172</v>
      </c>
    </row>
    <row r="254" spans="20:24">
      <c r="T254" s="4"/>
      <c r="U254" s="4" t="s">
        <v>24</v>
      </c>
      <c r="V254" s="2">
        <v>69</v>
      </c>
      <c r="W254" s="2">
        <v>4</v>
      </c>
      <c r="X254">
        <f>SUM(V254:W254)</f>
        <v>73</v>
      </c>
    </row>
    <row r="255" spans="22:23">
      <c r="V255">
        <f>SUM(V253:V254)</f>
        <v>232</v>
      </c>
      <c r="W255">
        <f>SUM(W253:W254)</f>
        <v>13</v>
      </c>
    </row>
    <row r="257" spans="20:20">
      <c r="T257" s="57" t="s">
        <v>12</v>
      </c>
    </row>
    <row r="258" spans="20:23">
      <c r="T258" s="2"/>
      <c r="U258" s="2"/>
      <c r="V258" s="4" t="s">
        <v>10</v>
      </c>
      <c r="W258" s="4"/>
    </row>
    <row r="259" spans="20:23">
      <c r="T259" s="2"/>
      <c r="U259" s="2"/>
      <c r="V259" s="4" t="s">
        <v>25</v>
      </c>
      <c r="W259" s="4" t="s">
        <v>24</v>
      </c>
    </row>
    <row r="260" spans="20:24">
      <c r="T260" s="4" t="s">
        <v>19</v>
      </c>
      <c r="U260" s="4" t="s">
        <v>25</v>
      </c>
      <c r="V260" s="2">
        <v>148</v>
      </c>
      <c r="W260" s="2">
        <v>24</v>
      </c>
      <c r="X260">
        <f>SUM(V260:W260)</f>
        <v>172</v>
      </c>
    </row>
    <row r="261" spans="20:24">
      <c r="T261" s="4"/>
      <c r="U261" s="4" t="s">
        <v>24</v>
      </c>
      <c r="V261" s="2">
        <v>57</v>
      </c>
      <c r="W261" s="2">
        <v>16</v>
      </c>
      <c r="X261">
        <f>SUM(V261:W261)</f>
        <v>73</v>
      </c>
    </row>
    <row r="262" spans="22:23">
      <c r="V262">
        <f>SUM(V260:V261)</f>
        <v>205</v>
      </c>
      <c r="W262">
        <f>SUM(W260:W261)</f>
        <v>40</v>
      </c>
    </row>
    <row r="264" spans="20:20">
      <c r="T264" s="57" t="s">
        <v>13</v>
      </c>
    </row>
    <row r="265" spans="20:23">
      <c r="T265" s="2"/>
      <c r="U265" s="2"/>
      <c r="V265" s="4" t="s">
        <v>10</v>
      </c>
      <c r="W265" s="4"/>
    </row>
    <row r="266" spans="20:23">
      <c r="T266" s="2"/>
      <c r="U266" s="2"/>
      <c r="V266" s="4" t="s">
        <v>25</v>
      </c>
      <c r="W266" s="4" t="s">
        <v>24</v>
      </c>
    </row>
    <row r="267" spans="20:24">
      <c r="T267" s="4" t="s">
        <v>19</v>
      </c>
      <c r="U267" s="4" t="s">
        <v>25</v>
      </c>
      <c r="V267" s="2">
        <v>124</v>
      </c>
      <c r="W267" s="2">
        <v>48</v>
      </c>
      <c r="X267">
        <f>SUM(V267:W267)</f>
        <v>172</v>
      </c>
    </row>
    <row r="268" spans="20:24">
      <c r="T268" s="4"/>
      <c r="U268" s="4" t="s">
        <v>24</v>
      </c>
      <c r="V268" s="2">
        <v>42</v>
      </c>
      <c r="W268" s="2">
        <v>31</v>
      </c>
      <c r="X268">
        <f>SUM(V268:W268)</f>
        <v>73</v>
      </c>
    </row>
    <row r="269" spans="22:23">
      <c r="V269">
        <f>SUM(V267:V268)</f>
        <v>166</v>
      </c>
      <c r="W269">
        <f>SUM(W267:W268)</f>
        <v>79</v>
      </c>
    </row>
    <row r="271" spans="20:20">
      <c r="T271" s="57" t="s">
        <v>14</v>
      </c>
    </row>
    <row r="272" spans="20:23">
      <c r="T272" s="2"/>
      <c r="U272" s="2"/>
      <c r="V272" s="4" t="s">
        <v>10</v>
      </c>
      <c r="W272" s="4"/>
    </row>
    <row r="273" spans="20:23">
      <c r="T273" s="2"/>
      <c r="U273" s="2"/>
      <c r="V273" s="4" t="s">
        <v>25</v>
      </c>
      <c r="W273" s="4" t="s">
        <v>24</v>
      </c>
    </row>
    <row r="274" spans="20:24">
      <c r="T274" s="4" t="s">
        <v>19</v>
      </c>
      <c r="U274" s="4" t="s">
        <v>25</v>
      </c>
      <c r="V274" s="2">
        <v>44</v>
      </c>
      <c r="W274" s="2">
        <v>128</v>
      </c>
      <c r="X274">
        <f>SUM(V274:W274)</f>
        <v>172</v>
      </c>
    </row>
    <row r="275" spans="20:24">
      <c r="T275" s="4"/>
      <c r="U275" s="4" t="s">
        <v>24</v>
      </c>
      <c r="V275" s="2">
        <v>12</v>
      </c>
      <c r="W275" s="2">
        <v>61</v>
      </c>
      <c r="X275">
        <f>SUM(V275:W275)</f>
        <v>73</v>
      </c>
    </row>
    <row r="276" spans="22:23">
      <c r="V276">
        <f>SUM(V274:V275)</f>
        <v>56</v>
      </c>
      <c r="W276">
        <f>SUM(W274:W275)</f>
        <v>189</v>
      </c>
    </row>
  </sheetData>
  <mergeCells count="24">
    <mergeCell ref="A1:C1"/>
    <mergeCell ref="E1:H1"/>
    <mergeCell ref="J1:L1"/>
    <mergeCell ref="N1:Q1"/>
    <mergeCell ref="T1:Y1"/>
    <mergeCell ref="AA1:AD1"/>
    <mergeCell ref="P2:Q2"/>
    <mergeCell ref="AC2:AD2"/>
    <mergeCell ref="P10:Q10"/>
    <mergeCell ref="V251:W251"/>
    <mergeCell ref="V258:W258"/>
    <mergeCell ref="V265:W265"/>
    <mergeCell ref="V272:W272"/>
    <mergeCell ref="N4:N5"/>
    <mergeCell ref="N12:N13"/>
    <mergeCell ref="T253:T254"/>
    <mergeCell ref="T260:T261"/>
    <mergeCell ref="T267:T268"/>
    <mergeCell ref="T274:T275"/>
    <mergeCell ref="AA4:AA5"/>
    <mergeCell ref="O16:Q18"/>
    <mergeCell ref="O20:Q22"/>
    <mergeCell ref="O33:Q35"/>
    <mergeCell ref="O38:Q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1"/>
  <sheetViews>
    <sheetView workbookViewId="0">
      <pane xSplit="9" ySplit="15" topLeftCell="J64" activePane="bottomRight" state="frozen"/>
      <selection/>
      <selection pane="topRight"/>
      <selection pane="bottomLeft"/>
      <selection pane="bottomRight" activeCell="L78" sqref="L78"/>
    </sheetView>
  </sheetViews>
  <sheetFormatPr defaultColWidth="9" defaultRowHeight="13.5"/>
  <cols>
    <col min="1" max="1" width="8" customWidth="1"/>
    <col min="2" max="2" width="8.375" customWidth="1"/>
    <col min="3" max="3" width="12.125" customWidth="1"/>
    <col min="4" max="7" width="13.75"/>
    <col min="8" max="8" width="1.75" customWidth="1"/>
    <col min="9" max="9" width="21.625" customWidth="1"/>
    <col min="10" max="10" width="1.5" customWidth="1"/>
    <col min="11" max="11" width="21.625" customWidth="1"/>
    <col min="12" max="12" width="2.375" customWidth="1"/>
    <col min="13" max="13" width="20.625" customWidth="1"/>
    <col min="15" max="18" width="12.625"/>
  </cols>
  <sheetData>
    <row r="1" spans="1:13">
      <c r="A1" s="26" t="s">
        <v>38</v>
      </c>
      <c r="B1" s="26" t="s">
        <v>39</v>
      </c>
      <c r="C1" s="30" t="s">
        <v>40</v>
      </c>
      <c r="D1" s="15" t="s">
        <v>41</v>
      </c>
      <c r="E1" s="31" t="s">
        <v>42</v>
      </c>
      <c r="F1" s="31"/>
      <c r="G1" s="31"/>
      <c r="I1" t="s">
        <v>43</v>
      </c>
      <c r="K1" t="s">
        <v>44</v>
      </c>
      <c r="M1" t="s">
        <v>45</v>
      </c>
    </row>
    <row r="2" spans="1:13">
      <c r="A2" s="28">
        <v>24</v>
      </c>
      <c r="B2" s="29">
        <v>30.256204359595</v>
      </c>
      <c r="C2" s="32">
        <f>ABS(A2-B2)</f>
        <v>6.256204359595</v>
      </c>
      <c r="D2" s="33">
        <f>C2^2</f>
        <v>39.1400929890155</v>
      </c>
      <c r="E2" s="34">
        <f>(A2-B2)^2</f>
        <v>39.1400929890155</v>
      </c>
      <c r="F2" s="34">
        <f>AVERAGE(A2:A507)</f>
        <v>22.5328063241107</v>
      </c>
      <c r="G2" s="34">
        <f>(A2-$F$2)^2</f>
        <v>2.15265728256956</v>
      </c>
      <c r="I2" s="32">
        <v>-3.24826136</v>
      </c>
      <c r="K2" s="33">
        <v>-16.63108562</v>
      </c>
      <c r="M2" s="34">
        <v>0.74116081</v>
      </c>
    </row>
    <row r="3" spans="1:13">
      <c r="A3" s="28">
        <v>21.6</v>
      </c>
      <c r="B3" s="29">
        <v>24.9328935331288</v>
      </c>
      <c r="C3" s="32">
        <f t="shared" ref="C2:C65" si="0">ABS(A3-B3)</f>
        <v>3.3328935331288</v>
      </c>
      <c r="D3" s="33">
        <f t="shared" ref="D2:D65" si="1">C3^2</f>
        <v>11.1081793031718</v>
      </c>
      <c r="E3" s="34">
        <f t="shared" ref="E2:E65" si="2">(A3-B3)^2</f>
        <v>11.1081793031718</v>
      </c>
      <c r="F3" s="34"/>
      <c r="G3" s="34">
        <f>(A3-$F$2)^2</f>
        <v>0.87012763830091</v>
      </c>
      <c r="I3" s="32">
        <v>-4.11939173</v>
      </c>
      <c r="K3" s="33">
        <v>-46.479212</v>
      </c>
      <c r="M3" s="34">
        <v>0.51162616</v>
      </c>
    </row>
    <row r="4" spans="1:13">
      <c r="A4" s="28">
        <v>34.7</v>
      </c>
      <c r="B4" s="29">
        <v>30.9417818568129</v>
      </c>
      <c r="C4" s="32">
        <f t="shared" si="0"/>
        <v>3.7582181431871</v>
      </c>
      <c r="D4" s="33">
        <f t="shared" si="1"/>
        <v>14.1242036117807</v>
      </c>
      <c r="E4" s="34">
        <f t="shared" si="2"/>
        <v>14.1242036117807</v>
      </c>
      <c r="F4" s="34"/>
      <c r="G4" s="34">
        <f>(A4-$F$2)^2</f>
        <v>148.040601946601</v>
      </c>
      <c r="I4" s="32">
        <v>-2.27347659</v>
      </c>
      <c r="K4" s="33">
        <v>-8.88386462</v>
      </c>
      <c r="M4" s="34">
        <v>0.84734771</v>
      </c>
    </row>
    <row r="5" spans="1:13">
      <c r="A5" s="28">
        <v>33.4</v>
      </c>
      <c r="B5" s="29">
        <v>28.5048042523213</v>
      </c>
      <c r="C5" s="32">
        <f t="shared" si="0"/>
        <v>4.8951957476787</v>
      </c>
      <c r="D5" s="33">
        <f t="shared" si="1"/>
        <v>23.9629414080916</v>
      </c>
      <c r="E5" s="34">
        <f t="shared" si="2"/>
        <v>23.9629414080916</v>
      </c>
      <c r="F5" s="34"/>
      <c r="G5" s="34">
        <f>(A5-$F$2)^2</f>
        <v>118.095898389288</v>
      </c>
      <c r="I5" s="32">
        <v>-4.17287637</v>
      </c>
      <c r="K5" s="33">
        <v>-30.04919184</v>
      </c>
      <c r="M5" s="34">
        <v>0.74188702</v>
      </c>
    </row>
    <row r="6" spans="1:13">
      <c r="A6" s="28">
        <v>36.2</v>
      </c>
      <c r="B6" s="29">
        <v>27.6801234842556</v>
      </c>
      <c r="C6" s="32">
        <f t="shared" si="0"/>
        <v>8.5198765157444</v>
      </c>
      <c r="D6" s="33">
        <f t="shared" si="1"/>
        <v>72.5882958435329</v>
      </c>
      <c r="E6" s="34">
        <f t="shared" si="2"/>
        <v>72.588295843533</v>
      </c>
      <c r="F6" s="34"/>
      <c r="G6" s="34">
        <f>(A6-$F$2)^2</f>
        <v>186.792182974269</v>
      </c>
      <c r="I6" s="32">
        <v>-3.8034257</v>
      </c>
      <c r="K6" s="33">
        <v>-33.73045179</v>
      </c>
      <c r="M6" s="34">
        <v>0.61894709</v>
      </c>
    </row>
    <row r="7" spans="1:13">
      <c r="A7" s="28">
        <v>28.7</v>
      </c>
      <c r="B7" s="29">
        <v>25.3750867921742</v>
      </c>
      <c r="C7" s="32">
        <f t="shared" si="0"/>
        <v>3.3249132078258</v>
      </c>
      <c r="D7" s="33">
        <f t="shared" si="1"/>
        <v>11.0550478395745</v>
      </c>
      <c r="E7" s="34">
        <f t="shared" si="2"/>
        <v>11.0550478395744</v>
      </c>
      <c r="F7" s="34"/>
      <c r="G7" s="34">
        <f>(A7-$F$2)^2</f>
        <v>38.034277835929</v>
      </c>
      <c r="I7" s="32">
        <v>-3.20177954</v>
      </c>
      <c r="K7" s="33">
        <v>-19.44900935</v>
      </c>
      <c r="M7" s="34">
        <v>0.63591017</v>
      </c>
    </row>
    <row r="8" spans="1:13">
      <c r="A8" s="28">
        <v>22.9</v>
      </c>
      <c r="B8" s="29">
        <v>23.0332236663477</v>
      </c>
      <c r="C8" s="32">
        <f t="shared" si="0"/>
        <v>0.1332236663477</v>
      </c>
      <c r="D8" s="33">
        <f t="shared" si="1"/>
        <v>0.0177485452751233</v>
      </c>
      <c r="E8" s="34">
        <f t="shared" si="2"/>
        <v>0.0177485452751232</v>
      </c>
      <c r="F8" s="34"/>
      <c r="G8" s="34">
        <f>(A8-$F$2)^2</f>
        <v>0.134831195613097</v>
      </c>
      <c r="I8" s="32">
        <v>-4.13777416</v>
      </c>
      <c r="K8" s="33">
        <v>-32.03771938</v>
      </c>
      <c r="M8" s="34">
        <v>0.69113678</v>
      </c>
    </row>
    <row r="9" spans="1:13">
      <c r="A9" s="28">
        <v>27.1</v>
      </c>
      <c r="B9" s="29">
        <v>18.5820727071023</v>
      </c>
      <c r="C9" s="32">
        <f t="shared" si="0"/>
        <v>8.5179272928977</v>
      </c>
      <c r="D9" s="33">
        <f t="shared" si="1"/>
        <v>72.5550853670915</v>
      </c>
      <c r="E9" s="34">
        <f t="shared" si="2"/>
        <v>72.5550853670916</v>
      </c>
      <c r="F9" s="34"/>
      <c r="G9" s="34">
        <f>(A9-$F$2)^2</f>
        <v>20.8592580730832</v>
      </c>
      <c r="I9" s="32">
        <v>-3.11898137</v>
      </c>
      <c r="K9" s="33">
        <v>-18.38474957</v>
      </c>
      <c r="M9" s="34">
        <v>0.79098704</v>
      </c>
    </row>
    <row r="10" spans="1:13">
      <c r="A10" s="28">
        <v>16.5</v>
      </c>
      <c r="B10" s="29">
        <v>10.3291995466333</v>
      </c>
      <c r="C10" s="32">
        <f t="shared" si="0"/>
        <v>6.1708004533667</v>
      </c>
      <c r="D10" s="33">
        <f t="shared" si="1"/>
        <v>38.0787782352707</v>
      </c>
      <c r="E10" s="34">
        <f t="shared" si="2"/>
        <v>38.0787782352707</v>
      </c>
      <c r="F10" s="34"/>
      <c r="G10" s="34">
        <f>(A10-$F$2)^2</f>
        <v>36.39475214423</v>
      </c>
      <c r="I10" s="32">
        <v>-3.49219054</v>
      </c>
      <c r="K10" s="33">
        <v>-22.04448736</v>
      </c>
      <c r="M10" s="34">
        <v>0.81603103</v>
      </c>
    </row>
    <row r="11" spans="1:13">
      <c r="A11" s="28">
        <v>18.9</v>
      </c>
      <c r="B11" s="29">
        <v>17.973769988913</v>
      </c>
      <c r="C11" s="32">
        <f t="shared" si="0"/>
        <v>0.926230011087</v>
      </c>
      <c r="D11" s="33">
        <f t="shared" si="1"/>
        <v>0.857902033438224</v>
      </c>
      <c r="E11" s="34">
        <f t="shared" si="2"/>
        <v>0.857902033438224</v>
      </c>
      <c r="F11" s="34"/>
      <c r="G11" s="34">
        <f>(A11-$F$2)^2</f>
        <v>13.1972817884987</v>
      </c>
      <c r="I11" s="32">
        <v>-2.30192009</v>
      </c>
      <c r="K11" s="33">
        <v>-9.77524658</v>
      </c>
      <c r="M11" s="34">
        <v>0.78664942</v>
      </c>
    </row>
    <row r="12" spans="1:7">
      <c r="A12" s="28">
        <v>15</v>
      </c>
      <c r="B12" s="29">
        <v>18.9456796002697</v>
      </c>
      <c r="C12" s="32">
        <f t="shared" si="0"/>
        <v>3.9456796002697</v>
      </c>
      <c r="D12" s="33">
        <f t="shared" si="1"/>
        <v>15.5683875079845</v>
      </c>
      <c r="E12" s="34">
        <f t="shared" si="2"/>
        <v>15.5683875079845</v>
      </c>
      <c r="F12" s="34"/>
      <c r="G12" s="34">
        <f>(A12-$F$2)^2</f>
        <v>56.7431711165621</v>
      </c>
    </row>
    <row r="13" spans="1:13">
      <c r="A13" s="28">
        <v>18.9</v>
      </c>
      <c r="B13" s="29">
        <v>20.8366301365167</v>
      </c>
      <c r="C13" s="32">
        <f t="shared" si="0"/>
        <v>1.9366301365167</v>
      </c>
      <c r="D13" s="33">
        <f t="shared" si="1"/>
        <v>3.75053628566469</v>
      </c>
      <c r="E13" s="34">
        <f t="shared" si="2"/>
        <v>3.7505362856647</v>
      </c>
      <c r="F13" s="34"/>
      <c r="G13" s="34">
        <f>(A13-$F$2)^2</f>
        <v>13.1972817884987</v>
      </c>
      <c r="I13" s="35">
        <f t="shared" ref="I13:M13" si="3">AVERAGE(I2:I11)</f>
        <v>-3.387007745</v>
      </c>
      <c r="K13" s="35">
        <f t="shared" si="3"/>
        <v>-23.746501811</v>
      </c>
      <c r="M13" s="35">
        <f t="shared" si="3"/>
        <v>0.718168323</v>
      </c>
    </row>
    <row r="14" spans="1:7">
      <c r="A14" s="28">
        <v>21.7</v>
      </c>
      <c r="B14" s="29">
        <v>20.5378075744413</v>
      </c>
      <c r="C14" s="32">
        <f t="shared" si="0"/>
        <v>1.1621924255587</v>
      </c>
      <c r="D14" s="33">
        <f t="shared" si="1"/>
        <v>1.35069123402601</v>
      </c>
      <c r="E14" s="34">
        <f t="shared" si="2"/>
        <v>1.35069123402602</v>
      </c>
      <c r="F14" s="34"/>
      <c r="G14" s="34">
        <f>(A14-$F$2)^2</f>
        <v>0.693566373478774</v>
      </c>
    </row>
    <row r="15" spans="1:7">
      <c r="A15" s="28">
        <v>20.4</v>
      </c>
      <c r="B15" s="29">
        <v>19.4804711591958</v>
      </c>
      <c r="C15" s="32">
        <f t="shared" si="0"/>
        <v>0.919528840804197</v>
      </c>
      <c r="D15" s="33">
        <f t="shared" si="1"/>
        <v>0.84553328907071</v>
      </c>
      <c r="E15" s="34">
        <f t="shared" si="2"/>
        <v>0.845533289070711</v>
      </c>
      <c r="F15" s="34"/>
      <c r="G15" s="34">
        <f>(A15-$F$2)^2</f>
        <v>4.54886281616659</v>
      </c>
    </row>
    <row r="16" spans="1:7">
      <c r="A16" s="28">
        <v>18.2</v>
      </c>
      <c r="B16" s="29">
        <v>19.2559776475974</v>
      </c>
      <c r="C16" s="32">
        <f t="shared" si="0"/>
        <v>1.0559776475974</v>
      </c>
      <c r="D16" s="33">
        <f t="shared" si="1"/>
        <v>1.11508879222534</v>
      </c>
      <c r="E16" s="34">
        <f t="shared" si="2"/>
        <v>1.11508879222534</v>
      </c>
      <c r="F16" s="34"/>
      <c r="G16" s="34">
        <f>(A16-$F$2)^2</f>
        <v>18.7732106422537</v>
      </c>
    </row>
    <row r="17" spans="1:7">
      <c r="A17" s="28">
        <v>19.9</v>
      </c>
      <c r="B17" s="29">
        <v>19.350317931831</v>
      </c>
      <c r="C17" s="32">
        <f t="shared" si="0"/>
        <v>0.549682068168998</v>
      </c>
      <c r="D17" s="33">
        <f t="shared" si="1"/>
        <v>0.302150376066547</v>
      </c>
      <c r="E17" s="34">
        <f t="shared" si="2"/>
        <v>0.302150376066547</v>
      </c>
      <c r="F17" s="34"/>
      <c r="G17" s="34">
        <f>(A17-$F$2)^2</f>
        <v>6.93166914027729</v>
      </c>
    </row>
    <row r="18" spans="1:7">
      <c r="A18" s="28">
        <v>23.1</v>
      </c>
      <c r="B18" s="29">
        <v>20.4994503109478</v>
      </c>
      <c r="C18" s="32">
        <f t="shared" si="0"/>
        <v>2.6005496890522</v>
      </c>
      <c r="D18" s="33">
        <f t="shared" si="1"/>
        <v>6.76285868522949</v>
      </c>
      <c r="E18" s="34">
        <f t="shared" si="2"/>
        <v>6.7628586852295</v>
      </c>
      <c r="F18" s="34"/>
      <c r="G18" s="34">
        <f>(A18-$F$2)^2</f>
        <v>0.32170866596882</v>
      </c>
    </row>
    <row r="19" spans="1:7">
      <c r="A19" s="28">
        <v>17.5</v>
      </c>
      <c r="B19" s="29">
        <v>17.0655165897342</v>
      </c>
      <c r="C19" s="32">
        <f t="shared" si="0"/>
        <v>0.434483410265798</v>
      </c>
      <c r="D19" s="33">
        <f t="shared" si="1"/>
        <v>0.188775833796198</v>
      </c>
      <c r="E19" s="34">
        <f t="shared" si="2"/>
        <v>0.188775833796198</v>
      </c>
      <c r="F19" s="34"/>
      <c r="G19" s="34">
        <f>(A19-$F$2)^2</f>
        <v>25.3291394960086</v>
      </c>
    </row>
    <row r="20" spans="1:7">
      <c r="A20" s="28">
        <v>20.2</v>
      </c>
      <c r="B20" s="29">
        <v>16.2618771426086</v>
      </c>
      <c r="C20" s="32">
        <f t="shared" si="0"/>
        <v>3.9381228573914</v>
      </c>
      <c r="D20" s="33">
        <f t="shared" si="1"/>
        <v>15.5088116399086</v>
      </c>
      <c r="E20" s="34">
        <f t="shared" si="2"/>
        <v>15.5088116399086</v>
      </c>
      <c r="F20" s="34"/>
      <c r="G20" s="34">
        <f>(A20-$F$2)^2</f>
        <v>5.44198534581087</v>
      </c>
    </row>
    <row r="21" spans="1:7">
      <c r="A21" s="28">
        <v>18.2</v>
      </c>
      <c r="B21" s="29">
        <v>18.370385248886</v>
      </c>
      <c r="C21" s="32">
        <f t="shared" si="0"/>
        <v>0.170385248885999</v>
      </c>
      <c r="D21" s="33">
        <f t="shared" si="1"/>
        <v>0.0290311330379438</v>
      </c>
      <c r="E21" s="34">
        <f t="shared" si="2"/>
        <v>0.029031133037944</v>
      </c>
      <c r="F21" s="34"/>
      <c r="G21" s="34">
        <f>(A21-$F$2)^2</f>
        <v>18.7732106422537</v>
      </c>
    </row>
    <row r="22" spans="1:7">
      <c r="A22" s="28">
        <v>13.6</v>
      </c>
      <c r="B22" s="29">
        <v>12.652749881358</v>
      </c>
      <c r="C22" s="32">
        <f t="shared" si="0"/>
        <v>0.947250118642</v>
      </c>
      <c r="D22" s="33">
        <f t="shared" si="1"/>
        <v>0.897282787267283</v>
      </c>
      <c r="E22" s="34">
        <f t="shared" si="2"/>
        <v>0.897282787267282</v>
      </c>
      <c r="F22" s="34"/>
      <c r="G22" s="34">
        <f>(A22-$F$2)^2</f>
        <v>79.7950288240721</v>
      </c>
    </row>
    <row r="23" spans="1:7">
      <c r="A23" s="28">
        <v>19.6</v>
      </c>
      <c r="B23" s="29">
        <v>17.6463673693023</v>
      </c>
      <c r="C23" s="32">
        <f t="shared" si="0"/>
        <v>1.9536326306977</v>
      </c>
      <c r="D23" s="33">
        <f t="shared" si="1"/>
        <v>3.81668045572682</v>
      </c>
      <c r="E23" s="34">
        <f t="shared" si="2"/>
        <v>3.81668045572682</v>
      </c>
      <c r="F23" s="34"/>
      <c r="G23" s="34">
        <f>(A23-$F$2)^2</f>
        <v>8.6013529347437</v>
      </c>
    </row>
    <row r="24" spans="1:7">
      <c r="A24" s="28">
        <v>15.2</v>
      </c>
      <c r="B24" s="29">
        <v>16.3653771392693</v>
      </c>
      <c r="C24" s="32">
        <f t="shared" si="0"/>
        <v>1.1653771392693</v>
      </c>
      <c r="D24" s="33">
        <f t="shared" si="1"/>
        <v>1.3581038767315</v>
      </c>
      <c r="E24" s="34">
        <f t="shared" si="2"/>
        <v>1.3581038767315</v>
      </c>
      <c r="F24" s="34"/>
      <c r="G24" s="34">
        <f>(A24-$F$2)^2</f>
        <v>53.7700485869179</v>
      </c>
    </row>
    <row r="25" spans="1:7">
      <c r="A25" s="28">
        <v>14.5</v>
      </c>
      <c r="B25" s="29">
        <v>13.7469862471537</v>
      </c>
      <c r="C25" s="32">
        <f t="shared" si="0"/>
        <v>0.7530137528463</v>
      </c>
      <c r="D25" s="33">
        <f t="shared" si="1"/>
        <v>0.567029711975669</v>
      </c>
      <c r="E25" s="34">
        <f t="shared" si="2"/>
        <v>0.567029711975669</v>
      </c>
      <c r="F25" s="34"/>
      <c r="G25" s="34">
        <f>(A25-$F$2)^2</f>
        <v>64.5259774406728</v>
      </c>
    </row>
    <row r="26" spans="1:7">
      <c r="A26" s="28">
        <v>15.6</v>
      </c>
      <c r="B26" s="29">
        <v>15.2972814497404</v>
      </c>
      <c r="C26" s="32">
        <f t="shared" si="0"/>
        <v>0.3027185502596</v>
      </c>
      <c r="D26" s="33">
        <f t="shared" si="1"/>
        <v>0.091638520671274</v>
      </c>
      <c r="E26" s="34">
        <f t="shared" si="2"/>
        <v>0.0916385206712741</v>
      </c>
      <c r="F26" s="34"/>
      <c r="G26" s="34">
        <f>(A26-$F$2)^2</f>
        <v>48.0638035276293</v>
      </c>
    </row>
    <row r="27" spans="1:7">
      <c r="A27" s="28">
        <v>13.9</v>
      </c>
      <c r="B27" s="29">
        <v>13.3878138468748</v>
      </c>
      <c r="C27" s="32">
        <f t="shared" si="0"/>
        <v>0.512186153125201</v>
      </c>
      <c r="D27" s="33">
        <f t="shared" si="1"/>
        <v>0.262334655453192</v>
      </c>
      <c r="E27" s="34">
        <f t="shared" si="2"/>
        <v>0.262334655453192</v>
      </c>
      <c r="F27" s="34"/>
      <c r="G27" s="34">
        <f>(A27-$F$2)^2</f>
        <v>74.5253450296057</v>
      </c>
    </row>
    <row r="28" spans="1:7">
      <c r="A28" s="28">
        <v>16.6</v>
      </c>
      <c r="B28" s="29">
        <v>15.4764878514124</v>
      </c>
      <c r="C28" s="32">
        <f t="shared" si="0"/>
        <v>1.1235121485876</v>
      </c>
      <c r="D28" s="33">
        <f t="shared" si="1"/>
        <v>1.26227954802393</v>
      </c>
      <c r="E28" s="34">
        <f t="shared" si="2"/>
        <v>1.26227954802393</v>
      </c>
      <c r="F28" s="34"/>
      <c r="G28" s="34">
        <f>(A28-$F$2)^2</f>
        <v>35.1981908794079</v>
      </c>
    </row>
    <row r="29" spans="1:7">
      <c r="A29" s="28">
        <v>14.8</v>
      </c>
      <c r="B29" s="29">
        <v>14.322121292704</v>
      </c>
      <c r="C29" s="32">
        <f t="shared" si="0"/>
        <v>0.477878707296</v>
      </c>
      <c r="D29" s="33">
        <f t="shared" si="1"/>
        <v>0.228368058886896</v>
      </c>
      <c r="E29" s="34">
        <f t="shared" si="2"/>
        <v>0.228368058886896</v>
      </c>
      <c r="F29" s="34"/>
      <c r="G29" s="34">
        <f>(A29-$F$2)^2</f>
        <v>59.7962936462064</v>
      </c>
    </row>
    <row r="30" spans="1:7">
      <c r="A30" s="28">
        <v>18.4</v>
      </c>
      <c r="B30" s="29">
        <v>19.5246191157735</v>
      </c>
      <c r="C30" s="32">
        <f t="shared" si="0"/>
        <v>1.1246191157735</v>
      </c>
      <c r="D30" s="33">
        <f t="shared" si="1"/>
        <v>1.26476815556317</v>
      </c>
      <c r="E30" s="34">
        <f t="shared" si="2"/>
        <v>1.26476815556317</v>
      </c>
      <c r="F30" s="34"/>
      <c r="G30" s="34">
        <f>(A30-$F$2)^2</f>
        <v>17.0800881126094</v>
      </c>
    </row>
    <row r="31" spans="1:7">
      <c r="A31" s="28">
        <v>21</v>
      </c>
      <c r="B31" s="29">
        <v>20.8687716237995</v>
      </c>
      <c r="C31" s="32">
        <f t="shared" si="0"/>
        <v>0.1312283762005</v>
      </c>
      <c r="D31" s="33">
        <f t="shared" si="1"/>
        <v>0.01722088672022</v>
      </c>
      <c r="E31" s="34">
        <f t="shared" si="2"/>
        <v>0.01722088672022</v>
      </c>
      <c r="F31" s="34"/>
      <c r="G31" s="34">
        <f>(A31-$F$2)^2</f>
        <v>2.34949522723375</v>
      </c>
    </row>
    <row r="32" spans="1:7">
      <c r="A32" s="28">
        <v>12.7</v>
      </c>
      <c r="B32" s="29">
        <v>11.9740631510492</v>
      </c>
      <c r="C32" s="32">
        <f t="shared" si="0"/>
        <v>0.725936848950798</v>
      </c>
      <c r="D32" s="33">
        <f t="shared" si="1"/>
        <v>0.526984308664614</v>
      </c>
      <c r="E32" s="34">
        <f t="shared" si="2"/>
        <v>0.526984308664614</v>
      </c>
      <c r="F32" s="34"/>
      <c r="G32" s="34">
        <f>(A32-$F$2)^2</f>
        <v>96.6840802074714</v>
      </c>
    </row>
    <row r="33" spans="1:7">
      <c r="A33" s="28">
        <v>14.5</v>
      </c>
      <c r="B33" s="29">
        <v>17.9596817817491</v>
      </c>
      <c r="C33" s="32">
        <f t="shared" si="0"/>
        <v>3.4596817817491</v>
      </c>
      <c r="D33" s="33">
        <f t="shared" si="1"/>
        <v>11.9693980309666</v>
      </c>
      <c r="E33" s="34">
        <f t="shared" si="2"/>
        <v>11.9693980309666</v>
      </c>
      <c r="F33" s="34"/>
      <c r="G33" s="34">
        <f>(A33-$F$2)^2</f>
        <v>64.5259774406728</v>
      </c>
    </row>
    <row r="34" spans="1:7">
      <c r="A34" s="28">
        <v>13.2</v>
      </c>
      <c r="B34" s="29">
        <v>9.06368200302457</v>
      </c>
      <c r="C34" s="32">
        <f t="shared" si="0"/>
        <v>4.13631799697543</v>
      </c>
      <c r="D34" s="33">
        <f t="shared" si="1"/>
        <v>17.1091265721028</v>
      </c>
      <c r="E34" s="34">
        <f t="shared" si="2"/>
        <v>17.1091265721028</v>
      </c>
      <c r="F34" s="34"/>
      <c r="G34" s="34">
        <f>(A34-$F$2)^2</f>
        <v>87.1012738833607</v>
      </c>
    </row>
    <row r="35" spans="1:7">
      <c r="A35" s="28">
        <v>13.1</v>
      </c>
      <c r="B35" s="29">
        <v>14.286196596863</v>
      </c>
      <c r="C35" s="32">
        <f t="shared" si="0"/>
        <v>1.186196596863</v>
      </c>
      <c r="D35" s="33">
        <f t="shared" si="1"/>
        <v>1.40706236640936</v>
      </c>
      <c r="E35" s="34">
        <f t="shared" si="2"/>
        <v>1.40706236640936</v>
      </c>
      <c r="F35" s="34"/>
      <c r="G35" s="34">
        <f>(A35-$F$2)^2</f>
        <v>88.9778351481828</v>
      </c>
    </row>
    <row r="36" spans="1:7">
      <c r="A36" s="28">
        <v>13.5</v>
      </c>
      <c r="B36" s="29">
        <v>13.9375691715329</v>
      </c>
      <c r="C36" s="32">
        <f t="shared" si="0"/>
        <v>0.4375691715329</v>
      </c>
      <c r="D36" s="33">
        <f t="shared" si="1"/>
        <v>0.191466779875988</v>
      </c>
      <c r="E36" s="34">
        <f t="shared" si="2"/>
        <v>0.191466779875988</v>
      </c>
      <c r="F36" s="34"/>
      <c r="G36" s="34">
        <f>(A36-$F$2)^2</f>
        <v>81.5915900888942</v>
      </c>
    </row>
    <row r="37" spans="1:7">
      <c r="A37" s="28">
        <v>18.9</v>
      </c>
      <c r="B37" s="29">
        <v>23.8099324248938</v>
      </c>
      <c r="C37" s="32">
        <f t="shared" si="0"/>
        <v>4.9099324248938</v>
      </c>
      <c r="D37" s="33">
        <f t="shared" si="1"/>
        <v>24.1074364170235</v>
      </c>
      <c r="E37" s="34">
        <f t="shared" si="2"/>
        <v>24.1074364170235</v>
      </c>
      <c r="F37" s="34"/>
      <c r="G37" s="34">
        <f>(A37-$F$2)^2</f>
        <v>13.1972817884987</v>
      </c>
    </row>
    <row r="38" spans="1:7">
      <c r="A38" s="28">
        <v>20</v>
      </c>
      <c r="B38" s="29">
        <v>22.5726868012817</v>
      </c>
      <c r="C38" s="32">
        <f t="shared" si="0"/>
        <v>2.5726868012817</v>
      </c>
      <c r="D38" s="33">
        <f t="shared" si="1"/>
        <v>6.61871737748907</v>
      </c>
      <c r="E38" s="34">
        <f t="shared" si="2"/>
        <v>6.61871737748907</v>
      </c>
      <c r="F38" s="34"/>
      <c r="G38" s="34">
        <f>(A38-$F$2)^2</f>
        <v>6.41510787545515</v>
      </c>
    </row>
    <row r="39" spans="1:7">
      <c r="A39" s="28">
        <v>21</v>
      </c>
      <c r="B39" s="29">
        <v>23.3350304524197</v>
      </c>
      <c r="C39" s="32">
        <f t="shared" si="0"/>
        <v>2.3350304524197</v>
      </c>
      <c r="D39" s="33">
        <f t="shared" si="1"/>
        <v>5.45236721372735</v>
      </c>
      <c r="E39" s="34">
        <f t="shared" si="2"/>
        <v>5.45236721372736</v>
      </c>
      <c r="F39" s="34"/>
      <c r="G39" s="34">
        <f>(A39-$F$2)^2</f>
        <v>2.34949522723375</v>
      </c>
    </row>
    <row r="40" spans="1:7">
      <c r="A40" s="28">
        <v>24.7</v>
      </c>
      <c r="B40" s="29">
        <v>22.9632446534736</v>
      </c>
      <c r="C40" s="32">
        <f t="shared" si="0"/>
        <v>1.7367553465264</v>
      </c>
      <c r="D40" s="33">
        <f t="shared" si="1"/>
        <v>3.01631913368804</v>
      </c>
      <c r="E40" s="34">
        <f t="shared" si="2"/>
        <v>3.01631913368804</v>
      </c>
      <c r="F40" s="34"/>
      <c r="G40" s="34">
        <f>(A40-$F$2)^2</f>
        <v>4.69672842881458</v>
      </c>
    </row>
    <row r="41" spans="1:7">
      <c r="A41" s="28">
        <v>30.8</v>
      </c>
      <c r="B41" s="29">
        <v>31.2765103974849</v>
      </c>
      <c r="C41" s="32">
        <f t="shared" si="0"/>
        <v>0.476510397484898</v>
      </c>
      <c r="D41" s="33">
        <f t="shared" si="1"/>
        <v>0.227062158911215</v>
      </c>
      <c r="E41" s="34">
        <f t="shared" si="2"/>
        <v>0.227062158911215</v>
      </c>
      <c r="F41" s="34"/>
      <c r="G41" s="34">
        <f>(A41-$F$2)^2</f>
        <v>68.3464912746641</v>
      </c>
    </row>
    <row r="42" spans="1:7">
      <c r="A42" s="28">
        <v>34.9</v>
      </c>
      <c r="B42" s="29">
        <v>34.1727783133683</v>
      </c>
      <c r="C42" s="32">
        <f t="shared" si="0"/>
        <v>0.727221686631701</v>
      </c>
      <c r="D42" s="33">
        <f t="shared" si="1"/>
        <v>0.528851381507456</v>
      </c>
      <c r="E42" s="34">
        <f t="shared" si="2"/>
        <v>0.528851381507456</v>
      </c>
      <c r="F42" s="34"/>
      <c r="G42" s="34">
        <f>(A42-$F$2)^2</f>
        <v>152.947479416956</v>
      </c>
    </row>
    <row r="43" spans="1:7">
      <c r="A43" s="28">
        <v>26.6</v>
      </c>
      <c r="B43" s="29">
        <v>27.8708358974508</v>
      </c>
      <c r="C43" s="32">
        <f t="shared" si="0"/>
        <v>1.2708358974508</v>
      </c>
      <c r="D43" s="33">
        <f t="shared" si="1"/>
        <v>1.61502387824958</v>
      </c>
      <c r="E43" s="34">
        <f t="shared" si="2"/>
        <v>1.61502387824958</v>
      </c>
      <c r="F43" s="34"/>
      <c r="G43" s="34">
        <f>(A43-$F$2)^2</f>
        <v>16.5420643971939</v>
      </c>
    </row>
    <row r="44" spans="1:7">
      <c r="A44" s="28">
        <v>25.3</v>
      </c>
      <c r="B44" s="29">
        <v>25.2420829324503</v>
      </c>
      <c r="C44" s="32">
        <f t="shared" si="0"/>
        <v>0.0579170675496989</v>
      </c>
      <c r="D44" s="33">
        <f t="shared" si="1"/>
        <v>0.00335438671355639</v>
      </c>
      <c r="E44" s="34">
        <f t="shared" si="2"/>
        <v>0.00335438671355639</v>
      </c>
      <c r="F44" s="34"/>
      <c r="G44" s="34">
        <f>(A44-$F$2)^2</f>
        <v>7.65736083988175</v>
      </c>
    </row>
    <row r="45" spans="1:7">
      <c r="A45" s="28">
        <v>24.7</v>
      </c>
      <c r="B45" s="29">
        <v>24.1651942871705</v>
      </c>
      <c r="C45" s="32">
        <f t="shared" si="0"/>
        <v>0.534805712829499</v>
      </c>
      <c r="D45" s="33">
        <f t="shared" si="1"/>
        <v>0.286017150475068</v>
      </c>
      <c r="E45" s="34">
        <f t="shared" si="2"/>
        <v>0.286017150475068</v>
      </c>
      <c r="F45" s="34"/>
      <c r="G45" s="34">
        <f>(A45-$F$2)^2</f>
        <v>4.69672842881458</v>
      </c>
    </row>
    <row r="46" spans="1:7">
      <c r="A46" s="28">
        <v>21.2</v>
      </c>
      <c r="B46" s="29">
        <v>22.9113794453362</v>
      </c>
      <c r="C46" s="32">
        <f t="shared" si="0"/>
        <v>1.7113794453362</v>
      </c>
      <c r="D46" s="33">
        <f t="shared" si="1"/>
        <v>2.92881960591924</v>
      </c>
      <c r="E46" s="34">
        <f t="shared" si="2"/>
        <v>2.92881960591924</v>
      </c>
      <c r="F46" s="34"/>
      <c r="G46" s="34">
        <f>(A46-$F$2)^2</f>
        <v>1.77637269758947</v>
      </c>
    </row>
    <row r="47" spans="1:7">
      <c r="A47" s="28">
        <v>19.3</v>
      </c>
      <c r="B47" s="29">
        <v>22.3109134026916</v>
      </c>
      <c r="C47" s="32">
        <f t="shared" si="0"/>
        <v>3.0109134026916</v>
      </c>
      <c r="D47" s="33">
        <f t="shared" si="1"/>
        <v>9.06559951850791</v>
      </c>
      <c r="E47" s="34">
        <f t="shared" si="2"/>
        <v>9.06559951850791</v>
      </c>
      <c r="F47" s="34"/>
      <c r="G47" s="34">
        <f>(A47-$F$2)^2</f>
        <v>10.4510367292101</v>
      </c>
    </row>
    <row r="48" spans="1:7">
      <c r="A48" s="28">
        <v>20</v>
      </c>
      <c r="B48" s="29">
        <v>20.3834714985614</v>
      </c>
      <c r="C48" s="32">
        <f t="shared" si="0"/>
        <v>0.383471498561399</v>
      </c>
      <c r="D48" s="33">
        <f t="shared" si="1"/>
        <v>0.147050390208925</v>
      </c>
      <c r="E48" s="34">
        <f t="shared" si="2"/>
        <v>0.147050390208925</v>
      </c>
      <c r="F48" s="34"/>
      <c r="G48" s="34">
        <f>(A48-$F$2)^2</f>
        <v>6.41510787545515</v>
      </c>
    </row>
    <row r="49" spans="1:7">
      <c r="A49" s="28">
        <v>16.6</v>
      </c>
      <c r="B49" s="29">
        <v>18.119520838705</v>
      </c>
      <c r="C49" s="32">
        <f t="shared" si="0"/>
        <v>1.519520838705</v>
      </c>
      <c r="D49" s="33">
        <f t="shared" si="1"/>
        <v>2.30894357925875</v>
      </c>
      <c r="E49" s="34">
        <f t="shared" si="2"/>
        <v>2.30894357925874</v>
      </c>
      <c r="F49" s="34"/>
      <c r="G49" s="34">
        <f>(A49-$F$2)^2</f>
        <v>35.1981908794079</v>
      </c>
    </row>
    <row r="50" spans="1:7">
      <c r="A50" s="28">
        <v>14.4</v>
      </c>
      <c r="B50" s="29">
        <v>8.05292529254793</v>
      </c>
      <c r="C50" s="32">
        <f t="shared" si="0"/>
        <v>6.34707470745207</v>
      </c>
      <c r="D50" s="33">
        <f t="shared" si="1"/>
        <v>40.2853573419778</v>
      </c>
      <c r="E50" s="34">
        <f t="shared" si="2"/>
        <v>40.2853573419778</v>
      </c>
      <c r="F50" s="34"/>
      <c r="G50" s="34">
        <f>(A50-$F$2)^2</f>
        <v>66.142538705495</v>
      </c>
    </row>
    <row r="51" spans="1:7">
      <c r="A51" s="28">
        <v>19.4</v>
      </c>
      <c r="B51" s="29">
        <v>17.2600485554138</v>
      </c>
      <c r="C51" s="32">
        <f t="shared" si="0"/>
        <v>2.1399514445862</v>
      </c>
      <c r="D51" s="33">
        <f t="shared" si="1"/>
        <v>4.57939218518656</v>
      </c>
      <c r="E51" s="34">
        <f t="shared" si="2"/>
        <v>4.57939218518656</v>
      </c>
      <c r="F51" s="34"/>
      <c r="G51" s="34">
        <f>(A51-$F$2)^2</f>
        <v>9.81447546438799</v>
      </c>
    </row>
    <row r="52" spans="1:7">
      <c r="A52" s="28">
        <v>19.7</v>
      </c>
      <c r="B52" s="29">
        <v>21.2528102453933</v>
      </c>
      <c r="C52" s="32">
        <f t="shared" si="0"/>
        <v>1.5528102453933</v>
      </c>
      <c r="D52" s="33">
        <f t="shared" si="1"/>
        <v>2.4112196581984</v>
      </c>
      <c r="E52" s="34">
        <f t="shared" si="2"/>
        <v>2.4112196581984</v>
      </c>
      <c r="F52" s="34"/>
      <c r="G52" s="34">
        <f>(A52-$F$2)^2</f>
        <v>8.02479166992157</v>
      </c>
    </row>
    <row r="53" spans="1:7">
      <c r="A53" s="28">
        <v>20.5</v>
      </c>
      <c r="B53" s="29">
        <v>23.8158314525337</v>
      </c>
      <c r="C53" s="32">
        <f t="shared" si="0"/>
        <v>3.3158314525337</v>
      </c>
      <c r="D53" s="33">
        <f t="shared" si="1"/>
        <v>10.9947382216117</v>
      </c>
      <c r="E53" s="34">
        <f t="shared" si="2"/>
        <v>10.9947382216117</v>
      </c>
      <c r="F53" s="34"/>
      <c r="G53" s="34">
        <f>(A53-$F$2)^2</f>
        <v>4.13230155134445</v>
      </c>
    </row>
    <row r="54" spans="1:7">
      <c r="A54" s="28">
        <v>25</v>
      </c>
      <c r="B54" s="29">
        <v>27.8207341383243</v>
      </c>
      <c r="C54" s="32">
        <f t="shared" si="0"/>
        <v>2.8207341383243</v>
      </c>
      <c r="D54" s="33">
        <f t="shared" si="1"/>
        <v>7.95654107910813</v>
      </c>
      <c r="E54" s="34">
        <f t="shared" si="2"/>
        <v>7.95654107910814</v>
      </c>
      <c r="F54" s="34"/>
      <c r="G54" s="34">
        <f>(A54-$F$2)^2</f>
        <v>6.08704463434817</v>
      </c>
    </row>
    <row r="55" spans="1:7">
      <c r="A55" s="28">
        <v>23.4</v>
      </c>
      <c r="B55" s="29">
        <v>24.038847513048</v>
      </c>
      <c r="C55" s="32">
        <f t="shared" si="0"/>
        <v>0.638847513048002</v>
      </c>
      <c r="D55" s="33">
        <f t="shared" si="1"/>
        <v>0.408126144927617</v>
      </c>
      <c r="E55" s="34">
        <f t="shared" si="2"/>
        <v>0.408126144927618</v>
      </c>
      <c r="F55" s="34"/>
      <c r="G55" s="34">
        <f>(A55-$F$2)^2</f>
        <v>0.752024871502397</v>
      </c>
    </row>
    <row r="56" spans="1:7">
      <c r="A56" s="28">
        <v>18.9</v>
      </c>
      <c r="B56" s="29">
        <v>15.237274913915</v>
      </c>
      <c r="C56" s="32">
        <f t="shared" si="0"/>
        <v>3.662725086085</v>
      </c>
      <c r="D56" s="33">
        <f t="shared" si="1"/>
        <v>13.4155550562364</v>
      </c>
      <c r="E56" s="34">
        <f t="shared" si="2"/>
        <v>13.4155550562364</v>
      </c>
      <c r="F56" s="34"/>
      <c r="G56" s="34">
        <f>(A56-$F$2)^2</f>
        <v>13.1972817884987</v>
      </c>
    </row>
    <row r="57" spans="1:7">
      <c r="A57" s="28">
        <v>35.4</v>
      </c>
      <c r="B57" s="29">
        <v>31.1167912157732</v>
      </c>
      <c r="C57" s="32">
        <f t="shared" si="0"/>
        <v>4.2832087842268</v>
      </c>
      <c r="D57" s="33">
        <f t="shared" si="1"/>
        <v>18.3458774892776</v>
      </c>
      <c r="E57" s="34">
        <f t="shared" si="2"/>
        <v>18.3458774892776</v>
      </c>
      <c r="F57" s="34"/>
      <c r="G57" s="34">
        <f>(A57-$F$2)^2</f>
        <v>165.564673092846</v>
      </c>
    </row>
    <row r="58" spans="1:7">
      <c r="A58" s="28">
        <v>24.7</v>
      </c>
      <c r="B58" s="29">
        <v>24.4951950884879</v>
      </c>
      <c r="C58" s="32">
        <f t="shared" si="0"/>
        <v>0.204804911512099</v>
      </c>
      <c r="D58" s="33">
        <f t="shared" si="1"/>
        <v>0.0419450517794787</v>
      </c>
      <c r="E58" s="34">
        <f t="shared" si="2"/>
        <v>0.0419450517794787</v>
      </c>
      <c r="F58" s="34"/>
      <c r="G58" s="34">
        <f>(A58-$F$2)^2</f>
        <v>4.69672842881458</v>
      </c>
    </row>
    <row r="59" spans="1:7">
      <c r="A59" s="28">
        <v>31.6</v>
      </c>
      <c r="B59" s="29">
        <v>33.1208928713293</v>
      </c>
      <c r="C59" s="32">
        <f t="shared" si="0"/>
        <v>1.5208928713293</v>
      </c>
      <c r="D59" s="33">
        <f t="shared" si="1"/>
        <v>2.31311512606028</v>
      </c>
      <c r="E59" s="34">
        <f t="shared" si="2"/>
        <v>2.31311512606029</v>
      </c>
      <c r="F59" s="34"/>
      <c r="G59" s="34">
        <f>(A59-$F$2)^2</f>
        <v>82.214001156087</v>
      </c>
    </row>
    <row r="60" spans="1:7">
      <c r="A60" s="28">
        <v>23.3</v>
      </c>
      <c r="B60" s="29">
        <v>21.8039578980159</v>
      </c>
      <c r="C60" s="32">
        <f t="shared" si="0"/>
        <v>1.4960421019841</v>
      </c>
      <c r="D60" s="33">
        <f t="shared" si="1"/>
        <v>2.238141970909</v>
      </c>
      <c r="E60" s="34">
        <f t="shared" si="2"/>
        <v>2.23814197090901</v>
      </c>
      <c r="F60" s="34"/>
      <c r="G60" s="34">
        <f>(A60-$F$2)^2</f>
        <v>0.58858613632454</v>
      </c>
    </row>
    <row r="61" spans="1:7">
      <c r="A61" s="28">
        <v>19.6</v>
      </c>
      <c r="B61" s="29">
        <v>20.9794830460708</v>
      </c>
      <c r="C61" s="32">
        <f t="shared" si="0"/>
        <v>1.3794830460708</v>
      </c>
      <c r="D61" s="33">
        <f t="shared" si="1"/>
        <v>1.90297347439677</v>
      </c>
      <c r="E61" s="34">
        <f t="shared" si="2"/>
        <v>1.90297347439677</v>
      </c>
      <c r="F61" s="34"/>
      <c r="G61" s="34">
        <f>(A61-$F$2)^2</f>
        <v>8.6013529347437</v>
      </c>
    </row>
    <row r="62" spans="1:7">
      <c r="A62" s="28">
        <v>18.7</v>
      </c>
      <c r="B62" s="29">
        <v>17.7007818055799</v>
      </c>
      <c r="C62" s="32">
        <f t="shared" si="0"/>
        <v>0.999218194420099</v>
      </c>
      <c r="D62" s="33">
        <f t="shared" si="1"/>
        <v>0.998437000060163</v>
      </c>
      <c r="E62" s="34">
        <f t="shared" si="2"/>
        <v>0.998437000060162</v>
      </c>
      <c r="F62" s="34"/>
      <c r="G62" s="34">
        <f>(A62-$F$2)^2</f>
        <v>14.690404318143</v>
      </c>
    </row>
    <row r="63" spans="1:7">
      <c r="A63" s="28">
        <v>16</v>
      </c>
      <c r="B63" s="29">
        <v>18.3661790434929</v>
      </c>
      <c r="C63" s="32">
        <f t="shared" si="0"/>
        <v>2.3661790434929</v>
      </c>
      <c r="D63" s="33">
        <f t="shared" si="1"/>
        <v>5.59880326586498</v>
      </c>
      <c r="E63" s="34">
        <f t="shared" si="2"/>
        <v>5.59880326586497</v>
      </c>
      <c r="F63" s="34"/>
      <c r="G63" s="34">
        <f>(A63-$F$2)^2</f>
        <v>42.6775584683407</v>
      </c>
    </row>
    <row r="64" spans="1:7">
      <c r="A64" s="28">
        <v>22.2</v>
      </c>
      <c r="B64" s="29">
        <v>23.8980619638201</v>
      </c>
      <c r="C64" s="32">
        <f t="shared" si="0"/>
        <v>1.6980619638201</v>
      </c>
      <c r="D64" s="33">
        <f t="shared" si="1"/>
        <v>2.88341443297257</v>
      </c>
      <c r="E64" s="34">
        <f t="shared" si="2"/>
        <v>2.88341443297258</v>
      </c>
      <c r="F64" s="34"/>
      <c r="G64" s="34">
        <f>(A64-$F$2)^2</f>
        <v>0.110760049368076</v>
      </c>
    </row>
    <row r="65" spans="1:7">
      <c r="A65" s="28">
        <v>25</v>
      </c>
      <c r="B65" s="29">
        <v>22.6603255154994</v>
      </c>
      <c r="C65" s="32">
        <f t="shared" si="0"/>
        <v>2.3396744845006</v>
      </c>
      <c r="D65" s="33">
        <f t="shared" si="1"/>
        <v>5.47407669342315</v>
      </c>
      <c r="E65" s="34">
        <f t="shared" si="2"/>
        <v>5.47407669342314</v>
      </c>
      <c r="F65" s="34"/>
      <c r="G65" s="34">
        <f>(A65-$F$2)^2</f>
        <v>6.08704463434817</v>
      </c>
    </row>
    <row r="66" spans="1:7">
      <c r="A66" s="28">
        <v>33</v>
      </c>
      <c r="B66" s="29">
        <v>22.2724381615453</v>
      </c>
      <c r="C66" s="32">
        <f t="shared" ref="C66:C129" si="4">ABS(A66-B66)</f>
        <v>10.7275618384547</v>
      </c>
      <c r="D66" s="33">
        <f t="shared" ref="D66:D129" si="5">C66^2</f>
        <v>115.08058299787</v>
      </c>
      <c r="E66" s="34">
        <f t="shared" ref="E66:E129" si="6">(A66-B66)^2</f>
        <v>115.08058299787</v>
      </c>
      <c r="F66" s="34"/>
      <c r="G66" s="34">
        <f>(A66-$F$2)^2</f>
        <v>109.562143448577</v>
      </c>
    </row>
    <row r="67" spans="1:7">
      <c r="A67" s="28">
        <v>23.5</v>
      </c>
      <c r="B67" s="29">
        <v>30.2399797387387</v>
      </c>
      <c r="C67" s="32">
        <f t="shared" si="4"/>
        <v>6.7399797387387</v>
      </c>
      <c r="D67" s="33">
        <f t="shared" si="5"/>
        <v>45.4273268786082</v>
      </c>
      <c r="E67" s="34">
        <f t="shared" si="6"/>
        <v>45.4273268786082</v>
      </c>
      <c r="F67" s="34"/>
      <c r="G67" s="34">
        <f>(A67-$F$2)^2</f>
        <v>0.93546360668026</v>
      </c>
    </row>
    <row r="68" spans="1:7">
      <c r="A68" s="28">
        <v>19.4</v>
      </c>
      <c r="B68" s="29">
        <v>25.9117747321663</v>
      </c>
      <c r="C68" s="32">
        <f t="shared" si="4"/>
        <v>6.5117747321663</v>
      </c>
      <c r="D68" s="33">
        <f t="shared" si="5"/>
        <v>42.4032101624795</v>
      </c>
      <c r="E68" s="34">
        <f t="shared" si="6"/>
        <v>42.4032101624795</v>
      </c>
      <c r="F68" s="34"/>
      <c r="G68" s="34">
        <f>(A68-$F$2)^2</f>
        <v>9.81447546438799</v>
      </c>
    </row>
    <row r="69" spans="1:7">
      <c r="A69" s="28">
        <v>22</v>
      </c>
      <c r="B69" s="29">
        <v>21.1924873929464</v>
      </c>
      <c r="C69" s="32">
        <f t="shared" si="4"/>
        <v>0.807512607053599</v>
      </c>
      <c r="D69" s="33">
        <f t="shared" si="5"/>
        <v>0.652076610550501</v>
      </c>
      <c r="E69" s="34">
        <f t="shared" si="6"/>
        <v>0.652076610550501</v>
      </c>
      <c r="F69" s="34"/>
      <c r="G69" s="34">
        <f>(A69-$F$2)^2</f>
        <v>0.283882579012354</v>
      </c>
    </row>
    <row r="70" spans="1:7">
      <c r="A70" s="28">
        <v>17.4</v>
      </c>
      <c r="B70" s="29">
        <v>17.4526385231157</v>
      </c>
      <c r="C70" s="32">
        <f t="shared" si="4"/>
        <v>0.0526385231157001</v>
      </c>
      <c r="D70" s="33">
        <f t="shared" si="5"/>
        <v>0.00277081411580209</v>
      </c>
      <c r="E70" s="34">
        <f t="shared" si="6"/>
        <v>0.00277081411580209</v>
      </c>
      <c r="F70" s="34"/>
      <c r="G70" s="34">
        <f>(A70-$F$2)^2</f>
        <v>26.3457007608308</v>
      </c>
    </row>
    <row r="71" spans="1:7">
      <c r="A71" s="28">
        <v>20.9</v>
      </c>
      <c r="B71" s="29">
        <v>20.70909966511</v>
      </c>
      <c r="C71" s="32">
        <f t="shared" si="4"/>
        <v>0.190900334889999</v>
      </c>
      <c r="D71" s="33">
        <f t="shared" si="5"/>
        <v>0.0364429378611139</v>
      </c>
      <c r="E71" s="34">
        <f t="shared" si="6"/>
        <v>0.0364429378611139</v>
      </c>
      <c r="F71" s="34"/>
      <c r="G71" s="34">
        <f>(A71-$F$2)^2</f>
        <v>2.66605649205589</v>
      </c>
    </row>
    <row r="72" spans="1:7">
      <c r="A72" s="28">
        <v>24.2</v>
      </c>
      <c r="B72" s="29">
        <v>25.188796146701</v>
      </c>
      <c r="C72" s="32">
        <f t="shared" si="4"/>
        <v>0.988796146701002</v>
      </c>
      <c r="D72" s="33">
        <f t="shared" si="5"/>
        <v>0.97771781973075</v>
      </c>
      <c r="E72" s="34">
        <f t="shared" si="6"/>
        <v>0.97771781973075</v>
      </c>
      <c r="F72" s="34"/>
      <c r="G72" s="34">
        <f>(A72-$F$2)^2</f>
        <v>2.77953475292528</v>
      </c>
    </row>
    <row r="73" spans="1:7">
      <c r="A73" s="28">
        <v>21.7</v>
      </c>
      <c r="B73" s="29">
        <v>21.8459729194905</v>
      </c>
      <c r="C73" s="32">
        <f t="shared" si="4"/>
        <v>0.1459729194905</v>
      </c>
      <c r="D73" s="33">
        <f t="shared" si="5"/>
        <v>0.02130809322458</v>
      </c>
      <c r="E73" s="34">
        <f t="shared" si="6"/>
        <v>0.02130809322458</v>
      </c>
      <c r="F73" s="34"/>
      <c r="G73" s="34">
        <f>(A73-$F$2)^2</f>
        <v>0.693566373478774</v>
      </c>
    </row>
    <row r="74" spans="1:7">
      <c r="A74" s="28">
        <v>22.8</v>
      </c>
      <c r="B74" s="29">
        <v>24.6258912195869</v>
      </c>
      <c r="C74" s="32">
        <f t="shared" si="4"/>
        <v>1.8258912195869</v>
      </c>
      <c r="D74" s="33">
        <f t="shared" si="5"/>
        <v>3.33387874576454</v>
      </c>
      <c r="E74" s="34">
        <f t="shared" si="6"/>
        <v>3.33387874576454</v>
      </c>
      <c r="F74" s="34"/>
      <c r="G74" s="34">
        <f>(A74-$F$2)^2</f>
        <v>0.0713924604352377</v>
      </c>
    </row>
    <row r="75" spans="1:7">
      <c r="A75" s="28">
        <v>23.4</v>
      </c>
      <c r="B75" s="29">
        <v>23.9922815094788</v>
      </c>
      <c r="C75" s="32">
        <f t="shared" si="4"/>
        <v>0.592281509478802</v>
      </c>
      <c r="D75" s="33">
        <f t="shared" si="5"/>
        <v>0.350797386470488</v>
      </c>
      <c r="E75" s="34">
        <f t="shared" si="6"/>
        <v>0.350797386470488</v>
      </c>
      <c r="F75" s="34"/>
      <c r="G75" s="34">
        <f>(A75-$F$2)^2</f>
        <v>0.752024871502397</v>
      </c>
    </row>
    <row r="76" spans="1:7">
      <c r="A76" s="28">
        <v>24.1</v>
      </c>
      <c r="B76" s="29">
        <v>25.534514705195</v>
      </c>
      <c r="C76" s="32">
        <f t="shared" si="4"/>
        <v>1.434514705195</v>
      </c>
      <c r="D76" s="33">
        <f t="shared" si="5"/>
        <v>2.0578324394207</v>
      </c>
      <c r="E76" s="34">
        <f t="shared" si="6"/>
        <v>2.0578324394207</v>
      </c>
      <c r="F76" s="34"/>
      <c r="G76" s="34">
        <f>(A76-$F$2)^2</f>
        <v>2.45609601774743</v>
      </c>
    </row>
    <row r="77" spans="1:7">
      <c r="A77" s="28">
        <v>21.4</v>
      </c>
      <c r="B77" s="29">
        <v>24.0572845416637</v>
      </c>
      <c r="C77" s="32">
        <f t="shared" si="4"/>
        <v>2.6572845416637</v>
      </c>
      <c r="D77" s="33">
        <f t="shared" si="5"/>
        <v>7.06116113536488</v>
      </c>
      <c r="E77" s="34">
        <f t="shared" si="6"/>
        <v>7.06116113536488</v>
      </c>
      <c r="F77" s="34"/>
      <c r="G77" s="34">
        <f>(A77-$F$2)^2</f>
        <v>1.2832501679452</v>
      </c>
    </row>
    <row r="78" spans="1:7">
      <c r="A78" s="28">
        <v>20</v>
      </c>
      <c r="B78" s="29">
        <v>22.6050970608202</v>
      </c>
      <c r="C78" s="32">
        <f t="shared" si="4"/>
        <v>2.6050970608202</v>
      </c>
      <c r="D78" s="33">
        <f t="shared" si="5"/>
        <v>6.78653069629404</v>
      </c>
      <c r="E78" s="34">
        <f t="shared" si="6"/>
        <v>6.78653069629404</v>
      </c>
      <c r="F78" s="34"/>
      <c r="G78" s="34">
        <f>(A78-$F$2)^2</f>
        <v>6.41510787545515</v>
      </c>
    </row>
    <row r="79" spans="1:7">
      <c r="A79" s="28">
        <v>20.8</v>
      </c>
      <c r="B79" s="29">
        <v>23.1612747497952</v>
      </c>
      <c r="C79" s="32">
        <f t="shared" si="4"/>
        <v>2.3612747497952</v>
      </c>
      <c r="D79" s="33">
        <f t="shared" si="5"/>
        <v>5.57561844402038</v>
      </c>
      <c r="E79" s="34">
        <f t="shared" si="6"/>
        <v>5.57561844402038</v>
      </c>
      <c r="F79" s="34"/>
      <c r="G79" s="34">
        <f>(A79-$F$2)^2</f>
        <v>3.00261775687803</v>
      </c>
    </row>
    <row r="80" spans="1:7">
      <c r="A80" s="28">
        <v>21.2</v>
      </c>
      <c r="B80" s="29">
        <v>21.2196901867659</v>
      </c>
      <c r="C80" s="32">
        <f t="shared" si="4"/>
        <v>0.0196901867658994</v>
      </c>
      <c r="D80" s="33">
        <f t="shared" si="5"/>
        <v>0.000387703454876</v>
      </c>
      <c r="E80" s="34">
        <f t="shared" si="6"/>
        <v>0.000387703454876</v>
      </c>
      <c r="F80" s="34"/>
      <c r="G80" s="34">
        <f>(A80-$F$2)^2</f>
        <v>1.77637269758947</v>
      </c>
    </row>
    <row r="81" spans="1:7">
      <c r="A81" s="28">
        <v>20.3</v>
      </c>
      <c r="B81" s="29">
        <v>22.497163653061</v>
      </c>
      <c r="C81" s="32">
        <f t="shared" si="4"/>
        <v>2.197163653061</v>
      </c>
      <c r="D81" s="33">
        <f t="shared" si="5"/>
        <v>4.82752811833236</v>
      </c>
      <c r="E81" s="34">
        <f t="shared" si="6"/>
        <v>4.82752811833236</v>
      </c>
      <c r="F81" s="34"/>
      <c r="G81" s="34">
        <f>(A81-$F$2)^2</f>
        <v>4.98542408098873</v>
      </c>
    </row>
    <row r="82" spans="1:7">
      <c r="A82" s="28">
        <v>28</v>
      </c>
      <c r="B82" s="29">
        <v>28.3442717867001</v>
      </c>
      <c r="C82" s="32">
        <f t="shared" si="4"/>
        <v>0.344271786700102</v>
      </c>
      <c r="D82" s="33">
        <f t="shared" si="5"/>
        <v>0.11852306311768</v>
      </c>
      <c r="E82" s="34">
        <f t="shared" si="6"/>
        <v>0.11852306311768</v>
      </c>
      <c r="F82" s="34"/>
      <c r="G82" s="34">
        <f>(A82-$F$2)^2</f>
        <v>29.890206689684</v>
      </c>
    </row>
    <row r="83" spans="1:7">
      <c r="A83" s="28">
        <v>23.9</v>
      </c>
      <c r="B83" s="29">
        <v>27.3242073097078</v>
      </c>
      <c r="C83" s="32">
        <f t="shared" si="4"/>
        <v>3.4242073097078</v>
      </c>
      <c r="D83" s="33">
        <f t="shared" si="5"/>
        <v>11.7251956998563</v>
      </c>
      <c r="E83" s="34">
        <f t="shared" si="6"/>
        <v>11.7251956998563</v>
      </c>
      <c r="F83" s="34"/>
      <c r="G83" s="34">
        <f>(A83-$F$2)^2</f>
        <v>1.8692185473917</v>
      </c>
    </row>
    <row r="84" spans="1:7">
      <c r="A84" s="28">
        <v>24.8</v>
      </c>
      <c r="B84" s="29">
        <v>25.7337345426666</v>
      </c>
      <c r="C84" s="32">
        <f t="shared" si="4"/>
        <v>0.933734542666599</v>
      </c>
      <c r="D84" s="33">
        <f t="shared" si="5"/>
        <v>0.871860196168803</v>
      </c>
      <c r="E84" s="34">
        <f t="shared" si="6"/>
        <v>0.871860196168803</v>
      </c>
      <c r="F84" s="34"/>
      <c r="G84" s="34">
        <f>(A84-$F$2)^2</f>
        <v>5.14016716399245</v>
      </c>
    </row>
    <row r="85" spans="1:7">
      <c r="A85" s="28">
        <v>22.9</v>
      </c>
      <c r="B85" s="29">
        <v>24.9478085196979</v>
      </c>
      <c r="C85" s="32">
        <f t="shared" si="4"/>
        <v>2.0478085196979</v>
      </c>
      <c r="D85" s="33">
        <f t="shared" si="5"/>
        <v>4.19351973334731</v>
      </c>
      <c r="E85" s="34">
        <f t="shared" si="6"/>
        <v>4.19351973334731</v>
      </c>
      <c r="F85" s="34"/>
      <c r="G85" s="34">
        <f>(A85-$F$2)^2</f>
        <v>0.134831195613097</v>
      </c>
    </row>
    <row r="86" spans="1:7">
      <c r="A86" s="28">
        <v>23.9</v>
      </c>
      <c r="B86" s="29">
        <v>24.7714629377476</v>
      </c>
      <c r="C86" s="32">
        <f t="shared" si="4"/>
        <v>0.871462937747602</v>
      </c>
      <c r="D86" s="33">
        <f t="shared" si="5"/>
        <v>0.75944765186768</v>
      </c>
      <c r="E86" s="34">
        <f t="shared" si="6"/>
        <v>0.75944765186768</v>
      </c>
      <c r="F86" s="34"/>
      <c r="G86" s="34">
        <f>(A86-$F$2)^2</f>
        <v>1.8692185473917</v>
      </c>
    </row>
    <row r="87" spans="1:7">
      <c r="A87" s="28">
        <v>26.6</v>
      </c>
      <c r="B87" s="29">
        <v>27.7332261264317</v>
      </c>
      <c r="C87" s="32">
        <f t="shared" si="4"/>
        <v>1.1332261264317</v>
      </c>
      <c r="D87" s="33">
        <f t="shared" si="5"/>
        <v>1.28420145362739</v>
      </c>
      <c r="E87" s="34">
        <f t="shared" si="6"/>
        <v>1.28420145362739</v>
      </c>
      <c r="F87" s="34"/>
      <c r="G87" s="34">
        <f>(A87-$F$2)^2</f>
        <v>16.5420643971939</v>
      </c>
    </row>
    <row r="88" spans="1:7">
      <c r="A88" s="28">
        <v>22.5</v>
      </c>
      <c r="B88" s="29">
        <v>22.3279699283358</v>
      </c>
      <c r="C88" s="32">
        <f t="shared" si="4"/>
        <v>0.172030071664199</v>
      </c>
      <c r="D88" s="33">
        <f t="shared" si="5"/>
        <v>0.0295943455567896</v>
      </c>
      <c r="E88" s="34">
        <f t="shared" si="6"/>
        <v>0.0295943455567896</v>
      </c>
      <c r="F88" s="34"/>
      <c r="G88" s="34">
        <f>(A88-$F$2)^2</f>
        <v>0.00107625490165618</v>
      </c>
    </row>
    <row r="89" spans="1:7">
      <c r="A89" s="28">
        <v>22.2</v>
      </c>
      <c r="B89" s="29">
        <v>25.993656108542</v>
      </c>
      <c r="C89" s="32">
        <f t="shared" si="4"/>
        <v>3.793656108542</v>
      </c>
      <c r="D89" s="33">
        <f t="shared" si="5"/>
        <v>14.391826669878</v>
      </c>
      <c r="E89" s="34">
        <f t="shared" si="6"/>
        <v>14.391826669878</v>
      </c>
      <c r="F89" s="34"/>
      <c r="G89" s="34">
        <f>(A89-$F$2)^2</f>
        <v>0.110760049368076</v>
      </c>
    </row>
    <row r="90" spans="1:7">
      <c r="A90" s="28">
        <v>23.6</v>
      </c>
      <c r="B90" s="29">
        <v>31.027313575956</v>
      </c>
      <c r="C90" s="32">
        <f t="shared" si="4"/>
        <v>7.427313575956</v>
      </c>
      <c r="D90" s="33">
        <f t="shared" si="5"/>
        <v>55.1649869555803</v>
      </c>
      <c r="E90" s="34">
        <f t="shared" si="6"/>
        <v>55.1649869555803</v>
      </c>
      <c r="F90" s="34"/>
      <c r="G90" s="34">
        <f>(A90-$F$2)^2</f>
        <v>1.13890234185812</v>
      </c>
    </row>
    <row r="91" spans="1:7">
      <c r="A91" s="28">
        <v>28.7</v>
      </c>
      <c r="B91" s="29">
        <v>31.1146905097852</v>
      </c>
      <c r="C91" s="32">
        <f t="shared" si="4"/>
        <v>2.4146905097852</v>
      </c>
      <c r="D91" s="33">
        <f t="shared" si="5"/>
        <v>5.8307302580467</v>
      </c>
      <c r="E91" s="34">
        <f t="shared" si="6"/>
        <v>5.8307302580467</v>
      </c>
      <c r="F91" s="34"/>
      <c r="G91" s="34">
        <f>(A91-$F$2)^2</f>
        <v>38.034277835929</v>
      </c>
    </row>
    <row r="92" spans="1:7">
      <c r="A92" s="28">
        <v>22.6</v>
      </c>
      <c r="B92" s="29">
        <v>27.2354790040257</v>
      </c>
      <c r="C92" s="32">
        <f t="shared" si="4"/>
        <v>4.6354790040257</v>
      </c>
      <c r="D92" s="33">
        <f t="shared" si="5"/>
        <v>21.4876655967631</v>
      </c>
      <c r="E92" s="34">
        <f t="shared" si="6"/>
        <v>21.4876655967631</v>
      </c>
      <c r="F92" s="34"/>
      <c r="G92" s="34">
        <f>(A92-$F$2)^2</f>
        <v>0.00451499007951673</v>
      </c>
    </row>
    <row r="93" spans="1:7">
      <c r="A93" s="28">
        <v>22</v>
      </c>
      <c r="B93" s="29">
        <v>27.8108734378251</v>
      </c>
      <c r="C93" s="32">
        <f t="shared" si="4"/>
        <v>5.8108734378251</v>
      </c>
      <c r="D93" s="33">
        <f t="shared" si="5"/>
        <v>33.7662501104213</v>
      </c>
      <c r="E93" s="34">
        <f t="shared" si="6"/>
        <v>33.7662501104213</v>
      </c>
      <c r="F93" s="34"/>
      <c r="G93" s="34">
        <f>(A93-$F$2)^2</f>
        <v>0.283882579012354</v>
      </c>
    </row>
    <row r="94" spans="1:7">
      <c r="A94" s="28">
        <v>22.9</v>
      </c>
      <c r="B94" s="29">
        <v>28.9469527575098</v>
      </c>
      <c r="C94" s="32">
        <f t="shared" si="4"/>
        <v>6.0469527575098</v>
      </c>
      <c r="D94" s="33">
        <f t="shared" si="5"/>
        <v>36.5656376515554</v>
      </c>
      <c r="E94" s="34">
        <f t="shared" si="6"/>
        <v>36.5656376515554</v>
      </c>
      <c r="F94" s="34"/>
      <c r="G94" s="34">
        <f>(A94-$F$2)^2</f>
        <v>0.134831195613097</v>
      </c>
    </row>
    <row r="95" spans="1:7">
      <c r="A95" s="28">
        <v>25</v>
      </c>
      <c r="B95" s="29">
        <v>29.709391513456</v>
      </c>
      <c r="C95" s="32">
        <f t="shared" si="4"/>
        <v>4.709391513456</v>
      </c>
      <c r="D95" s="33">
        <f t="shared" si="5"/>
        <v>22.1783684270114</v>
      </c>
      <c r="E95" s="34">
        <f t="shared" si="6"/>
        <v>22.1783684270114</v>
      </c>
      <c r="F95" s="34"/>
      <c r="G95" s="34">
        <f>(A95-$F$2)^2</f>
        <v>6.08704463434817</v>
      </c>
    </row>
    <row r="96" spans="1:7">
      <c r="A96" s="28">
        <v>20.6</v>
      </c>
      <c r="B96" s="29">
        <v>26.764292956091</v>
      </c>
      <c r="C96" s="32">
        <f t="shared" si="4"/>
        <v>6.164292956091</v>
      </c>
      <c r="D96" s="33">
        <f t="shared" si="5"/>
        <v>37.9985076485131</v>
      </c>
      <c r="E96" s="34">
        <f t="shared" si="6"/>
        <v>37.9985076485131</v>
      </c>
      <c r="F96" s="34"/>
      <c r="G96" s="34">
        <f>(A96-$F$2)^2</f>
        <v>3.7357402865223</v>
      </c>
    </row>
    <row r="97" spans="1:7">
      <c r="A97" s="28">
        <v>28.4</v>
      </c>
      <c r="B97" s="29">
        <v>28.3830501150604</v>
      </c>
      <c r="C97" s="32">
        <f t="shared" si="4"/>
        <v>0.0169498849395993</v>
      </c>
      <c r="D97" s="33">
        <f t="shared" si="5"/>
        <v>0.000287298599465654</v>
      </c>
      <c r="E97" s="34">
        <f t="shared" si="6"/>
        <v>0.000287298599465654</v>
      </c>
      <c r="F97" s="34"/>
      <c r="G97" s="34">
        <f>(A97-$F$2)^2</f>
        <v>34.4239616303954</v>
      </c>
    </row>
    <row r="98" spans="1:7">
      <c r="A98" s="28">
        <v>21.4</v>
      </c>
      <c r="B98" s="29">
        <v>24.8486553482986</v>
      </c>
      <c r="C98" s="32">
        <f t="shared" si="4"/>
        <v>3.4486553482986</v>
      </c>
      <c r="D98" s="33">
        <f t="shared" si="5"/>
        <v>11.8932237113485</v>
      </c>
      <c r="E98" s="34">
        <f t="shared" si="6"/>
        <v>11.8932237113485</v>
      </c>
      <c r="F98" s="34"/>
      <c r="G98" s="34">
        <f>(A98-$F$2)^2</f>
        <v>1.2832501679452</v>
      </c>
    </row>
    <row r="99" spans="1:7">
      <c r="A99" s="28">
        <v>38.7</v>
      </c>
      <c r="B99" s="29">
        <v>35.5289655505707</v>
      </c>
      <c r="C99" s="32">
        <f t="shared" si="4"/>
        <v>3.1710344494293</v>
      </c>
      <c r="D99" s="33">
        <f t="shared" si="5"/>
        <v>10.0554594794674</v>
      </c>
      <c r="E99" s="34">
        <f t="shared" si="6"/>
        <v>10.0554594794674</v>
      </c>
      <c r="F99" s="34"/>
      <c r="G99" s="34">
        <f>(A99-$F$2)^2</f>
        <v>261.378151353715</v>
      </c>
    </row>
    <row r="100" spans="1:7">
      <c r="A100" s="28">
        <v>43.8</v>
      </c>
      <c r="B100" s="29">
        <v>35.1163424703466</v>
      </c>
      <c r="C100" s="32">
        <f t="shared" si="4"/>
        <v>8.6836575296534</v>
      </c>
      <c r="D100" s="33">
        <f t="shared" si="5"/>
        <v>75.4059080923061</v>
      </c>
      <c r="E100" s="34">
        <f t="shared" si="6"/>
        <v>75.4059080923061</v>
      </c>
      <c r="F100" s="34"/>
      <c r="G100" s="34">
        <f>(A100-$F$2)^2</f>
        <v>452.293526847786</v>
      </c>
    </row>
    <row r="101" spans="1:7">
      <c r="A101" s="28">
        <v>33.2</v>
      </c>
      <c r="B101" s="29">
        <v>32.5087118412383</v>
      </c>
      <c r="C101" s="32">
        <f t="shared" si="4"/>
        <v>0.691288158761701</v>
      </c>
      <c r="D101" s="33">
        <f t="shared" si="5"/>
        <v>0.477879318444142</v>
      </c>
      <c r="E101" s="34">
        <f t="shared" si="6"/>
        <v>0.477879318444142</v>
      </c>
      <c r="F101" s="34"/>
      <c r="G101" s="34">
        <f>(A101-$F$2)^2</f>
        <v>113.789020918933</v>
      </c>
    </row>
    <row r="102" spans="1:7">
      <c r="A102" s="28">
        <v>27.5</v>
      </c>
      <c r="B102" s="29">
        <v>24.3957818623802</v>
      </c>
      <c r="C102" s="32">
        <f t="shared" si="4"/>
        <v>3.1042181376198</v>
      </c>
      <c r="D102" s="33">
        <f t="shared" si="5"/>
        <v>9.63617024592774</v>
      </c>
      <c r="E102" s="34">
        <f t="shared" si="6"/>
        <v>9.63617024592774</v>
      </c>
      <c r="F102" s="34"/>
      <c r="G102" s="34">
        <f>(A102-$F$2)^2</f>
        <v>24.6730130137947</v>
      </c>
    </row>
    <row r="103" spans="1:7">
      <c r="A103" s="28">
        <v>26.5</v>
      </c>
      <c r="B103" s="29">
        <v>25.8545695212595</v>
      </c>
      <c r="C103" s="32">
        <f t="shared" si="4"/>
        <v>0.645430478740501</v>
      </c>
      <c r="D103" s="33">
        <f t="shared" si="5"/>
        <v>0.416580502887192</v>
      </c>
      <c r="E103" s="34">
        <f t="shared" si="6"/>
        <v>0.416580502887192</v>
      </c>
      <c r="F103" s="34"/>
      <c r="G103" s="34">
        <f>(A103-$F$2)^2</f>
        <v>15.7386256620161</v>
      </c>
    </row>
    <row r="104" spans="1:7">
      <c r="A104" s="28">
        <v>18.6</v>
      </c>
      <c r="B104" s="29">
        <v>19.6878692039811</v>
      </c>
      <c r="C104" s="32">
        <f t="shared" si="4"/>
        <v>1.0878692039811</v>
      </c>
      <c r="D104" s="33">
        <f t="shared" si="5"/>
        <v>1.18345940497047</v>
      </c>
      <c r="E104" s="34">
        <f t="shared" si="6"/>
        <v>1.18345940497047</v>
      </c>
      <c r="F104" s="34"/>
      <c r="G104" s="34">
        <f>(A104-$F$2)^2</f>
        <v>15.4669655829651</v>
      </c>
    </row>
    <row r="105" spans="1:7">
      <c r="A105" s="28">
        <v>19.3</v>
      </c>
      <c r="B105" s="29">
        <v>20.3876524700913</v>
      </c>
      <c r="C105" s="32">
        <f t="shared" si="4"/>
        <v>1.0876524700913</v>
      </c>
      <c r="D105" s="33">
        <f t="shared" si="5"/>
        <v>1.18298789569571</v>
      </c>
      <c r="E105" s="34">
        <f t="shared" si="6"/>
        <v>1.18298789569571</v>
      </c>
      <c r="F105" s="34"/>
      <c r="G105" s="34">
        <f>(A105-$F$2)^2</f>
        <v>10.4510367292101</v>
      </c>
    </row>
    <row r="106" spans="1:7">
      <c r="A106" s="28">
        <v>20.1</v>
      </c>
      <c r="B106" s="29">
        <v>21.7445531639026</v>
      </c>
      <c r="C106" s="32">
        <f t="shared" si="4"/>
        <v>1.6445531639026</v>
      </c>
      <c r="D106" s="33">
        <f t="shared" si="5"/>
        <v>2.70455510890205</v>
      </c>
      <c r="E106" s="34">
        <f t="shared" si="6"/>
        <v>2.70455510890205</v>
      </c>
      <c r="F106" s="34"/>
      <c r="G106" s="34">
        <f>(A106-$F$2)^2</f>
        <v>5.918546610633</v>
      </c>
    </row>
    <row r="107" spans="1:7">
      <c r="A107" s="28">
        <v>19.5</v>
      </c>
      <c r="B107" s="29">
        <v>18.5867510740482</v>
      </c>
      <c r="C107" s="32">
        <f t="shared" si="4"/>
        <v>0.913248925951802</v>
      </c>
      <c r="D107" s="33">
        <f t="shared" si="5"/>
        <v>0.834023600752119</v>
      </c>
      <c r="E107" s="34">
        <f t="shared" si="6"/>
        <v>0.834023600752119</v>
      </c>
      <c r="F107" s="34"/>
      <c r="G107" s="34">
        <f>(A107-$F$2)^2</f>
        <v>9.19791419956585</v>
      </c>
    </row>
    <row r="108" spans="1:7">
      <c r="A108" s="28">
        <v>19.5</v>
      </c>
      <c r="B108" s="29">
        <v>16.7978521871983</v>
      </c>
      <c r="C108" s="32">
        <f t="shared" si="4"/>
        <v>2.7021478128017</v>
      </c>
      <c r="D108" s="33">
        <f t="shared" si="5"/>
        <v>7.30160280222902</v>
      </c>
      <c r="E108" s="34">
        <f t="shared" si="6"/>
        <v>7.30160280222902</v>
      </c>
      <c r="F108" s="34"/>
      <c r="G108" s="34">
        <f>(A108-$F$2)^2</f>
        <v>9.19791419956585</v>
      </c>
    </row>
    <row r="109" spans="1:7">
      <c r="A109" s="28">
        <v>20.4</v>
      </c>
      <c r="B109" s="29">
        <v>20.4585384060584</v>
      </c>
      <c r="C109" s="32">
        <f t="shared" si="4"/>
        <v>0.0585384060583998</v>
      </c>
      <c r="D109" s="33">
        <f t="shared" si="5"/>
        <v>0.0034267449838581</v>
      </c>
      <c r="E109" s="34">
        <f t="shared" si="6"/>
        <v>0.0034267449838581</v>
      </c>
      <c r="F109" s="34"/>
      <c r="G109" s="34">
        <f>(A109-$F$2)^2</f>
        <v>4.54886281616659</v>
      </c>
    </row>
    <row r="110" spans="1:7">
      <c r="A110" s="28">
        <v>19.8</v>
      </c>
      <c r="B110" s="29">
        <v>22.3215305783183</v>
      </c>
      <c r="C110" s="32">
        <f t="shared" si="4"/>
        <v>2.5215305783183</v>
      </c>
      <c r="D110" s="33">
        <f t="shared" si="5"/>
        <v>6.35811645739421</v>
      </c>
      <c r="E110" s="34">
        <f t="shared" si="6"/>
        <v>6.35811645739421</v>
      </c>
      <c r="F110" s="34"/>
      <c r="G110" s="34">
        <f>(A110-$F$2)^2</f>
        <v>7.46823040509942</v>
      </c>
    </row>
    <row r="111" spans="1:7">
      <c r="A111" s="28">
        <v>19.4</v>
      </c>
      <c r="B111" s="29">
        <v>19.9846557327006</v>
      </c>
      <c r="C111" s="32">
        <f t="shared" si="4"/>
        <v>0.5846557327006</v>
      </c>
      <c r="D111" s="33">
        <f t="shared" si="5"/>
        <v>0.341822325779676</v>
      </c>
      <c r="E111" s="34">
        <f t="shared" si="6"/>
        <v>0.341822325779676</v>
      </c>
      <c r="F111" s="34"/>
      <c r="G111" s="34">
        <f>(A111-$F$2)^2</f>
        <v>9.81447546438799</v>
      </c>
    </row>
    <row r="112" spans="1:7">
      <c r="A112" s="28">
        <v>21.7</v>
      </c>
      <c r="B112" s="29">
        <v>20.09951316386</v>
      </c>
      <c r="C112" s="32">
        <f t="shared" si="4"/>
        <v>1.60048683614</v>
      </c>
      <c r="D112" s="33">
        <f t="shared" si="5"/>
        <v>2.56155811265743</v>
      </c>
      <c r="E112" s="34">
        <f t="shared" si="6"/>
        <v>2.56155811265743</v>
      </c>
      <c r="F112" s="34"/>
      <c r="G112" s="34">
        <f>(A112-$F$2)^2</f>
        <v>0.693566373478774</v>
      </c>
    </row>
    <row r="113" spans="1:7">
      <c r="A113" s="28">
        <v>22.8</v>
      </c>
      <c r="B113" s="29">
        <v>26.7022620661548</v>
      </c>
      <c r="C113" s="32">
        <f t="shared" si="4"/>
        <v>3.9022620661548</v>
      </c>
      <c r="D113" s="33">
        <f t="shared" si="5"/>
        <v>15.2276492329507</v>
      </c>
      <c r="E113" s="34">
        <f t="shared" si="6"/>
        <v>15.2276492329507</v>
      </c>
      <c r="F113" s="34"/>
      <c r="G113" s="34">
        <f>(A113-$F$2)^2</f>
        <v>0.0713924604352377</v>
      </c>
    </row>
    <row r="114" spans="1:7">
      <c r="A114" s="28">
        <v>18.8</v>
      </c>
      <c r="B114" s="29">
        <v>20.8711526689184</v>
      </c>
      <c r="C114" s="32">
        <f t="shared" si="4"/>
        <v>2.0711526689184</v>
      </c>
      <c r="D114" s="33">
        <f t="shared" si="5"/>
        <v>4.2896733779678</v>
      </c>
      <c r="E114" s="34">
        <f t="shared" si="6"/>
        <v>4.2896733779678</v>
      </c>
      <c r="F114" s="34"/>
      <c r="G114" s="34">
        <f>(A114-$F$2)^2</f>
        <v>13.9338430533208</v>
      </c>
    </row>
    <row r="115" spans="1:7">
      <c r="A115" s="28">
        <v>18.7</v>
      </c>
      <c r="B115" s="29">
        <v>20.7244359353822</v>
      </c>
      <c r="C115" s="32">
        <f t="shared" si="4"/>
        <v>2.0244359353822</v>
      </c>
      <c r="D115" s="33">
        <f t="shared" si="5"/>
        <v>4.09834085646681</v>
      </c>
      <c r="E115" s="34">
        <f t="shared" si="6"/>
        <v>4.09834085646681</v>
      </c>
      <c r="F115" s="34"/>
      <c r="G115" s="34">
        <f>(A115-$F$2)^2</f>
        <v>14.690404318143</v>
      </c>
    </row>
    <row r="116" spans="1:7">
      <c r="A116" s="28">
        <v>18.5</v>
      </c>
      <c r="B116" s="29">
        <v>25.3842099209649</v>
      </c>
      <c r="C116" s="32">
        <f t="shared" si="4"/>
        <v>6.8842099209649</v>
      </c>
      <c r="D116" s="33">
        <f t="shared" si="5"/>
        <v>47.3923462359115</v>
      </c>
      <c r="E116" s="34">
        <f t="shared" si="6"/>
        <v>47.3923462359115</v>
      </c>
      <c r="F116" s="34"/>
      <c r="G116" s="34">
        <f>(A116-$F$2)^2</f>
        <v>16.2635268477872</v>
      </c>
    </row>
    <row r="117" spans="1:7">
      <c r="A117" s="28">
        <v>18.3</v>
      </c>
      <c r="B117" s="29">
        <v>20.161359438946</v>
      </c>
      <c r="C117" s="32">
        <f t="shared" si="4"/>
        <v>1.861359438946</v>
      </c>
      <c r="D117" s="33">
        <f t="shared" si="5"/>
        <v>3.46465896095337</v>
      </c>
      <c r="E117" s="34">
        <f t="shared" si="6"/>
        <v>3.46465896095337</v>
      </c>
      <c r="F117" s="34"/>
      <c r="G117" s="34">
        <f>(A117-$F$2)^2</f>
        <v>17.9166493774315</v>
      </c>
    </row>
    <row r="118" spans="1:7">
      <c r="A118" s="28">
        <v>21.2</v>
      </c>
      <c r="B118" s="29">
        <v>23.2585679878937</v>
      </c>
      <c r="C118" s="32">
        <f t="shared" si="4"/>
        <v>2.0585679878937</v>
      </c>
      <c r="D118" s="33">
        <f t="shared" si="5"/>
        <v>4.23770216078071</v>
      </c>
      <c r="E118" s="34">
        <f t="shared" si="6"/>
        <v>4.23770216078071</v>
      </c>
      <c r="F118" s="34"/>
      <c r="G118" s="34">
        <f>(A118-$F$2)^2</f>
        <v>1.77637269758947</v>
      </c>
    </row>
    <row r="119" spans="1:7">
      <c r="A119" s="28">
        <v>19.2</v>
      </c>
      <c r="B119" s="29">
        <v>23.6762141446142</v>
      </c>
      <c r="C119" s="32">
        <f t="shared" si="4"/>
        <v>4.4762141446142</v>
      </c>
      <c r="D119" s="33">
        <f t="shared" si="5"/>
        <v>20.0364930684442</v>
      </c>
      <c r="E119" s="34">
        <f t="shared" si="6"/>
        <v>20.0364930684442</v>
      </c>
      <c r="F119" s="34"/>
      <c r="G119" s="34">
        <f>(A119-$F$2)^2</f>
        <v>11.1075979940323</v>
      </c>
    </row>
    <row r="120" spans="1:7">
      <c r="A120" s="28">
        <v>20.4</v>
      </c>
      <c r="B120" s="29">
        <v>20.3880810149337</v>
      </c>
      <c r="C120" s="32">
        <f t="shared" si="4"/>
        <v>0.0119189850662984</v>
      </c>
      <c r="D120" s="33">
        <f t="shared" si="5"/>
        <v>0.000142062205010644</v>
      </c>
      <c r="E120" s="34">
        <f t="shared" si="6"/>
        <v>0.000142062205010644</v>
      </c>
      <c r="F120" s="34"/>
      <c r="G120" s="34">
        <f>(A120-$F$2)^2</f>
        <v>4.54886281616659</v>
      </c>
    </row>
    <row r="121" spans="1:7">
      <c r="A121" s="28">
        <v>19.3</v>
      </c>
      <c r="B121" s="29">
        <v>20.7260745580045</v>
      </c>
      <c r="C121" s="32">
        <f t="shared" si="4"/>
        <v>1.4260745580045</v>
      </c>
      <c r="D121" s="33">
        <f t="shared" si="5"/>
        <v>2.03368864498772</v>
      </c>
      <c r="E121" s="34">
        <f t="shared" si="6"/>
        <v>2.03368864498772</v>
      </c>
      <c r="F121" s="34"/>
      <c r="G121" s="34">
        <f>(A121-$F$2)^2</f>
        <v>10.4510367292101</v>
      </c>
    </row>
    <row r="122" spans="1:7">
      <c r="A122" s="28">
        <v>22</v>
      </c>
      <c r="B122" s="29">
        <v>21.938887926847</v>
      </c>
      <c r="C122" s="32">
        <f t="shared" si="4"/>
        <v>0.0611120731530015</v>
      </c>
      <c r="D122" s="33">
        <f t="shared" si="5"/>
        <v>0.00373468548505781</v>
      </c>
      <c r="E122" s="34">
        <f t="shared" si="6"/>
        <v>0.00373468548505781</v>
      </c>
      <c r="F122" s="34"/>
      <c r="G122" s="34">
        <f>(A122-$F$2)^2</f>
        <v>0.283882579012354</v>
      </c>
    </row>
    <row r="123" spans="1:7">
      <c r="A123" s="28">
        <v>20.3</v>
      </c>
      <c r="B123" s="29">
        <v>22.7149506864058</v>
      </c>
      <c r="C123" s="32">
        <f t="shared" si="4"/>
        <v>2.4149506864058</v>
      </c>
      <c r="D123" s="33">
        <f t="shared" si="5"/>
        <v>5.83198681777184</v>
      </c>
      <c r="E123" s="34">
        <f t="shared" si="6"/>
        <v>5.83198681777184</v>
      </c>
      <c r="F123" s="34"/>
      <c r="G123" s="34">
        <f>(A123-$F$2)^2</f>
        <v>4.98542408098873</v>
      </c>
    </row>
    <row r="124" spans="1:7">
      <c r="A124" s="28">
        <v>20.5</v>
      </c>
      <c r="B124" s="29">
        <v>20.5766517751767</v>
      </c>
      <c r="C124" s="32">
        <f t="shared" si="4"/>
        <v>0.0766517751766997</v>
      </c>
      <c r="D124" s="33">
        <f t="shared" si="5"/>
        <v>0.00587549463773932</v>
      </c>
      <c r="E124" s="34">
        <f t="shared" si="6"/>
        <v>0.00587549463773932</v>
      </c>
      <c r="F124" s="34"/>
      <c r="G124" s="34">
        <f>(A124-$F$2)^2</f>
        <v>4.13230155134445</v>
      </c>
    </row>
    <row r="125" spans="1:7">
      <c r="A125" s="28">
        <v>17.3</v>
      </c>
      <c r="B125" s="29">
        <v>16.626939971396</v>
      </c>
      <c r="C125" s="32">
        <f t="shared" si="4"/>
        <v>0.673060028604002</v>
      </c>
      <c r="D125" s="33">
        <f t="shared" si="5"/>
        <v>0.45300980210442</v>
      </c>
      <c r="E125" s="34">
        <f t="shared" si="6"/>
        <v>0.45300980210442</v>
      </c>
      <c r="F125" s="34"/>
      <c r="G125" s="34">
        <f>(A125-$F$2)^2</f>
        <v>27.3822620256529</v>
      </c>
    </row>
    <row r="126" spans="1:7">
      <c r="A126" s="28">
        <v>18.8</v>
      </c>
      <c r="B126" s="29">
        <v>20.4912857025951</v>
      </c>
      <c r="C126" s="32">
        <f t="shared" si="4"/>
        <v>1.6912857025951</v>
      </c>
      <c r="D126" s="33">
        <f t="shared" si="5"/>
        <v>2.8604473278026</v>
      </c>
      <c r="E126" s="34">
        <f t="shared" si="6"/>
        <v>2.8604473278026</v>
      </c>
      <c r="F126" s="34"/>
      <c r="G126" s="34">
        <f>(A126-$F$2)^2</f>
        <v>13.9338430533208</v>
      </c>
    </row>
    <row r="127" spans="1:7">
      <c r="A127" s="28">
        <v>21.4</v>
      </c>
      <c r="B127" s="29">
        <v>22.6158494618476</v>
      </c>
      <c r="C127" s="32">
        <f t="shared" si="4"/>
        <v>1.2158494618476</v>
      </c>
      <c r="D127" s="33">
        <f t="shared" si="5"/>
        <v>1.4782899138751</v>
      </c>
      <c r="E127" s="34">
        <f t="shared" si="6"/>
        <v>1.4782899138751</v>
      </c>
      <c r="F127" s="34"/>
      <c r="G127" s="34">
        <f>(A127-$F$2)^2</f>
        <v>1.2832501679452</v>
      </c>
    </row>
    <row r="128" spans="1:7">
      <c r="A128" s="28">
        <v>15.7</v>
      </c>
      <c r="B128" s="29">
        <v>14.5085439359422</v>
      </c>
      <c r="C128" s="32">
        <f t="shared" si="4"/>
        <v>1.1914560640578</v>
      </c>
      <c r="D128" s="33">
        <f t="shared" si="5"/>
        <v>1.4195675525801</v>
      </c>
      <c r="E128" s="34">
        <f t="shared" si="6"/>
        <v>1.4195675525801</v>
      </c>
      <c r="F128" s="34"/>
      <c r="G128" s="34">
        <f>(A128-$F$2)^2</f>
        <v>46.6872422628072</v>
      </c>
    </row>
    <row r="129" spans="1:7">
      <c r="A129" s="28">
        <v>16.2</v>
      </c>
      <c r="B129" s="29">
        <v>15.3850122291123</v>
      </c>
      <c r="C129" s="32">
        <f t="shared" si="4"/>
        <v>0.814987770887699</v>
      </c>
      <c r="D129" s="33">
        <f t="shared" si="5"/>
        <v>0.6642050666965</v>
      </c>
      <c r="E129" s="34">
        <f t="shared" si="6"/>
        <v>0.6642050666965</v>
      </c>
      <c r="F129" s="34"/>
      <c r="G129" s="34">
        <f>(A129-$F$2)^2</f>
        <v>40.1044359386965</v>
      </c>
    </row>
    <row r="130" spans="1:7">
      <c r="A130" s="28">
        <v>18</v>
      </c>
      <c r="B130" s="29">
        <v>19.0667146156689</v>
      </c>
      <c r="C130" s="32">
        <f t="shared" ref="C130:C193" si="7">ABS(A130-B130)</f>
        <v>1.0667146156689</v>
      </c>
      <c r="D130" s="33">
        <f t="shared" ref="D130:D193" si="8">C130^2</f>
        <v>1.13788007128165</v>
      </c>
      <c r="E130" s="34">
        <f t="shared" ref="E130:E193" si="9">(A130-B130)^2</f>
        <v>1.13788007128165</v>
      </c>
      <c r="F130" s="34"/>
      <c r="G130" s="34">
        <f>(A130-$F$2)^2</f>
        <v>20.5463331718979</v>
      </c>
    </row>
    <row r="131" spans="1:7">
      <c r="A131" s="28">
        <v>14.3</v>
      </c>
      <c r="B131" s="29">
        <v>14.1837930981247</v>
      </c>
      <c r="C131" s="32">
        <f t="shared" si="7"/>
        <v>0.116206901875302</v>
      </c>
      <c r="D131" s="33">
        <f t="shared" si="8"/>
        <v>0.013504044043456</v>
      </c>
      <c r="E131" s="34">
        <f t="shared" si="9"/>
        <v>0.013504044043456</v>
      </c>
      <c r="F131" s="34"/>
      <c r="G131" s="34">
        <f>(A131-$F$2)^2</f>
        <v>67.7790999703171</v>
      </c>
    </row>
    <row r="132" spans="1:7">
      <c r="A132" s="28">
        <v>19.2</v>
      </c>
      <c r="B132" s="29">
        <v>20.1522720922694</v>
      </c>
      <c r="C132" s="32">
        <f t="shared" si="7"/>
        <v>0.9522720922694</v>
      </c>
      <c r="D132" s="33">
        <f t="shared" si="8"/>
        <v>0.906822137715141</v>
      </c>
      <c r="E132" s="34">
        <f t="shared" si="9"/>
        <v>0.906822137715141</v>
      </c>
      <c r="F132" s="34"/>
      <c r="G132" s="34">
        <f>(A132-$F$2)^2</f>
        <v>11.1075979940323</v>
      </c>
    </row>
    <row r="133" spans="1:7">
      <c r="A133" s="28">
        <v>19.6</v>
      </c>
      <c r="B133" s="29">
        <v>19.4437707348398</v>
      </c>
      <c r="C133" s="32">
        <f t="shared" si="7"/>
        <v>0.156229265160203</v>
      </c>
      <c r="D133" s="33">
        <f t="shared" si="8"/>
        <v>0.024407583292497</v>
      </c>
      <c r="E133" s="34">
        <f t="shared" si="9"/>
        <v>0.024407583292497</v>
      </c>
      <c r="F133" s="34"/>
      <c r="G133" s="34">
        <f>(A133-$F$2)^2</f>
        <v>8.6013529347437</v>
      </c>
    </row>
    <row r="134" spans="1:7">
      <c r="A134" s="28">
        <v>23</v>
      </c>
      <c r="B134" s="29">
        <v>20.0176059961459</v>
      </c>
      <c r="C134" s="32">
        <f t="shared" si="7"/>
        <v>2.9823940038541</v>
      </c>
      <c r="D134" s="33">
        <f t="shared" si="8"/>
        <v>8.89467399422489</v>
      </c>
      <c r="E134" s="34">
        <f t="shared" si="9"/>
        <v>8.89467399422489</v>
      </c>
      <c r="F134" s="34"/>
      <c r="G134" s="34">
        <f>(A134-$F$2)^2</f>
        <v>0.218269930790958</v>
      </c>
    </row>
    <row r="135" spans="1:7">
      <c r="A135" s="28">
        <v>18.4</v>
      </c>
      <c r="B135" s="29">
        <v>15.5152503097459</v>
      </c>
      <c r="C135" s="32">
        <f t="shared" si="7"/>
        <v>2.8847496902541</v>
      </c>
      <c r="D135" s="33">
        <f t="shared" si="8"/>
        <v>8.32178077542112</v>
      </c>
      <c r="E135" s="34">
        <f t="shared" si="9"/>
        <v>8.32178077542112</v>
      </c>
      <c r="F135" s="34"/>
      <c r="G135" s="34">
        <f>(A135-$F$2)^2</f>
        <v>17.0800881126094</v>
      </c>
    </row>
    <row r="136" spans="1:7">
      <c r="A136" s="28">
        <v>15.6</v>
      </c>
      <c r="B136" s="29">
        <v>13.2640711174828</v>
      </c>
      <c r="C136" s="32">
        <f t="shared" si="7"/>
        <v>2.3359288825172</v>
      </c>
      <c r="D136" s="33">
        <f t="shared" si="8"/>
        <v>5.45656374417805</v>
      </c>
      <c r="E136" s="34">
        <f t="shared" si="9"/>
        <v>5.45656374417805</v>
      </c>
      <c r="F136" s="34"/>
      <c r="G136" s="34">
        <f>(A136-$F$2)^2</f>
        <v>48.0638035276293</v>
      </c>
    </row>
    <row r="137" spans="1:7">
      <c r="A137" s="28">
        <v>18.1</v>
      </c>
      <c r="B137" s="29">
        <v>17.0028754474371</v>
      </c>
      <c r="C137" s="32">
        <f t="shared" si="7"/>
        <v>1.0971245525629</v>
      </c>
      <c r="D137" s="33">
        <f t="shared" si="8"/>
        <v>1.20368228383635</v>
      </c>
      <c r="E137" s="34">
        <f t="shared" si="9"/>
        <v>1.20368228383635</v>
      </c>
      <c r="F137" s="34"/>
      <c r="G137" s="34">
        <f>(A137-$F$2)^2</f>
        <v>19.6497719070758</v>
      </c>
    </row>
    <row r="138" spans="1:7">
      <c r="A138" s="28">
        <v>17.4</v>
      </c>
      <c r="B138" s="29">
        <v>15.6683567257119</v>
      </c>
      <c r="C138" s="32">
        <f t="shared" si="7"/>
        <v>1.7316432742881</v>
      </c>
      <c r="D138" s="33">
        <f t="shared" si="8"/>
        <v>2.9985884293872</v>
      </c>
      <c r="E138" s="34">
        <f t="shared" si="9"/>
        <v>2.9985884293872</v>
      </c>
      <c r="F138" s="34"/>
      <c r="G138" s="34">
        <f>(A138-$F$2)^2</f>
        <v>26.3457007608308</v>
      </c>
    </row>
    <row r="139" spans="1:7">
      <c r="A139" s="28">
        <v>17.1</v>
      </c>
      <c r="B139" s="29">
        <v>19.5505372511745</v>
      </c>
      <c r="C139" s="32">
        <f t="shared" si="7"/>
        <v>2.4505372511745</v>
      </c>
      <c r="D139" s="33">
        <f t="shared" si="8"/>
        <v>6.00513281939387</v>
      </c>
      <c r="E139" s="34">
        <f t="shared" si="9"/>
        <v>6.00513281939387</v>
      </c>
      <c r="F139" s="34"/>
      <c r="G139" s="34">
        <f>(A139-$F$2)^2</f>
        <v>29.5153845552972</v>
      </c>
    </row>
    <row r="140" spans="1:7">
      <c r="A140" s="28">
        <v>13.3</v>
      </c>
      <c r="B140" s="29">
        <v>13.9644776996118</v>
      </c>
      <c r="C140" s="32">
        <f t="shared" si="7"/>
        <v>0.664477699611799</v>
      </c>
      <c r="D140" s="33">
        <f t="shared" si="8"/>
        <v>0.441530613281389</v>
      </c>
      <c r="E140" s="34">
        <f t="shared" si="9"/>
        <v>0.441530613281389</v>
      </c>
      <c r="F140" s="34"/>
      <c r="G140" s="34">
        <f>(A140-$F$2)^2</f>
        <v>85.2447126185385</v>
      </c>
    </row>
    <row r="141" spans="1:7">
      <c r="A141" s="28">
        <v>17.8</v>
      </c>
      <c r="B141" s="29">
        <v>15.9210913768612</v>
      </c>
      <c r="C141" s="32">
        <f t="shared" si="7"/>
        <v>1.8789086231388</v>
      </c>
      <c r="D141" s="33">
        <f t="shared" si="8"/>
        <v>3.53029761410534</v>
      </c>
      <c r="E141" s="34">
        <f t="shared" si="9"/>
        <v>3.53029761410534</v>
      </c>
      <c r="F141" s="34"/>
      <c r="G141" s="34">
        <f>(A141-$F$2)^2</f>
        <v>22.3994557015422</v>
      </c>
    </row>
    <row r="142" spans="1:7">
      <c r="A142" s="28">
        <v>14</v>
      </c>
      <c r="B142" s="29">
        <v>12.864489858161</v>
      </c>
      <c r="C142" s="32">
        <f t="shared" si="7"/>
        <v>1.135510141839</v>
      </c>
      <c r="D142" s="33">
        <f t="shared" si="8"/>
        <v>1.28938328221922</v>
      </c>
      <c r="E142" s="34">
        <f t="shared" si="9"/>
        <v>1.28938328221922</v>
      </c>
      <c r="F142" s="34"/>
      <c r="G142" s="34">
        <f>(A142-$F$2)^2</f>
        <v>72.8087837647835</v>
      </c>
    </row>
    <row r="143" spans="1:7">
      <c r="A143" s="28">
        <v>14.4</v>
      </c>
      <c r="B143" s="29">
        <v>3.25367462293346</v>
      </c>
      <c r="C143" s="32">
        <f t="shared" si="7"/>
        <v>11.1463253770665</v>
      </c>
      <c r="D143" s="33">
        <f t="shared" si="8"/>
        <v>124.240569411438</v>
      </c>
      <c r="E143" s="34">
        <f t="shared" si="9"/>
        <v>124.240569411438</v>
      </c>
      <c r="F143" s="34"/>
      <c r="G143" s="34">
        <f>(A143-$F$2)^2</f>
        <v>66.142538705495</v>
      </c>
    </row>
    <row r="144" spans="1:7">
      <c r="A144" s="28">
        <v>13.4</v>
      </c>
      <c r="B144" s="29">
        <v>14.0528009514753</v>
      </c>
      <c r="C144" s="32">
        <f t="shared" si="7"/>
        <v>0.652800951475299</v>
      </c>
      <c r="D144" s="33">
        <f t="shared" si="8"/>
        <v>0.426149082247056</v>
      </c>
      <c r="E144" s="34">
        <f t="shared" si="9"/>
        <v>0.426149082247056</v>
      </c>
      <c r="F144" s="34"/>
      <c r="G144" s="34">
        <f>(A144-$F$2)^2</f>
        <v>83.4081513537164</v>
      </c>
    </row>
    <row r="145" spans="1:7">
      <c r="A145" s="28">
        <v>15.6</v>
      </c>
      <c r="B145" s="29">
        <v>11.8994867112419</v>
      </c>
      <c r="C145" s="32">
        <f t="shared" si="7"/>
        <v>3.7005132887581</v>
      </c>
      <c r="D145" s="33">
        <f t="shared" si="8"/>
        <v>13.6937986002753</v>
      </c>
      <c r="E145" s="34">
        <f t="shared" si="9"/>
        <v>13.6937986002753</v>
      </c>
      <c r="F145" s="34"/>
      <c r="G145" s="34">
        <f>(A145-$F$2)^2</f>
        <v>48.0638035276293</v>
      </c>
    </row>
    <row r="146" spans="1:7">
      <c r="A146" s="28">
        <v>11.8</v>
      </c>
      <c r="B146" s="29">
        <v>8.51817038594671</v>
      </c>
      <c r="C146" s="32">
        <f t="shared" si="7"/>
        <v>3.28182961405329</v>
      </c>
      <c r="D146" s="33">
        <f t="shared" si="8"/>
        <v>10.7704056156772</v>
      </c>
      <c r="E146" s="34">
        <f t="shared" si="9"/>
        <v>10.7704056156772</v>
      </c>
      <c r="F146" s="34"/>
      <c r="G146" s="34">
        <f>(A146-$F$2)^2</f>
        <v>115.193131590871</v>
      </c>
    </row>
    <row r="147" spans="1:7">
      <c r="A147" s="28">
        <v>13.8</v>
      </c>
      <c r="B147" s="29">
        <v>11.9111926195943</v>
      </c>
      <c r="C147" s="32">
        <f t="shared" si="7"/>
        <v>1.8888073804057</v>
      </c>
      <c r="D147" s="33">
        <f t="shared" si="8"/>
        <v>3.56759332027505</v>
      </c>
      <c r="E147" s="34">
        <f t="shared" si="9"/>
        <v>3.56759332027505</v>
      </c>
      <c r="F147" s="34"/>
      <c r="G147" s="34">
        <f>(A147-$F$2)^2</f>
        <v>76.2619062944278</v>
      </c>
    </row>
    <row r="148" spans="1:7">
      <c r="A148" s="28">
        <v>15.6</v>
      </c>
      <c r="B148" s="29">
        <v>15.7519350085271</v>
      </c>
      <c r="C148" s="32">
        <f t="shared" si="7"/>
        <v>0.151935008527101</v>
      </c>
      <c r="D148" s="33">
        <f t="shared" si="8"/>
        <v>0.0230842468161302</v>
      </c>
      <c r="E148" s="34">
        <f t="shared" si="9"/>
        <v>0.0230842468161302</v>
      </c>
      <c r="F148" s="34"/>
      <c r="G148" s="34">
        <f>(A148-$F$2)^2</f>
        <v>48.0638035276293</v>
      </c>
    </row>
    <row r="149" spans="1:7">
      <c r="A149" s="28">
        <v>14.6</v>
      </c>
      <c r="B149" s="29">
        <v>8.24197605565579</v>
      </c>
      <c r="C149" s="32">
        <f t="shared" si="7"/>
        <v>6.35802394434421</v>
      </c>
      <c r="D149" s="33">
        <f t="shared" si="8"/>
        <v>40.4244684768543</v>
      </c>
      <c r="E149" s="34">
        <f t="shared" si="9"/>
        <v>40.4244684768543</v>
      </c>
      <c r="F149" s="34"/>
      <c r="G149" s="34">
        <f>(A149-$F$2)^2</f>
        <v>62.9294161758507</v>
      </c>
    </row>
    <row r="150" spans="1:7">
      <c r="A150" s="28">
        <v>17.8</v>
      </c>
      <c r="B150" s="29">
        <v>8.55961846734378</v>
      </c>
      <c r="C150" s="32">
        <f t="shared" si="7"/>
        <v>9.24038153265622</v>
      </c>
      <c r="D150" s="33">
        <f t="shared" si="8"/>
        <v>85.3846508690541</v>
      </c>
      <c r="E150" s="34">
        <f t="shared" si="9"/>
        <v>85.3846508690541</v>
      </c>
      <c r="F150" s="34"/>
      <c r="G150" s="34">
        <f>(A150-$F$2)^2</f>
        <v>22.3994557015422</v>
      </c>
    </row>
    <row r="151" spans="1:7">
      <c r="A151" s="28">
        <v>15.4</v>
      </c>
      <c r="B151" s="29">
        <v>14.521566258726</v>
      </c>
      <c r="C151" s="32">
        <f t="shared" si="7"/>
        <v>0.878433741274</v>
      </c>
      <c r="D151" s="33">
        <f t="shared" si="8"/>
        <v>0.771645837808636</v>
      </c>
      <c r="E151" s="34">
        <f t="shared" si="9"/>
        <v>0.771645837808636</v>
      </c>
      <c r="F151" s="34"/>
      <c r="G151" s="34">
        <f>(A151-$F$2)^2</f>
        <v>50.8769260572736</v>
      </c>
    </row>
    <row r="152" spans="1:7">
      <c r="A152" s="28">
        <v>21.5</v>
      </c>
      <c r="B152" s="29">
        <v>21.1198898481395</v>
      </c>
      <c r="C152" s="32">
        <f t="shared" si="7"/>
        <v>0.380110151860499</v>
      </c>
      <c r="D152" s="33">
        <f t="shared" si="8"/>
        <v>0.144483727547412</v>
      </c>
      <c r="E152" s="34">
        <f t="shared" si="9"/>
        <v>0.144483727547412</v>
      </c>
      <c r="F152" s="34"/>
      <c r="G152" s="34">
        <f>(A152-$F$2)^2</f>
        <v>1.06668890312305</v>
      </c>
    </row>
    <row r="153" spans="1:7">
      <c r="A153" s="28">
        <v>19.6</v>
      </c>
      <c r="B153" s="29">
        <v>18.1796353201444</v>
      </c>
      <c r="C153" s="32">
        <f t="shared" si="7"/>
        <v>1.4203646798556</v>
      </c>
      <c r="D153" s="33">
        <f t="shared" si="8"/>
        <v>2.01743582378131</v>
      </c>
      <c r="E153" s="34">
        <f t="shared" si="9"/>
        <v>2.01743582378131</v>
      </c>
      <c r="F153" s="34"/>
      <c r="G153" s="34">
        <f>(A153-$F$2)^2</f>
        <v>8.6013529347437</v>
      </c>
    </row>
    <row r="154" spans="1:7">
      <c r="A154" s="28">
        <v>15.3</v>
      </c>
      <c r="B154" s="29">
        <v>20.493811387444</v>
      </c>
      <c r="C154" s="32">
        <f t="shared" si="7"/>
        <v>5.193811387444</v>
      </c>
      <c r="D154" s="33">
        <f t="shared" si="8"/>
        <v>26.975676728343</v>
      </c>
      <c r="E154" s="34">
        <f t="shared" si="9"/>
        <v>26.975676728343</v>
      </c>
      <c r="F154" s="34"/>
      <c r="G154" s="34">
        <f>(A154-$F$2)^2</f>
        <v>52.3134873220957</v>
      </c>
    </row>
    <row r="155" spans="1:7">
      <c r="A155" s="28">
        <v>19.4</v>
      </c>
      <c r="B155" s="29">
        <v>17.2032694047744</v>
      </c>
      <c r="C155" s="32">
        <f t="shared" si="7"/>
        <v>2.1967305952256</v>
      </c>
      <c r="D155" s="33">
        <f t="shared" si="8"/>
        <v>4.82562530800022</v>
      </c>
      <c r="E155" s="34">
        <f t="shared" si="9"/>
        <v>4.82562530800022</v>
      </c>
      <c r="F155" s="34"/>
      <c r="G155" s="34">
        <f>(A155-$F$2)^2</f>
        <v>9.81447546438799</v>
      </c>
    </row>
    <row r="156" spans="1:7">
      <c r="A156" s="28">
        <v>17</v>
      </c>
      <c r="B156" s="29">
        <v>22.6354436364636</v>
      </c>
      <c r="C156" s="32">
        <f t="shared" si="7"/>
        <v>5.6354436364636</v>
      </c>
      <c r="D156" s="33">
        <f t="shared" si="8"/>
        <v>31.7582249797581</v>
      </c>
      <c r="E156" s="34">
        <f t="shared" si="9"/>
        <v>31.7582249797581</v>
      </c>
      <c r="F156" s="34"/>
      <c r="G156" s="34">
        <f>(A156-$F$2)^2</f>
        <v>30.6119458201193</v>
      </c>
    </row>
    <row r="157" spans="1:7">
      <c r="A157" s="28">
        <v>15.6</v>
      </c>
      <c r="B157" s="29">
        <v>20.0106746883791</v>
      </c>
      <c r="C157" s="32">
        <f t="shared" si="7"/>
        <v>4.4106746883791</v>
      </c>
      <c r="D157" s="33">
        <f t="shared" si="8"/>
        <v>19.4540512067081</v>
      </c>
      <c r="E157" s="34">
        <f t="shared" si="9"/>
        <v>19.4540512067081</v>
      </c>
      <c r="F157" s="34"/>
      <c r="G157" s="34">
        <f>(A157-$F$2)^2</f>
        <v>48.0638035276293</v>
      </c>
    </row>
    <row r="158" spans="1:7">
      <c r="A158" s="28">
        <v>13.1</v>
      </c>
      <c r="B158" s="29">
        <v>13.5888857172366</v>
      </c>
      <c r="C158" s="32">
        <f t="shared" si="7"/>
        <v>0.488885717236601</v>
      </c>
      <c r="D158" s="33">
        <f t="shared" si="8"/>
        <v>0.239009244517945</v>
      </c>
      <c r="E158" s="34">
        <f t="shared" si="9"/>
        <v>0.239009244517945</v>
      </c>
      <c r="F158" s="34"/>
      <c r="G158" s="34">
        <f>(A158-$F$2)^2</f>
        <v>88.9778351481828</v>
      </c>
    </row>
    <row r="159" spans="1:7">
      <c r="A159" s="28">
        <v>41.3</v>
      </c>
      <c r="B159" s="29">
        <v>32.8755255494284</v>
      </c>
      <c r="C159" s="32">
        <f t="shared" si="7"/>
        <v>8.42447445057159</v>
      </c>
      <c r="D159" s="33">
        <f t="shared" si="8"/>
        <v>70.9717697683336</v>
      </c>
      <c r="E159" s="34">
        <f t="shared" si="9"/>
        <v>70.9717697683336</v>
      </c>
      <c r="F159" s="34"/>
      <c r="G159" s="34">
        <f>(A159-$F$2)^2</f>
        <v>352.207558468339</v>
      </c>
    </row>
    <row r="160" spans="1:7">
      <c r="A160" s="28">
        <v>24.3</v>
      </c>
      <c r="B160" s="29">
        <v>28.9576396498975</v>
      </c>
      <c r="C160" s="32">
        <f t="shared" si="7"/>
        <v>4.6576396498975</v>
      </c>
      <c r="D160" s="33">
        <f t="shared" si="8"/>
        <v>21.6936071082973</v>
      </c>
      <c r="E160" s="34">
        <f t="shared" si="9"/>
        <v>21.6936071082973</v>
      </c>
      <c r="F160" s="34"/>
      <c r="G160" s="34">
        <f>(A160-$F$2)^2</f>
        <v>3.12297348810315</v>
      </c>
    </row>
    <row r="161" spans="1:7">
      <c r="A161" s="28">
        <v>23.3</v>
      </c>
      <c r="B161" s="29">
        <v>25.7334391240962</v>
      </c>
      <c r="C161" s="32">
        <f t="shared" si="7"/>
        <v>2.4334391240962</v>
      </c>
      <c r="D161" s="33">
        <f t="shared" si="8"/>
        <v>5.92162597068208</v>
      </c>
      <c r="E161" s="34">
        <f t="shared" si="9"/>
        <v>5.92162597068208</v>
      </c>
      <c r="F161" s="34"/>
      <c r="G161" s="34">
        <f>(A161-$F$2)^2</f>
        <v>0.58858613632454</v>
      </c>
    </row>
    <row r="162" spans="1:7">
      <c r="A162" s="28">
        <v>27</v>
      </c>
      <c r="B162" s="29">
        <v>32.5772664666912</v>
      </c>
      <c r="C162" s="32">
        <f t="shared" si="7"/>
        <v>5.5772664666912</v>
      </c>
      <c r="D162" s="33">
        <f t="shared" si="8"/>
        <v>31.1059012404781</v>
      </c>
      <c r="E162" s="34">
        <f t="shared" si="9"/>
        <v>31.1059012404781</v>
      </c>
      <c r="F162" s="34"/>
      <c r="G162" s="34">
        <f>(A162-$F$2)^2</f>
        <v>19.9558193379054</v>
      </c>
    </row>
    <row r="163" spans="1:7">
      <c r="A163" s="28">
        <v>50</v>
      </c>
      <c r="B163" s="29">
        <v>36.3225002098406</v>
      </c>
      <c r="C163" s="32">
        <f t="shared" si="7"/>
        <v>13.6774997901594</v>
      </c>
      <c r="D163" s="33">
        <f t="shared" si="8"/>
        <v>187.07400050981</v>
      </c>
      <c r="E163" s="34">
        <f t="shared" si="9"/>
        <v>187.07400050981</v>
      </c>
      <c r="F163" s="34"/>
      <c r="G163" s="34">
        <f>(A163-$F$2)^2</f>
        <v>754.446728428813</v>
      </c>
    </row>
    <row r="164" spans="1:7">
      <c r="A164" s="28">
        <v>50</v>
      </c>
      <c r="B164" s="29">
        <v>40.0853752164336</v>
      </c>
      <c r="C164" s="32">
        <f t="shared" si="7"/>
        <v>9.9146247835664</v>
      </c>
      <c r="D164" s="33">
        <f t="shared" si="8"/>
        <v>98.2997845989091</v>
      </c>
      <c r="E164" s="34">
        <f t="shared" si="9"/>
        <v>98.2997845989091</v>
      </c>
      <c r="F164" s="34"/>
      <c r="G164" s="34">
        <f>(A164-$F$2)^2</f>
        <v>754.446728428813</v>
      </c>
    </row>
    <row r="165" spans="1:7">
      <c r="A165" s="28">
        <v>50</v>
      </c>
      <c r="B165" s="29">
        <v>41.1680490021335</v>
      </c>
      <c r="C165" s="32">
        <f t="shared" si="7"/>
        <v>8.8319509978665</v>
      </c>
      <c r="D165" s="33">
        <f t="shared" si="8"/>
        <v>78.0033584287151</v>
      </c>
      <c r="E165" s="34">
        <f t="shared" si="9"/>
        <v>78.0033584287151</v>
      </c>
      <c r="F165" s="34"/>
      <c r="G165" s="34">
        <f>(A165-$F$2)^2</f>
        <v>754.446728428813</v>
      </c>
    </row>
    <row r="166" spans="1:7">
      <c r="A166" s="28">
        <v>22.7</v>
      </c>
      <c r="B166" s="29">
        <v>24.205124866975</v>
      </c>
      <c r="C166" s="32">
        <f t="shared" si="7"/>
        <v>1.505124866975</v>
      </c>
      <c r="D166" s="33">
        <f t="shared" si="8"/>
        <v>2.26540086518652</v>
      </c>
      <c r="E166" s="34">
        <f t="shared" si="9"/>
        <v>2.26540086518652</v>
      </c>
      <c r="F166" s="34"/>
      <c r="G166" s="34">
        <f>(A166-$F$2)^2</f>
        <v>0.0279537252573767</v>
      </c>
    </row>
    <row r="167" spans="1:7">
      <c r="A167" s="28">
        <v>25</v>
      </c>
      <c r="B167" s="29">
        <v>25.5183713406472</v>
      </c>
      <c r="C167" s="32">
        <f t="shared" si="7"/>
        <v>0.518371340647199</v>
      </c>
      <c r="D167" s="33">
        <f t="shared" si="8"/>
        <v>0.268708846804375</v>
      </c>
      <c r="E167" s="34">
        <f t="shared" si="9"/>
        <v>0.268708846804375</v>
      </c>
      <c r="F167" s="34"/>
      <c r="G167" s="34">
        <f>(A167-$F$2)^2</f>
        <v>6.08704463434817</v>
      </c>
    </row>
    <row r="168" spans="1:7">
      <c r="A168" s="28">
        <v>50</v>
      </c>
      <c r="B168" s="29">
        <v>37.3476770303064</v>
      </c>
      <c r="C168" s="32">
        <f t="shared" si="7"/>
        <v>12.6523229696936</v>
      </c>
      <c r="D168" s="33">
        <f t="shared" si="8"/>
        <v>160.081276529436</v>
      </c>
      <c r="E168" s="34">
        <f t="shared" si="9"/>
        <v>160.081276529436</v>
      </c>
      <c r="F168" s="34"/>
      <c r="G168" s="34">
        <f>(A168-$F$2)^2</f>
        <v>754.446728428813</v>
      </c>
    </row>
    <row r="169" spans="1:7">
      <c r="A169" s="28">
        <v>23.8</v>
      </c>
      <c r="B169" s="29">
        <v>23.3402529777063</v>
      </c>
      <c r="C169" s="32">
        <f t="shared" si="7"/>
        <v>0.459747022293701</v>
      </c>
      <c r="D169" s="33">
        <f t="shared" si="8"/>
        <v>0.211367324507925</v>
      </c>
      <c r="E169" s="34">
        <f t="shared" si="9"/>
        <v>0.211367324507925</v>
      </c>
      <c r="F169" s="34"/>
      <c r="G169" s="34">
        <f>(A169-$F$2)^2</f>
        <v>1.60577981221384</v>
      </c>
    </row>
    <row r="170" spans="1:7">
      <c r="A170" s="28">
        <v>23.8</v>
      </c>
      <c r="B170" s="29">
        <v>26.0452005924671</v>
      </c>
      <c r="C170" s="32">
        <f t="shared" si="7"/>
        <v>2.2452005924671</v>
      </c>
      <c r="D170" s="33">
        <f t="shared" si="8"/>
        <v>5.04092570041462</v>
      </c>
      <c r="E170" s="34">
        <f t="shared" si="9"/>
        <v>5.04092570041462</v>
      </c>
      <c r="F170" s="34"/>
      <c r="G170" s="34">
        <f>(A170-$F$2)^2</f>
        <v>1.60577981221384</v>
      </c>
    </row>
    <row r="171" spans="1:7">
      <c r="A171" s="28">
        <v>22.3</v>
      </c>
      <c r="B171" s="29">
        <v>26.8299544091523</v>
      </c>
      <c r="C171" s="32">
        <f t="shared" si="7"/>
        <v>4.5299544091523</v>
      </c>
      <c r="D171" s="33">
        <f t="shared" si="8"/>
        <v>20.5204869489984</v>
      </c>
      <c r="E171" s="34">
        <f t="shared" si="9"/>
        <v>20.5204869489984</v>
      </c>
      <c r="F171" s="34"/>
      <c r="G171" s="34">
        <f>(A171-$F$2)^2</f>
        <v>0.0541987845459351</v>
      </c>
    </row>
    <row r="172" spans="1:7">
      <c r="A172" s="28">
        <v>17.4</v>
      </c>
      <c r="B172" s="29">
        <v>22.6403162131802</v>
      </c>
      <c r="C172" s="32">
        <f t="shared" si="7"/>
        <v>5.2403162131802</v>
      </c>
      <c r="D172" s="33">
        <f t="shared" si="8"/>
        <v>27.4609140141193</v>
      </c>
      <c r="E172" s="34">
        <f t="shared" si="9"/>
        <v>27.4609140141193</v>
      </c>
      <c r="F172" s="34"/>
      <c r="G172" s="34">
        <f>(A172-$F$2)^2</f>
        <v>26.3457007608308</v>
      </c>
    </row>
    <row r="173" spans="1:7">
      <c r="A173" s="28">
        <v>19.1</v>
      </c>
      <c r="B173" s="29">
        <v>24.2062932000337</v>
      </c>
      <c r="C173" s="32">
        <f t="shared" si="7"/>
        <v>5.1062932000337</v>
      </c>
      <c r="D173" s="33">
        <f t="shared" si="8"/>
        <v>26.0742302447104</v>
      </c>
      <c r="E173" s="34">
        <f t="shared" si="9"/>
        <v>26.0742302447104</v>
      </c>
      <c r="F173" s="34"/>
      <c r="G173" s="34">
        <f>(A173-$F$2)^2</f>
        <v>11.7841592588544</v>
      </c>
    </row>
    <row r="174" spans="1:7">
      <c r="A174" s="28">
        <v>23.1</v>
      </c>
      <c r="B174" s="29">
        <v>23.4725673002536</v>
      </c>
      <c r="C174" s="32">
        <f t="shared" si="7"/>
        <v>0.3725673002536</v>
      </c>
      <c r="D174" s="33">
        <f t="shared" si="8"/>
        <v>0.138806393218256</v>
      </c>
      <c r="E174" s="34">
        <f t="shared" si="9"/>
        <v>0.138806393218256</v>
      </c>
      <c r="F174" s="34"/>
      <c r="G174" s="34">
        <f>(A174-$F$2)^2</f>
        <v>0.32170866596882</v>
      </c>
    </row>
    <row r="175" spans="1:7">
      <c r="A175" s="28">
        <v>23.6</v>
      </c>
      <c r="B175" s="29">
        <v>29.155707729934</v>
      </c>
      <c r="C175" s="32">
        <f t="shared" si="7"/>
        <v>5.555707729934</v>
      </c>
      <c r="D175" s="33">
        <f t="shared" si="8"/>
        <v>30.8658883804484</v>
      </c>
      <c r="E175" s="34">
        <f t="shared" si="9"/>
        <v>30.8658883804484</v>
      </c>
      <c r="F175" s="34"/>
      <c r="G175" s="34">
        <f>(A175-$F$2)^2</f>
        <v>1.13890234185812</v>
      </c>
    </row>
    <row r="176" spans="1:7">
      <c r="A176" s="28">
        <v>22.6</v>
      </c>
      <c r="B176" s="29">
        <v>26.4399901395034</v>
      </c>
      <c r="C176" s="32">
        <f t="shared" si="7"/>
        <v>3.8399901395034</v>
      </c>
      <c r="D176" s="33">
        <f t="shared" si="8"/>
        <v>14.7455242714833</v>
      </c>
      <c r="E176" s="34">
        <f t="shared" si="9"/>
        <v>14.7455242714833</v>
      </c>
      <c r="F176" s="34"/>
      <c r="G176" s="34">
        <f>(A176-$F$2)^2</f>
        <v>0.00451499007951673</v>
      </c>
    </row>
    <row r="177" spans="1:7">
      <c r="A177" s="28">
        <v>29.4</v>
      </c>
      <c r="B177" s="29">
        <v>30.8501454194593</v>
      </c>
      <c r="C177" s="32">
        <f t="shared" si="7"/>
        <v>1.4501454194593</v>
      </c>
      <c r="D177" s="33">
        <f t="shared" si="8"/>
        <v>2.10292173757879</v>
      </c>
      <c r="E177" s="34">
        <f t="shared" si="9"/>
        <v>2.10292173757879</v>
      </c>
      <c r="F177" s="34"/>
      <c r="G177" s="34">
        <f>(A177-$F$2)^2</f>
        <v>47.158348982174</v>
      </c>
    </row>
    <row r="178" spans="1:7">
      <c r="A178" s="28">
        <v>23.2</v>
      </c>
      <c r="B178" s="29">
        <v>25.8664874211458</v>
      </c>
      <c r="C178" s="32">
        <f t="shared" si="7"/>
        <v>2.6664874211458</v>
      </c>
      <c r="D178" s="33">
        <f t="shared" si="8"/>
        <v>7.11015516712877</v>
      </c>
      <c r="E178" s="34">
        <f t="shared" si="9"/>
        <v>7.11015516712877</v>
      </c>
      <c r="F178" s="34"/>
      <c r="G178" s="34">
        <f>(A178-$F$2)^2</f>
        <v>0.445147401146678</v>
      </c>
    </row>
    <row r="179" spans="1:7">
      <c r="A179" s="28">
        <v>24.6</v>
      </c>
      <c r="B179" s="29">
        <v>28.925719753074</v>
      </c>
      <c r="C179" s="32">
        <f t="shared" si="7"/>
        <v>4.325719753074</v>
      </c>
      <c r="D179" s="33">
        <f t="shared" si="8"/>
        <v>18.7118513821346</v>
      </c>
      <c r="E179" s="34">
        <f t="shared" si="9"/>
        <v>18.7118513821346</v>
      </c>
      <c r="F179" s="34"/>
      <c r="G179" s="34">
        <f>(A179-$F$2)^2</f>
        <v>4.27328969363673</v>
      </c>
    </row>
    <row r="180" spans="1:7">
      <c r="A180" s="28">
        <v>29.9</v>
      </c>
      <c r="B180" s="29">
        <v>31.5611826823654</v>
      </c>
      <c r="C180" s="32">
        <f t="shared" si="7"/>
        <v>1.6611826823654</v>
      </c>
      <c r="D180" s="33">
        <f t="shared" si="8"/>
        <v>2.75952790419071</v>
      </c>
      <c r="E180" s="34">
        <f t="shared" si="9"/>
        <v>2.75952790419071</v>
      </c>
      <c r="F180" s="34"/>
      <c r="G180" s="34">
        <f>(A180-$F$2)^2</f>
        <v>54.2755426580633</v>
      </c>
    </row>
    <row r="181" spans="1:7">
      <c r="A181" s="28">
        <v>37.2</v>
      </c>
      <c r="B181" s="29">
        <v>33.2579276383299</v>
      </c>
      <c r="C181" s="32">
        <f t="shared" si="7"/>
        <v>3.9420723616701</v>
      </c>
      <c r="D181" s="33">
        <f t="shared" si="8"/>
        <v>15.5399345046433</v>
      </c>
      <c r="E181" s="34">
        <f t="shared" si="9"/>
        <v>15.5399345046433</v>
      </c>
      <c r="F181" s="34"/>
      <c r="G181" s="34">
        <f>(A181-$F$2)^2</f>
        <v>215.126570326047</v>
      </c>
    </row>
    <row r="182" spans="1:7">
      <c r="A182" s="28">
        <v>39.8</v>
      </c>
      <c r="B182" s="29">
        <v>34.4455946328607</v>
      </c>
      <c r="C182" s="32">
        <f t="shared" si="7"/>
        <v>5.3544053671393</v>
      </c>
      <c r="D182" s="33">
        <f t="shared" si="8"/>
        <v>28.6696568356501</v>
      </c>
      <c r="E182" s="34">
        <f t="shared" si="9"/>
        <v>28.6696568356501</v>
      </c>
      <c r="F182" s="34"/>
      <c r="G182" s="34">
        <f>(A182-$F$2)^2</f>
        <v>298.155977440671</v>
      </c>
    </row>
    <row r="183" spans="1:7">
      <c r="A183" s="28">
        <v>36.2</v>
      </c>
      <c r="B183" s="29">
        <v>27.7239663954328</v>
      </c>
      <c r="C183" s="32">
        <f t="shared" si="7"/>
        <v>8.4760336045672</v>
      </c>
      <c r="D183" s="33">
        <f t="shared" si="8"/>
        <v>71.8431456657525</v>
      </c>
      <c r="E183" s="34">
        <f t="shared" si="9"/>
        <v>71.8431456657525</v>
      </c>
      <c r="F183" s="34"/>
      <c r="G183" s="34">
        <f>(A183-$F$2)^2</f>
        <v>186.792182974269</v>
      </c>
    </row>
    <row r="184" spans="1:7">
      <c r="A184" s="28">
        <v>37.9</v>
      </c>
      <c r="B184" s="29">
        <v>33.8076547595964</v>
      </c>
      <c r="C184" s="32">
        <f t="shared" si="7"/>
        <v>4.0923452404036</v>
      </c>
      <c r="D184" s="33">
        <f t="shared" si="8"/>
        <v>16.747289566654</v>
      </c>
      <c r="E184" s="34">
        <f t="shared" si="9"/>
        <v>16.747289566654</v>
      </c>
      <c r="F184" s="34"/>
      <c r="G184" s="34">
        <f>(A184-$F$2)^2</f>
        <v>236.150641472292</v>
      </c>
    </row>
    <row r="185" spans="1:7">
      <c r="A185" s="28">
        <v>32.5</v>
      </c>
      <c r="B185" s="29">
        <v>31.0049474181463</v>
      </c>
      <c r="C185" s="32">
        <f t="shared" si="7"/>
        <v>1.4950525818537</v>
      </c>
      <c r="D185" s="33">
        <f t="shared" si="8"/>
        <v>2.23518222250741</v>
      </c>
      <c r="E185" s="34">
        <f t="shared" si="9"/>
        <v>2.23518222250741</v>
      </c>
      <c r="F185" s="34"/>
      <c r="G185" s="34">
        <f>(A185-$F$2)^2</f>
        <v>99.3449497726877</v>
      </c>
    </row>
    <row r="186" spans="1:7">
      <c r="A186" s="28">
        <v>26.4</v>
      </c>
      <c r="B186" s="29">
        <v>22.717460175173</v>
      </c>
      <c r="C186" s="32">
        <f t="shared" si="7"/>
        <v>3.682539824827</v>
      </c>
      <c r="D186" s="33">
        <f t="shared" si="8"/>
        <v>13.5610995614369</v>
      </c>
      <c r="E186" s="34">
        <f t="shared" si="9"/>
        <v>13.5610995614369</v>
      </c>
      <c r="F186" s="34"/>
      <c r="G186" s="34">
        <f>(A186-$F$2)^2</f>
        <v>14.9551869268382</v>
      </c>
    </row>
    <row r="187" spans="1:7">
      <c r="A187" s="28">
        <v>29.6</v>
      </c>
      <c r="B187" s="29">
        <v>24.76331436014</v>
      </c>
      <c r="C187" s="32">
        <f t="shared" si="7"/>
        <v>4.83668563986</v>
      </c>
      <c r="D187" s="33">
        <f t="shared" si="8"/>
        <v>23.3935279788279</v>
      </c>
      <c r="E187" s="34">
        <f t="shared" si="9"/>
        <v>23.3935279788279</v>
      </c>
      <c r="F187" s="34"/>
      <c r="G187" s="34">
        <f>(A187-$F$2)^2</f>
        <v>49.9452264525298</v>
      </c>
    </row>
    <row r="188" spans="1:7">
      <c r="A188" s="28">
        <v>50</v>
      </c>
      <c r="B188" s="29">
        <v>35.5664815814164</v>
      </c>
      <c r="C188" s="32">
        <f t="shared" si="7"/>
        <v>14.4335184185836</v>
      </c>
      <c r="D188" s="33">
        <f t="shared" si="8"/>
        <v>208.326453939592</v>
      </c>
      <c r="E188" s="34">
        <f t="shared" si="9"/>
        <v>208.326453939592</v>
      </c>
      <c r="F188" s="34"/>
      <c r="G188" s="34">
        <f>(A188-$F$2)^2</f>
        <v>754.446728428813</v>
      </c>
    </row>
    <row r="189" spans="1:7">
      <c r="A189" s="28">
        <v>32</v>
      </c>
      <c r="B189" s="29">
        <v>33.8862979113769</v>
      </c>
      <c r="C189" s="32">
        <f t="shared" si="7"/>
        <v>1.8862979113769</v>
      </c>
      <c r="D189" s="33">
        <f t="shared" si="8"/>
        <v>3.55811981046486</v>
      </c>
      <c r="E189" s="34">
        <f t="shared" si="9"/>
        <v>3.55811981046486</v>
      </c>
      <c r="F189" s="34"/>
      <c r="G189" s="34">
        <f>(A189-$F$2)^2</f>
        <v>89.6277560967984</v>
      </c>
    </row>
    <row r="190" spans="1:7">
      <c r="A190" s="28">
        <v>29.8</v>
      </c>
      <c r="B190" s="29">
        <v>32.5698715602866</v>
      </c>
      <c r="C190" s="32">
        <f t="shared" si="7"/>
        <v>2.7698715602866</v>
      </c>
      <c r="D190" s="33">
        <f t="shared" si="8"/>
        <v>7.67218846048452</v>
      </c>
      <c r="E190" s="34">
        <f t="shared" si="9"/>
        <v>7.67218846048452</v>
      </c>
      <c r="F190" s="34"/>
      <c r="G190" s="34">
        <f>(A190-$F$2)^2</f>
        <v>52.8121039228855</v>
      </c>
    </row>
    <row r="191" spans="1:7">
      <c r="A191" s="28">
        <v>34.9</v>
      </c>
      <c r="B191" s="29">
        <v>34.9022194259904</v>
      </c>
      <c r="C191" s="32">
        <f t="shared" si="7"/>
        <v>0.00221942599040403</v>
      </c>
      <c r="D191" s="33">
        <f t="shared" si="8"/>
        <v>4.92585172688093e-6</v>
      </c>
      <c r="E191" s="34">
        <f t="shared" si="9"/>
        <v>4.92585172688093e-6</v>
      </c>
      <c r="F191" s="34"/>
      <c r="G191" s="34">
        <f>(A191-$F$2)^2</f>
        <v>152.947479416956</v>
      </c>
    </row>
    <row r="192" spans="1:7">
      <c r="A192" s="28">
        <v>37</v>
      </c>
      <c r="B192" s="29">
        <v>30.5756999935135</v>
      </c>
      <c r="C192" s="32">
        <f t="shared" si="7"/>
        <v>6.4243000064865</v>
      </c>
      <c r="D192" s="33">
        <f t="shared" si="8"/>
        <v>41.2716305733425</v>
      </c>
      <c r="E192" s="34">
        <f t="shared" si="9"/>
        <v>41.2716305733425</v>
      </c>
      <c r="F192" s="34"/>
      <c r="G192" s="34">
        <f>(A192-$F$2)^2</f>
        <v>209.299692855691</v>
      </c>
    </row>
    <row r="193" spans="1:7">
      <c r="A193" s="28">
        <v>30.5</v>
      </c>
      <c r="B193" s="29">
        <v>30.6076253386387</v>
      </c>
      <c r="C193" s="32">
        <f t="shared" si="7"/>
        <v>0.107625338638702</v>
      </c>
      <c r="D193" s="33">
        <f t="shared" si="8"/>
        <v>0.0115832135170952</v>
      </c>
      <c r="E193" s="34">
        <f t="shared" si="9"/>
        <v>0.0115832135170952</v>
      </c>
      <c r="F193" s="34"/>
      <c r="G193" s="34">
        <f>(A193-$F$2)^2</f>
        <v>63.4761750691305</v>
      </c>
    </row>
    <row r="194" spans="1:7">
      <c r="A194" s="28">
        <v>36.4</v>
      </c>
      <c r="B194" s="29">
        <v>32.5020907314954</v>
      </c>
      <c r="C194" s="32">
        <f t="shared" ref="C194:C257" si="10">ABS(A194-B194)</f>
        <v>3.8979092685046</v>
      </c>
      <c r="D194" s="33">
        <f t="shared" ref="D194:D257" si="11">C194^2</f>
        <v>15.1936966654941</v>
      </c>
      <c r="E194" s="34">
        <f t="shared" ref="E194:E257" si="12">(A194-B194)^2</f>
        <v>15.1936966654941</v>
      </c>
      <c r="F194" s="34"/>
      <c r="G194" s="34">
        <f>(A194-$F$2)^2</f>
        <v>192.299060444624</v>
      </c>
    </row>
    <row r="195" spans="1:7">
      <c r="A195" s="28">
        <v>31.1</v>
      </c>
      <c r="B195" s="29">
        <v>32.1269671305294</v>
      </c>
      <c r="C195" s="32">
        <f t="shared" si="10"/>
        <v>1.0269671305294</v>
      </c>
      <c r="D195" s="33">
        <f t="shared" si="11"/>
        <v>1.05466148718779</v>
      </c>
      <c r="E195" s="34">
        <f t="shared" si="12"/>
        <v>1.05466148718779</v>
      </c>
      <c r="F195" s="34"/>
      <c r="G195" s="34">
        <f>(A195-$F$2)^2</f>
        <v>73.3968074801977</v>
      </c>
    </row>
    <row r="196" spans="1:7">
      <c r="A196" s="28">
        <v>29.1</v>
      </c>
      <c r="B196" s="29">
        <v>31.611511811193</v>
      </c>
      <c r="C196" s="32">
        <f t="shared" si="10"/>
        <v>2.511511811193</v>
      </c>
      <c r="D196" s="33">
        <f t="shared" si="11"/>
        <v>6.30769157776194</v>
      </c>
      <c r="E196" s="34">
        <f t="shared" si="12"/>
        <v>6.30769157776194</v>
      </c>
      <c r="F196" s="34"/>
      <c r="G196" s="34">
        <f>(A196-$F$2)^2</f>
        <v>43.1280327766405</v>
      </c>
    </row>
    <row r="197" spans="1:7">
      <c r="A197" s="28">
        <v>50</v>
      </c>
      <c r="B197" s="29">
        <v>40.0332983427222</v>
      </c>
      <c r="C197" s="32">
        <f t="shared" si="10"/>
        <v>9.9667016572778</v>
      </c>
      <c r="D197" s="33">
        <f t="shared" si="11"/>
        <v>99.3351419251841</v>
      </c>
      <c r="E197" s="34">
        <f t="shared" si="12"/>
        <v>99.3351419251841</v>
      </c>
      <c r="F197" s="34"/>
      <c r="G197" s="34">
        <f>(A197-$F$2)^2</f>
        <v>754.446728428813</v>
      </c>
    </row>
    <row r="198" spans="1:7">
      <c r="A198" s="28">
        <v>33.3</v>
      </c>
      <c r="B198" s="29">
        <v>36.6413110723909</v>
      </c>
      <c r="C198" s="32">
        <f t="shared" si="10"/>
        <v>3.3413110723909</v>
      </c>
      <c r="D198" s="33">
        <f t="shared" si="11"/>
        <v>11.164359682482</v>
      </c>
      <c r="E198" s="34">
        <f t="shared" si="12"/>
        <v>11.164359682482</v>
      </c>
      <c r="F198" s="34"/>
      <c r="G198" s="34">
        <f>(A198-$F$2)^2</f>
        <v>115.932459654111</v>
      </c>
    </row>
    <row r="199" spans="1:7">
      <c r="A199" s="28">
        <v>30.3</v>
      </c>
      <c r="B199" s="29">
        <v>32.6091309933905</v>
      </c>
      <c r="C199" s="32">
        <f t="shared" si="10"/>
        <v>2.3091309933905</v>
      </c>
      <c r="D199" s="33">
        <f t="shared" si="11"/>
        <v>5.3320859446366</v>
      </c>
      <c r="E199" s="34">
        <f t="shared" si="12"/>
        <v>5.3320859446366</v>
      </c>
      <c r="F199" s="34"/>
      <c r="G199" s="34">
        <f>(A199-$F$2)^2</f>
        <v>60.3292975987748</v>
      </c>
    </row>
    <row r="200" spans="1:7">
      <c r="A200" s="28">
        <v>34.6</v>
      </c>
      <c r="B200" s="29">
        <v>34.7074253149462</v>
      </c>
      <c r="C200" s="32">
        <f t="shared" si="10"/>
        <v>0.107425314946198</v>
      </c>
      <c r="D200" s="33">
        <f t="shared" si="11"/>
        <v>0.0115401982912899</v>
      </c>
      <c r="E200" s="34">
        <f t="shared" si="12"/>
        <v>0.0115401982912899</v>
      </c>
      <c r="F200" s="34"/>
      <c r="G200" s="34">
        <f>(A200-$F$2)^2</f>
        <v>145.617163211423</v>
      </c>
    </row>
    <row r="201" spans="1:7">
      <c r="A201" s="28">
        <v>34.9</v>
      </c>
      <c r="B201" s="29">
        <v>29.9971783782371</v>
      </c>
      <c r="C201" s="32">
        <f t="shared" si="10"/>
        <v>4.9028216217629</v>
      </c>
      <c r="D201" s="33">
        <f t="shared" si="11"/>
        <v>24.0376598548258</v>
      </c>
      <c r="E201" s="34">
        <f t="shared" si="12"/>
        <v>24.0376598548258</v>
      </c>
      <c r="F201" s="34"/>
      <c r="G201" s="34">
        <f>(A201-$F$2)^2</f>
        <v>152.947479416956</v>
      </c>
    </row>
    <row r="202" spans="1:7">
      <c r="A202" s="28">
        <v>32.9</v>
      </c>
      <c r="B202" s="29">
        <v>30.6170512611516</v>
      </c>
      <c r="C202" s="32">
        <f t="shared" si="10"/>
        <v>2.2829487388484</v>
      </c>
      <c r="D202" s="33">
        <f t="shared" si="11"/>
        <v>5.21185494420949</v>
      </c>
      <c r="E202" s="34">
        <f t="shared" si="12"/>
        <v>5.21185494420949</v>
      </c>
      <c r="F202" s="34"/>
      <c r="G202" s="34">
        <f>(A202-$F$2)^2</f>
        <v>107.478704713399</v>
      </c>
    </row>
    <row r="203" spans="1:7">
      <c r="A203" s="28">
        <v>24.1</v>
      </c>
      <c r="B203" s="29">
        <v>29.835602243275</v>
      </c>
      <c r="C203" s="32">
        <f t="shared" si="10"/>
        <v>5.735602243275</v>
      </c>
      <c r="D203" s="33">
        <f t="shared" si="11"/>
        <v>32.8971330930612</v>
      </c>
      <c r="E203" s="34">
        <f t="shared" si="12"/>
        <v>32.8971330930612</v>
      </c>
      <c r="F203" s="34"/>
      <c r="G203" s="34">
        <f>(A203-$F$2)^2</f>
        <v>2.45609601774743</v>
      </c>
    </row>
    <row r="204" spans="1:7">
      <c r="A204" s="28">
        <v>42.3</v>
      </c>
      <c r="B204" s="29">
        <v>37.369314355122</v>
      </c>
      <c r="C204" s="32">
        <f t="shared" si="10"/>
        <v>4.930685644878</v>
      </c>
      <c r="D204" s="33">
        <f t="shared" si="11"/>
        <v>24.3116609286059</v>
      </c>
      <c r="E204" s="34">
        <f t="shared" si="12"/>
        <v>24.3116609286059</v>
      </c>
      <c r="F204" s="34"/>
      <c r="G204" s="34">
        <f>(A204-$F$2)^2</f>
        <v>390.741945820118</v>
      </c>
    </row>
    <row r="205" spans="1:7">
      <c r="A205" s="28">
        <v>48.5</v>
      </c>
      <c r="B205" s="29">
        <v>41.2069004058046</v>
      </c>
      <c r="C205" s="32">
        <f t="shared" si="10"/>
        <v>7.2930995941954</v>
      </c>
      <c r="D205" s="33">
        <f t="shared" si="11"/>
        <v>53.1893016908531</v>
      </c>
      <c r="E205" s="34">
        <f t="shared" si="12"/>
        <v>53.1893016908531</v>
      </c>
      <c r="F205" s="34"/>
      <c r="G205" s="34">
        <f>(A205-$F$2)^2</f>
        <v>674.295147401145</v>
      </c>
    </row>
    <row r="206" spans="1:7">
      <c r="A206" s="28">
        <v>50</v>
      </c>
      <c r="B206" s="29">
        <v>43.0675903433655</v>
      </c>
      <c r="C206" s="32">
        <f t="shared" si="10"/>
        <v>6.9324096566345</v>
      </c>
      <c r="D206" s="33">
        <f t="shared" si="11"/>
        <v>48.0583036473992</v>
      </c>
      <c r="E206" s="34">
        <f t="shared" si="12"/>
        <v>48.0583036473992</v>
      </c>
      <c r="F206" s="34"/>
      <c r="G206" s="34">
        <f>(A206-$F$2)^2</f>
        <v>754.446728428813</v>
      </c>
    </row>
    <row r="207" spans="1:7">
      <c r="A207" s="28">
        <v>22.6</v>
      </c>
      <c r="B207" s="29">
        <v>22.6641454097156</v>
      </c>
      <c r="C207" s="32">
        <f t="shared" si="10"/>
        <v>0.0641454097156</v>
      </c>
      <c r="D207" s="33">
        <f t="shared" si="11"/>
        <v>0.00411463358758219</v>
      </c>
      <c r="E207" s="34">
        <f t="shared" si="12"/>
        <v>0.00411463358758219</v>
      </c>
      <c r="F207" s="34"/>
      <c r="G207" s="34">
        <f>(A207-$F$2)^2</f>
        <v>0.00451499007951673</v>
      </c>
    </row>
    <row r="208" spans="1:7">
      <c r="A208" s="28">
        <v>24.4</v>
      </c>
      <c r="B208" s="29">
        <v>23.9044016983538</v>
      </c>
      <c r="C208" s="32">
        <f t="shared" si="10"/>
        <v>0.495598301646197</v>
      </c>
      <c r="D208" s="33">
        <f t="shared" si="11"/>
        <v>0.245617676594595</v>
      </c>
      <c r="E208" s="34">
        <f t="shared" si="12"/>
        <v>0.245617676594595</v>
      </c>
      <c r="F208" s="34"/>
      <c r="G208" s="34">
        <f>(A208-$F$2)^2</f>
        <v>3.486412223281</v>
      </c>
    </row>
    <row r="209" spans="1:7">
      <c r="A209" s="28">
        <v>22.5</v>
      </c>
      <c r="B209" s="29">
        <v>18.048897011899</v>
      </c>
      <c r="C209" s="32">
        <f t="shared" si="10"/>
        <v>4.451102988101</v>
      </c>
      <c r="D209" s="33">
        <f t="shared" si="11"/>
        <v>19.8123178106816</v>
      </c>
      <c r="E209" s="34">
        <f t="shared" si="12"/>
        <v>19.8123178106816</v>
      </c>
      <c r="F209" s="34"/>
      <c r="G209" s="34">
        <f>(A209-$F$2)^2</f>
        <v>0.00107625490165618</v>
      </c>
    </row>
    <row r="210" spans="1:7">
      <c r="A210" s="28">
        <v>24.4</v>
      </c>
      <c r="B210" s="29">
        <v>23.0598827536047</v>
      </c>
      <c r="C210" s="32">
        <f t="shared" si="10"/>
        <v>1.3401172463953</v>
      </c>
      <c r="D210" s="33">
        <f t="shared" si="11"/>
        <v>1.79591423408612</v>
      </c>
      <c r="E210" s="34">
        <f t="shared" si="12"/>
        <v>1.79591423408612</v>
      </c>
      <c r="F210" s="34"/>
      <c r="G210" s="34">
        <f>(A210-$F$2)^2</f>
        <v>3.486412223281</v>
      </c>
    </row>
    <row r="211" spans="1:7">
      <c r="A211" s="28">
        <v>20</v>
      </c>
      <c r="B211" s="29">
        <v>16.6688262770157</v>
      </c>
      <c r="C211" s="32">
        <f t="shared" si="10"/>
        <v>3.3311737229843</v>
      </c>
      <c r="D211" s="33">
        <f t="shared" si="11"/>
        <v>11.0967183727011</v>
      </c>
      <c r="E211" s="34">
        <f t="shared" si="12"/>
        <v>11.0967183727011</v>
      </c>
      <c r="F211" s="34"/>
      <c r="G211" s="34">
        <f>(A211-$F$2)^2</f>
        <v>6.41510787545515</v>
      </c>
    </row>
    <row r="212" spans="1:7">
      <c r="A212" s="28">
        <v>21.7</v>
      </c>
      <c r="B212" s="29">
        <v>21.7016027012712</v>
      </c>
      <c r="C212" s="32">
        <f t="shared" si="10"/>
        <v>0.00160270127119944</v>
      </c>
      <c r="D212" s="33">
        <f t="shared" si="11"/>
        <v>2.56865136470429e-6</v>
      </c>
      <c r="E212" s="34">
        <f t="shared" si="12"/>
        <v>2.56865136470429e-6</v>
      </c>
      <c r="F212" s="34"/>
      <c r="G212" s="34">
        <f>(A212-$F$2)^2</f>
        <v>0.693566373478774</v>
      </c>
    </row>
    <row r="213" spans="1:7">
      <c r="A213" s="28">
        <v>19.3</v>
      </c>
      <c r="B213" s="29">
        <v>17.0925509042461</v>
      </c>
      <c r="C213" s="32">
        <f t="shared" si="10"/>
        <v>2.2074490957539</v>
      </c>
      <c r="D213" s="33">
        <f t="shared" si="11"/>
        <v>4.87283151034472</v>
      </c>
      <c r="E213" s="34">
        <f t="shared" si="12"/>
        <v>4.87283151034472</v>
      </c>
      <c r="F213" s="34"/>
      <c r="G213" s="34">
        <f>(A213-$F$2)^2</f>
        <v>10.4510367292101</v>
      </c>
    </row>
    <row r="214" spans="1:7">
      <c r="A214" s="28">
        <v>22.4</v>
      </c>
      <c r="B214" s="29">
        <v>22.5379410996339</v>
      </c>
      <c r="C214" s="32">
        <f t="shared" si="10"/>
        <v>0.137941099633903</v>
      </c>
      <c r="D214" s="33">
        <f t="shared" si="11"/>
        <v>0.0190277469682102</v>
      </c>
      <c r="E214" s="34">
        <f t="shared" si="12"/>
        <v>0.0190277469682102</v>
      </c>
      <c r="F214" s="34"/>
      <c r="G214" s="34">
        <f>(A214-$F$2)^2</f>
        <v>0.0176375197237962</v>
      </c>
    </row>
    <row r="215" spans="1:7">
      <c r="A215" s="28">
        <v>28.1</v>
      </c>
      <c r="B215" s="29">
        <v>25.3113495487309</v>
      </c>
      <c r="C215" s="32">
        <f t="shared" si="10"/>
        <v>2.7886504512691</v>
      </c>
      <c r="D215" s="33">
        <f t="shared" si="11"/>
        <v>7.77657133936337</v>
      </c>
      <c r="E215" s="34">
        <f t="shared" si="12"/>
        <v>7.77657133936337</v>
      </c>
      <c r="F215" s="34"/>
      <c r="G215" s="34">
        <f>(A215-$F$2)^2</f>
        <v>30.9936454248619</v>
      </c>
    </row>
    <row r="216" spans="1:7">
      <c r="A216" s="28">
        <v>23.7</v>
      </c>
      <c r="B216" s="29">
        <v>9.47879064154049</v>
      </c>
      <c r="C216" s="32">
        <f t="shared" si="10"/>
        <v>14.2212093584595</v>
      </c>
      <c r="D216" s="33">
        <f t="shared" si="11"/>
        <v>202.242795617136</v>
      </c>
      <c r="E216" s="34">
        <f t="shared" si="12"/>
        <v>202.242795617136</v>
      </c>
      <c r="F216" s="34"/>
      <c r="G216" s="34">
        <f>(A216-$F$2)^2</f>
        <v>1.36234107703598</v>
      </c>
    </row>
    <row r="217" spans="1:7">
      <c r="A217" s="28">
        <v>25</v>
      </c>
      <c r="B217" s="29">
        <v>24.2220463034658</v>
      </c>
      <c r="C217" s="32">
        <f t="shared" si="10"/>
        <v>0.777953696534201</v>
      </c>
      <c r="D217" s="33">
        <f t="shared" si="11"/>
        <v>0.605211953951228</v>
      </c>
      <c r="E217" s="34">
        <f t="shared" si="12"/>
        <v>0.605211953951228</v>
      </c>
      <c r="F217" s="34"/>
      <c r="G217" s="34">
        <f>(A217-$F$2)^2</f>
        <v>6.08704463434817</v>
      </c>
    </row>
    <row r="218" spans="1:7">
      <c r="A218" s="28">
        <v>23.3</v>
      </c>
      <c r="B218" s="29">
        <v>26.2623593293795</v>
      </c>
      <c r="C218" s="32">
        <f t="shared" si="10"/>
        <v>2.9623593293795</v>
      </c>
      <c r="D218" s="33">
        <f t="shared" si="11"/>
        <v>8.77557279636176</v>
      </c>
      <c r="E218" s="34">
        <f t="shared" si="12"/>
        <v>8.77557279636176</v>
      </c>
      <c r="F218" s="34"/>
      <c r="G218" s="34">
        <f>(A218-$F$2)^2</f>
        <v>0.58858613632454</v>
      </c>
    </row>
    <row r="219" spans="1:7">
      <c r="A219" s="28">
        <v>28.7</v>
      </c>
      <c r="B219" s="29">
        <v>28.4811950698996</v>
      </c>
      <c r="C219" s="32">
        <f t="shared" si="10"/>
        <v>0.218804930100401</v>
      </c>
      <c r="D219" s="33">
        <f t="shared" si="11"/>
        <v>0.0478755974362412</v>
      </c>
      <c r="E219" s="34">
        <f t="shared" si="12"/>
        <v>0.0478755974362412</v>
      </c>
      <c r="F219" s="34"/>
      <c r="G219" s="34">
        <f>(A219-$F$2)^2</f>
        <v>38.034277835929</v>
      </c>
    </row>
    <row r="220" spans="1:7">
      <c r="A220" s="28">
        <v>21.5</v>
      </c>
      <c r="B220" s="29">
        <v>25.0061470318562</v>
      </c>
      <c r="C220" s="32">
        <f t="shared" si="10"/>
        <v>3.5061470318562</v>
      </c>
      <c r="D220" s="33">
        <f t="shared" si="11"/>
        <v>12.2930670089941</v>
      </c>
      <c r="E220" s="34">
        <f t="shared" si="12"/>
        <v>12.2930670089941</v>
      </c>
      <c r="F220" s="34"/>
      <c r="G220" s="34">
        <f>(A220-$F$2)^2</f>
        <v>1.06668890312305</v>
      </c>
    </row>
    <row r="221" spans="1:7">
      <c r="A221" s="28">
        <v>23</v>
      </c>
      <c r="B221" s="29">
        <v>30.1535340292061</v>
      </c>
      <c r="C221" s="32">
        <f t="shared" si="10"/>
        <v>7.1535340292061</v>
      </c>
      <c r="D221" s="33">
        <f t="shared" si="11"/>
        <v>51.1730491070097</v>
      </c>
      <c r="E221" s="34">
        <f t="shared" si="12"/>
        <v>51.1730491070097</v>
      </c>
      <c r="F221" s="34"/>
      <c r="G221" s="34">
        <f>(A221-$F$2)^2</f>
        <v>0.218269930790958</v>
      </c>
    </row>
    <row r="222" spans="1:7">
      <c r="A222" s="28">
        <v>26.7</v>
      </c>
      <c r="B222" s="29">
        <v>33.3313641881067</v>
      </c>
      <c r="C222" s="32">
        <f t="shared" si="10"/>
        <v>6.6313641881067</v>
      </c>
      <c r="D222" s="33">
        <f t="shared" si="11"/>
        <v>43.974990995304</v>
      </c>
      <c r="E222" s="34">
        <f t="shared" si="12"/>
        <v>43.974990995304</v>
      </c>
      <c r="F222" s="34"/>
      <c r="G222" s="34">
        <f>(A222-$F$2)^2</f>
        <v>17.3655031323718</v>
      </c>
    </row>
    <row r="223" spans="1:7">
      <c r="A223" s="28">
        <v>21.7</v>
      </c>
      <c r="B223" s="29">
        <v>23.8626870449909</v>
      </c>
      <c r="C223" s="32">
        <f t="shared" si="10"/>
        <v>2.1626870449909</v>
      </c>
      <c r="D223" s="33">
        <f t="shared" si="11"/>
        <v>4.67721525457147</v>
      </c>
      <c r="E223" s="34">
        <f t="shared" si="12"/>
        <v>4.67721525457147</v>
      </c>
      <c r="F223" s="34"/>
      <c r="G223" s="34">
        <f>(A223-$F$2)^2</f>
        <v>0.693566373478774</v>
      </c>
    </row>
    <row r="224" spans="1:7">
      <c r="A224" s="28">
        <v>27.5</v>
      </c>
      <c r="B224" s="29">
        <v>31.8836705418932</v>
      </c>
      <c r="C224" s="32">
        <f t="shared" si="10"/>
        <v>4.3836705418932</v>
      </c>
      <c r="D224" s="33">
        <f t="shared" si="11"/>
        <v>19.2165674198622</v>
      </c>
      <c r="E224" s="34">
        <f t="shared" si="12"/>
        <v>19.2165674198622</v>
      </c>
      <c r="F224" s="34"/>
      <c r="G224" s="34">
        <f>(A224-$F$2)^2</f>
        <v>24.6730130137947</v>
      </c>
    </row>
    <row r="225" spans="1:7">
      <c r="A225" s="28">
        <v>30.1</v>
      </c>
      <c r="B225" s="29">
        <v>29.7772224733741</v>
      </c>
      <c r="C225" s="32">
        <f t="shared" si="10"/>
        <v>0.322777526625902</v>
      </c>
      <c r="D225" s="33">
        <f t="shared" si="11"/>
        <v>0.104185331694735</v>
      </c>
      <c r="E225" s="34">
        <f t="shared" si="12"/>
        <v>0.104185331694735</v>
      </c>
      <c r="F225" s="34"/>
      <c r="G225" s="34">
        <f>(A225-$F$2)^2</f>
        <v>57.2624201284191</v>
      </c>
    </row>
    <row r="226" spans="1:7">
      <c r="A226" s="28">
        <v>44.8</v>
      </c>
      <c r="B226" s="29">
        <v>37.9314882397711</v>
      </c>
      <c r="C226" s="32">
        <f t="shared" si="10"/>
        <v>6.8685117602289</v>
      </c>
      <c r="D226" s="33">
        <f t="shared" si="11"/>
        <v>47.1764538004027</v>
      </c>
      <c r="E226" s="34">
        <f t="shared" si="12"/>
        <v>47.1764538004027</v>
      </c>
      <c r="F226" s="34"/>
      <c r="G226" s="34">
        <f>(A226-$F$2)^2</f>
        <v>495.827914199564</v>
      </c>
    </row>
    <row r="227" spans="1:7">
      <c r="A227" s="28">
        <v>50</v>
      </c>
      <c r="B227" s="29">
        <v>39.0908716641922</v>
      </c>
      <c r="C227" s="32">
        <f t="shared" si="10"/>
        <v>10.9091283358078</v>
      </c>
      <c r="D227" s="33">
        <f t="shared" si="11"/>
        <v>119.009081047125</v>
      </c>
      <c r="E227" s="34">
        <f t="shared" si="12"/>
        <v>119.009081047125</v>
      </c>
      <c r="F227" s="34"/>
      <c r="G227" s="34">
        <f>(A227-$F$2)^2</f>
        <v>754.446728428813</v>
      </c>
    </row>
    <row r="228" spans="1:7">
      <c r="A228" s="28">
        <v>37.6</v>
      </c>
      <c r="B228" s="29">
        <v>37.637384659628</v>
      </c>
      <c r="C228" s="32">
        <f t="shared" si="10"/>
        <v>0.0373846596279961</v>
      </c>
      <c r="D228" s="33">
        <f t="shared" si="11"/>
        <v>0.00139761277550112</v>
      </c>
      <c r="E228" s="34">
        <f t="shared" si="12"/>
        <v>0.00139761277550112</v>
      </c>
      <c r="F228" s="34"/>
      <c r="G228" s="34">
        <f>(A228-$F$2)^2</f>
        <v>227.020325266759</v>
      </c>
    </row>
    <row r="229" spans="1:7">
      <c r="A229" s="28">
        <v>31.6</v>
      </c>
      <c r="B229" s="29">
        <v>32.6677546297461</v>
      </c>
      <c r="C229" s="32">
        <f t="shared" si="10"/>
        <v>1.0677546297461</v>
      </c>
      <c r="D229" s="33">
        <f t="shared" si="11"/>
        <v>1.14009994934423</v>
      </c>
      <c r="E229" s="34">
        <f t="shared" si="12"/>
        <v>1.14009994934423</v>
      </c>
      <c r="F229" s="34"/>
      <c r="G229" s="34">
        <f>(A229-$F$2)^2</f>
        <v>82.214001156087</v>
      </c>
    </row>
    <row r="230" spans="1:7">
      <c r="A230" s="28">
        <v>46.7</v>
      </c>
      <c r="B230" s="29">
        <v>36.2452738610798</v>
      </c>
      <c r="C230" s="32">
        <f t="shared" si="10"/>
        <v>10.4547261389202</v>
      </c>
      <c r="D230" s="33">
        <f t="shared" si="11"/>
        <v>109.301298639821</v>
      </c>
      <c r="E230" s="34">
        <f t="shared" si="12"/>
        <v>109.301298639821</v>
      </c>
      <c r="F230" s="34"/>
      <c r="G230" s="34">
        <f>(A230-$F$2)^2</f>
        <v>584.053250167944</v>
      </c>
    </row>
    <row r="231" spans="1:7">
      <c r="A231" s="28">
        <v>31.5</v>
      </c>
      <c r="B231" s="29">
        <v>30.9531075024758</v>
      </c>
      <c r="C231" s="32">
        <f t="shared" si="10"/>
        <v>0.546892497524201</v>
      </c>
      <c r="D231" s="33">
        <f t="shared" si="11"/>
        <v>0.299091403848258</v>
      </c>
      <c r="E231" s="34">
        <f t="shared" si="12"/>
        <v>0.299091403848258</v>
      </c>
      <c r="F231" s="34"/>
      <c r="G231" s="34">
        <f>(A231-$F$2)^2</f>
        <v>80.4105624209091</v>
      </c>
    </row>
    <row r="232" spans="1:7">
      <c r="A232" s="28">
        <v>24.3</v>
      </c>
      <c r="B232" s="29">
        <v>24.6296450831974</v>
      </c>
      <c r="C232" s="32">
        <f t="shared" si="10"/>
        <v>0.329645083197398</v>
      </c>
      <c r="D232" s="33">
        <f t="shared" si="11"/>
        <v>0.10866588087622</v>
      </c>
      <c r="E232" s="34">
        <f t="shared" si="12"/>
        <v>0.10866588087622</v>
      </c>
      <c r="F232" s="34"/>
      <c r="G232" s="34">
        <f>(A232-$F$2)^2</f>
        <v>3.12297348810315</v>
      </c>
    </row>
    <row r="233" spans="1:7">
      <c r="A233" s="28">
        <v>31.7</v>
      </c>
      <c r="B233" s="29">
        <v>33.2207207333282</v>
      </c>
      <c r="C233" s="32">
        <f t="shared" si="10"/>
        <v>1.5207207333282</v>
      </c>
      <c r="D233" s="33">
        <f t="shared" si="11"/>
        <v>2.31259154877426</v>
      </c>
      <c r="E233" s="34">
        <f t="shared" si="12"/>
        <v>2.31259154877426</v>
      </c>
      <c r="F233" s="34"/>
      <c r="G233" s="34">
        <f>(A233-$F$2)^2</f>
        <v>84.0374398912648</v>
      </c>
    </row>
    <row r="234" spans="1:7">
      <c r="A234" s="28">
        <v>41.7</v>
      </c>
      <c r="B234" s="29">
        <v>37.7025459453047</v>
      </c>
      <c r="C234" s="32">
        <f t="shared" si="10"/>
        <v>3.9974540546953</v>
      </c>
      <c r="D234" s="33">
        <f t="shared" si="11"/>
        <v>15.9796389193999</v>
      </c>
      <c r="E234" s="34">
        <f t="shared" si="12"/>
        <v>15.9796389193999</v>
      </c>
      <c r="F234" s="34"/>
      <c r="G234" s="34">
        <f>(A234-$F$2)^2</f>
        <v>367.381313409051</v>
      </c>
    </row>
    <row r="235" spans="1:7">
      <c r="A235" s="28">
        <v>48.3</v>
      </c>
      <c r="B235" s="29">
        <v>36.7381119414865</v>
      </c>
      <c r="C235" s="32">
        <f t="shared" si="10"/>
        <v>11.5618880585135</v>
      </c>
      <c r="D235" s="33">
        <f t="shared" si="11"/>
        <v>133.677255477597</v>
      </c>
      <c r="E235" s="34">
        <f t="shared" si="12"/>
        <v>133.677255477597</v>
      </c>
      <c r="F235" s="34"/>
      <c r="G235" s="34">
        <f>(A235-$F$2)^2</f>
        <v>663.948269930789</v>
      </c>
    </row>
    <row r="236" spans="1:7">
      <c r="A236" s="28">
        <v>29</v>
      </c>
      <c r="B236" s="29">
        <v>31.8410784953079</v>
      </c>
      <c r="C236" s="32">
        <f t="shared" si="10"/>
        <v>2.8410784953079</v>
      </c>
      <c r="D236" s="33">
        <f t="shared" si="11"/>
        <v>8.07172701650101</v>
      </c>
      <c r="E236" s="34">
        <f t="shared" si="12"/>
        <v>8.07172701650101</v>
      </c>
      <c r="F236" s="34"/>
      <c r="G236" s="34">
        <f>(A236-$F$2)^2</f>
        <v>41.8245940414626</v>
      </c>
    </row>
    <row r="237" spans="1:7">
      <c r="A237" s="28">
        <v>24</v>
      </c>
      <c r="B237" s="29">
        <v>25.2196460411923</v>
      </c>
      <c r="C237" s="32">
        <f t="shared" si="10"/>
        <v>1.2196460411923</v>
      </c>
      <c r="D237" s="33">
        <f t="shared" si="11"/>
        <v>1.48753646579605</v>
      </c>
      <c r="E237" s="34">
        <f t="shared" si="12"/>
        <v>1.48753646579605</v>
      </c>
      <c r="F237" s="34"/>
      <c r="G237" s="34">
        <f>(A237-$F$2)^2</f>
        <v>2.15265728256956</v>
      </c>
    </row>
    <row r="238" spans="1:7">
      <c r="A238" s="28">
        <v>25.1</v>
      </c>
      <c r="B238" s="29">
        <v>30.1176955285992</v>
      </c>
      <c r="C238" s="32">
        <f t="shared" si="10"/>
        <v>5.0176955285992</v>
      </c>
      <c r="D238" s="33">
        <f t="shared" si="11"/>
        <v>25.1772684177244</v>
      </c>
      <c r="E238" s="34">
        <f t="shared" si="12"/>
        <v>25.1772684177244</v>
      </c>
      <c r="F238" s="34"/>
      <c r="G238" s="34">
        <f>(A238-$F$2)^2</f>
        <v>6.59048336952603</v>
      </c>
    </row>
    <row r="239" spans="1:7">
      <c r="A239" s="28">
        <v>31.5</v>
      </c>
      <c r="B239" s="29">
        <v>32.9975132665224</v>
      </c>
      <c r="C239" s="32">
        <f t="shared" si="10"/>
        <v>1.4975132665224</v>
      </c>
      <c r="D239" s="33">
        <f t="shared" si="11"/>
        <v>2.24254598341058</v>
      </c>
      <c r="E239" s="34">
        <f t="shared" si="12"/>
        <v>2.24254598341058</v>
      </c>
      <c r="F239" s="34"/>
      <c r="G239" s="34">
        <f>(A239-$F$2)^2</f>
        <v>80.4105624209091</v>
      </c>
    </row>
    <row r="240" spans="1:7">
      <c r="A240" s="28">
        <v>23.7</v>
      </c>
      <c r="B240" s="29">
        <v>28.5730929200264</v>
      </c>
      <c r="C240" s="32">
        <f t="shared" si="10"/>
        <v>4.8730929200264</v>
      </c>
      <c r="D240" s="33">
        <f t="shared" si="11"/>
        <v>23.7470346072114</v>
      </c>
      <c r="E240" s="34">
        <f t="shared" si="12"/>
        <v>23.7470346072114</v>
      </c>
      <c r="F240" s="34"/>
      <c r="G240" s="34">
        <f>(A240-$F$2)^2</f>
        <v>1.36234107703598</v>
      </c>
    </row>
    <row r="241" spans="1:7">
      <c r="A241" s="28">
        <v>23.3</v>
      </c>
      <c r="B241" s="29">
        <v>28.3958501301268</v>
      </c>
      <c r="C241" s="32">
        <f t="shared" si="10"/>
        <v>5.0958501301268</v>
      </c>
      <c r="D241" s="33">
        <f t="shared" si="11"/>
        <v>25.9676885487133</v>
      </c>
      <c r="E241" s="34">
        <f t="shared" si="12"/>
        <v>25.9676885487133</v>
      </c>
      <c r="F241" s="34"/>
      <c r="G241" s="34">
        <f>(A241-$F$2)^2</f>
        <v>0.58858613632454</v>
      </c>
    </row>
    <row r="242" spans="1:7">
      <c r="A242" s="28">
        <v>22</v>
      </c>
      <c r="B242" s="29">
        <v>27.5395195320349</v>
      </c>
      <c r="C242" s="32">
        <f t="shared" si="10"/>
        <v>5.5395195320349</v>
      </c>
      <c r="D242" s="33">
        <f t="shared" si="11"/>
        <v>30.6862766457962</v>
      </c>
      <c r="E242" s="34">
        <f t="shared" si="12"/>
        <v>30.6862766457962</v>
      </c>
      <c r="F242" s="34"/>
      <c r="G242" s="34">
        <f>(A242-$F$2)^2</f>
        <v>0.283882579012354</v>
      </c>
    </row>
    <row r="243" spans="1:7">
      <c r="A243" s="28">
        <v>20.1</v>
      </c>
      <c r="B243" s="29">
        <v>23.30109518526</v>
      </c>
      <c r="C243" s="32">
        <f t="shared" si="10"/>
        <v>3.20109518526</v>
      </c>
      <c r="D243" s="33">
        <f t="shared" si="11"/>
        <v>10.2470103850947</v>
      </c>
      <c r="E243" s="34">
        <f t="shared" si="12"/>
        <v>10.2470103850947</v>
      </c>
      <c r="F243" s="34"/>
      <c r="G243" s="34">
        <f>(A243-$F$2)^2</f>
        <v>5.918546610633</v>
      </c>
    </row>
    <row r="244" spans="1:7">
      <c r="A244" s="28">
        <v>22.2</v>
      </c>
      <c r="B244" s="29">
        <v>24.0948200961014</v>
      </c>
      <c r="C244" s="32">
        <f t="shared" si="10"/>
        <v>1.8948200961014</v>
      </c>
      <c r="D244" s="33">
        <f t="shared" si="11"/>
        <v>3.59034319658973</v>
      </c>
      <c r="E244" s="34">
        <f t="shared" si="12"/>
        <v>3.59034319658973</v>
      </c>
      <c r="F244" s="34"/>
      <c r="G244" s="34">
        <f>(A244-$F$2)^2</f>
        <v>0.110760049368076</v>
      </c>
    </row>
    <row r="245" spans="1:7">
      <c r="A245" s="28">
        <v>23.7</v>
      </c>
      <c r="B245" s="29">
        <v>27.407666940076</v>
      </c>
      <c r="C245" s="32">
        <f t="shared" si="10"/>
        <v>3.707666940076</v>
      </c>
      <c r="D245" s="33">
        <f t="shared" si="11"/>
        <v>13.7467941385325</v>
      </c>
      <c r="E245" s="34">
        <f t="shared" si="12"/>
        <v>13.7467941385325</v>
      </c>
      <c r="F245" s="34"/>
      <c r="G245" s="34">
        <f>(A245-$F$2)^2</f>
        <v>1.36234107703598</v>
      </c>
    </row>
    <row r="246" spans="1:7">
      <c r="A246" s="28">
        <v>17.6</v>
      </c>
      <c r="B246" s="29">
        <v>16.2727628364852</v>
      </c>
      <c r="C246" s="32">
        <f t="shared" si="10"/>
        <v>1.3272371635148</v>
      </c>
      <c r="D246" s="33">
        <f t="shared" si="11"/>
        <v>1.76155848821482</v>
      </c>
      <c r="E246" s="34">
        <f t="shared" si="12"/>
        <v>1.76155848821482</v>
      </c>
      <c r="F246" s="34"/>
      <c r="G246" s="34">
        <f>(A246-$F$2)^2</f>
        <v>24.3325782311865</v>
      </c>
    </row>
    <row r="247" spans="1:7">
      <c r="A247" s="28">
        <v>18.5</v>
      </c>
      <c r="B247" s="29">
        <v>13.3607968750631</v>
      </c>
      <c r="C247" s="32">
        <f t="shared" si="10"/>
        <v>5.1392031249369</v>
      </c>
      <c r="D247" s="33">
        <f t="shared" si="11"/>
        <v>26.4114087593612</v>
      </c>
      <c r="E247" s="34">
        <f t="shared" si="12"/>
        <v>26.4114087593612</v>
      </c>
      <c r="F247" s="34"/>
      <c r="G247" s="34">
        <f>(A247-$F$2)^2</f>
        <v>16.2635268477872</v>
      </c>
    </row>
    <row r="248" spans="1:7">
      <c r="A248" s="28">
        <v>24.3</v>
      </c>
      <c r="B248" s="29">
        <v>19.9997180272852</v>
      </c>
      <c r="C248" s="32">
        <f t="shared" si="10"/>
        <v>4.3002819727148</v>
      </c>
      <c r="D248" s="33">
        <f t="shared" si="11"/>
        <v>18.4924250448559</v>
      </c>
      <c r="E248" s="34">
        <f t="shared" si="12"/>
        <v>18.4924250448559</v>
      </c>
      <c r="F248" s="34"/>
      <c r="G248" s="34">
        <f>(A248-$F$2)^2</f>
        <v>3.12297348810315</v>
      </c>
    </row>
    <row r="249" spans="1:7">
      <c r="A249" s="28">
        <v>20.5</v>
      </c>
      <c r="B249" s="29">
        <v>20.0593344839457</v>
      </c>
      <c r="C249" s="32">
        <f t="shared" si="10"/>
        <v>0.440665516054299</v>
      </c>
      <c r="D249" s="33">
        <f t="shared" si="11"/>
        <v>0.194186097039402</v>
      </c>
      <c r="E249" s="34">
        <f t="shared" si="12"/>
        <v>0.194186097039402</v>
      </c>
      <c r="F249" s="34"/>
      <c r="G249" s="34">
        <f>(A249-$F$2)^2</f>
        <v>4.13230155134445</v>
      </c>
    </row>
    <row r="250" spans="1:7">
      <c r="A250" s="28">
        <v>24.5</v>
      </c>
      <c r="B250" s="29">
        <v>21.1517450046515</v>
      </c>
      <c r="C250" s="32">
        <f t="shared" si="10"/>
        <v>3.3482549953485</v>
      </c>
      <c r="D250" s="33">
        <f t="shared" si="11"/>
        <v>11.2108115138762</v>
      </c>
      <c r="E250" s="34">
        <f t="shared" si="12"/>
        <v>11.2108115138762</v>
      </c>
      <c r="F250" s="34"/>
      <c r="G250" s="34">
        <f>(A250-$F$2)^2</f>
        <v>3.86985095845886</v>
      </c>
    </row>
    <row r="251" spans="1:7">
      <c r="A251" s="28">
        <v>26.2</v>
      </c>
      <c r="B251" s="29">
        <v>23.8988791460302</v>
      </c>
      <c r="C251" s="32">
        <f t="shared" si="10"/>
        <v>2.3011208539698</v>
      </c>
      <c r="D251" s="33">
        <f t="shared" si="11"/>
        <v>5.2951571845747</v>
      </c>
      <c r="E251" s="34">
        <f t="shared" si="12"/>
        <v>5.2951571845747</v>
      </c>
      <c r="F251" s="34"/>
      <c r="G251" s="34">
        <f>(A251-$F$2)^2</f>
        <v>13.4483094564825</v>
      </c>
    </row>
    <row r="252" spans="1:7">
      <c r="A252" s="28">
        <v>24.4</v>
      </c>
      <c r="B252" s="29">
        <v>24.2524854455875</v>
      </c>
      <c r="C252" s="32">
        <f t="shared" si="10"/>
        <v>0.147514554412499</v>
      </c>
      <c r="D252" s="33">
        <f t="shared" si="11"/>
        <v>0.0217605437635182</v>
      </c>
      <c r="E252" s="34">
        <f t="shared" si="12"/>
        <v>0.0217605437635182</v>
      </c>
      <c r="F252" s="34"/>
      <c r="G252" s="34">
        <f>(A252-$F$2)^2</f>
        <v>3.486412223281</v>
      </c>
    </row>
    <row r="253" spans="1:7">
      <c r="A253" s="28">
        <v>24.8</v>
      </c>
      <c r="B253" s="29">
        <v>25.1136196494155</v>
      </c>
      <c r="C253" s="32">
        <f t="shared" si="10"/>
        <v>0.3136196494155</v>
      </c>
      <c r="D253" s="33">
        <f t="shared" si="11"/>
        <v>0.0983572844995012</v>
      </c>
      <c r="E253" s="34">
        <f t="shared" si="12"/>
        <v>0.0983572844995012</v>
      </c>
      <c r="F253" s="34"/>
      <c r="G253" s="34">
        <f>(A253-$F$2)^2</f>
        <v>5.14016716399245</v>
      </c>
    </row>
    <row r="254" spans="1:7">
      <c r="A254" s="28">
        <v>29.6</v>
      </c>
      <c r="B254" s="29">
        <v>24.7996089594439</v>
      </c>
      <c r="C254" s="32">
        <f t="shared" si="10"/>
        <v>4.8003910405561</v>
      </c>
      <c r="D254" s="33">
        <f t="shared" si="11"/>
        <v>23.0437541422513</v>
      </c>
      <c r="E254" s="34">
        <f t="shared" si="12"/>
        <v>23.0437541422513</v>
      </c>
      <c r="F254" s="34"/>
      <c r="G254" s="34">
        <f>(A254-$F$2)^2</f>
        <v>49.9452264525298</v>
      </c>
    </row>
    <row r="255" spans="1:7">
      <c r="A255" s="28">
        <v>42.8</v>
      </c>
      <c r="B255" s="29">
        <v>29.3748131638359</v>
      </c>
      <c r="C255" s="32">
        <f t="shared" si="10"/>
        <v>13.4251868361641</v>
      </c>
      <c r="D255" s="33">
        <f t="shared" si="11"/>
        <v>180.235641585914</v>
      </c>
      <c r="E255" s="34">
        <f t="shared" si="12"/>
        <v>180.235641585914</v>
      </c>
      <c r="F255" s="34"/>
      <c r="G255" s="34">
        <f>(A255-$F$2)^2</f>
        <v>410.759139496007</v>
      </c>
    </row>
    <row r="256" spans="1:7">
      <c r="A256" s="28">
        <v>21.9</v>
      </c>
      <c r="B256" s="29">
        <v>23.505816623769</v>
      </c>
      <c r="C256" s="32">
        <f t="shared" si="10"/>
        <v>1.605816623769</v>
      </c>
      <c r="D256" s="33">
        <f t="shared" si="11"/>
        <v>2.57864702917288</v>
      </c>
      <c r="E256" s="34">
        <f t="shared" si="12"/>
        <v>2.57864702917288</v>
      </c>
      <c r="F256" s="34"/>
      <c r="G256" s="34">
        <f>(A256-$F$2)^2</f>
        <v>0.400443843834496</v>
      </c>
    </row>
    <row r="257" spans="1:7">
      <c r="A257" s="28">
        <v>20.9</v>
      </c>
      <c r="B257" s="29">
        <v>21.3131305229535</v>
      </c>
      <c r="C257" s="32">
        <f t="shared" si="10"/>
        <v>0.413130522953502</v>
      </c>
      <c r="D257" s="33">
        <f t="shared" si="11"/>
        <v>0.170676828995834</v>
      </c>
      <c r="E257" s="34">
        <f t="shared" si="12"/>
        <v>0.170676828995834</v>
      </c>
      <c r="F257" s="34"/>
      <c r="G257" s="34">
        <f>(A257-$F$2)^2</f>
        <v>2.66605649205589</v>
      </c>
    </row>
    <row r="258" spans="1:7">
      <c r="A258" s="28">
        <v>44</v>
      </c>
      <c r="B258" s="29">
        <v>37.6931417739749</v>
      </c>
      <c r="C258" s="32">
        <f t="shared" ref="C258:C321" si="13">ABS(A258-B258)</f>
        <v>6.3068582260251</v>
      </c>
      <c r="D258" s="33">
        <f t="shared" ref="D258:D321" si="14">C258^2</f>
        <v>39.7764606831805</v>
      </c>
      <c r="E258" s="34">
        <f t="shared" ref="E258:E321" si="15">(A258-B258)^2</f>
        <v>39.7764606831805</v>
      </c>
      <c r="F258" s="34"/>
      <c r="G258" s="34">
        <f>(A258-$F$2)^2</f>
        <v>460.840404318142</v>
      </c>
    </row>
    <row r="259" spans="1:7">
      <c r="A259" s="28">
        <v>50</v>
      </c>
      <c r="B259" s="29">
        <v>42.3228694867303</v>
      </c>
      <c r="C259" s="32">
        <f t="shared" si="13"/>
        <v>7.6771305132697</v>
      </c>
      <c r="D259" s="33">
        <f t="shared" si="14"/>
        <v>58.9383329177767</v>
      </c>
      <c r="E259" s="34">
        <f t="shared" si="15"/>
        <v>58.9383329177767</v>
      </c>
      <c r="F259" s="34"/>
      <c r="G259" s="34">
        <f>(A259-$F$2)^2</f>
        <v>754.446728428813</v>
      </c>
    </row>
    <row r="260" spans="1:7">
      <c r="A260" s="28">
        <v>36</v>
      </c>
      <c r="B260" s="29">
        <v>36.5153660524877</v>
      </c>
      <c r="C260" s="32">
        <f t="shared" si="13"/>
        <v>0.5153660524877</v>
      </c>
      <c r="D260" s="33">
        <f t="shared" si="14"/>
        <v>0.265602168056754</v>
      </c>
      <c r="E260" s="34">
        <f t="shared" si="15"/>
        <v>0.265602168056754</v>
      </c>
      <c r="F260" s="34"/>
      <c r="G260" s="34">
        <f>(A260-$F$2)^2</f>
        <v>181.365305503913</v>
      </c>
    </row>
    <row r="261" spans="1:7">
      <c r="A261" s="28">
        <v>30.1</v>
      </c>
      <c r="B261" s="29">
        <v>35.1845801088044</v>
      </c>
      <c r="C261" s="32">
        <f t="shared" si="13"/>
        <v>5.0845801088044</v>
      </c>
      <c r="D261" s="33">
        <f t="shared" si="14"/>
        <v>25.8529548828493</v>
      </c>
      <c r="E261" s="34">
        <f t="shared" si="15"/>
        <v>25.8529548828493</v>
      </c>
      <c r="F261" s="34"/>
      <c r="G261" s="34">
        <f>(A261-$F$2)^2</f>
        <v>57.2624201284191</v>
      </c>
    </row>
    <row r="262" spans="1:7">
      <c r="A262" s="28">
        <v>33.8</v>
      </c>
      <c r="B262" s="29">
        <v>35.0426987121221</v>
      </c>
      <c r="C262" s="32">
        <f t="shared" si="13"/>
        <v>1.24269871212211</v>
      </c>
      <c r="D262" s="33">
        <f t="shared" si="14"/>
        <v>1.54430008910994</v>
      </c>
      <c r="E262" s="34">
        <f t="shared" si="15"/>
        <v>1.54430008910994</v>
      </c>
      <c r="F262" s="34"/>
      <c r="G262" s="34">
        <f>(A262-$F$2)^2</f>
        <v>126.94965333</v>
      </c>
    </row>
    <row r="263" spans="1:7">
      <c r="A263" s="28">
        <v>43.1</v>
      </c>
      <c r="B263" s="29">
        <v>37.3929882255822</v>
      </c>
      <c r="C263" s="32">
        <f t="shared" si="13"/>
        <v>5.7070117744178</v>
      </c>
      <c r="D263" s="33">
        <f t="shared" si="14"/>
        <v>32.5699833933434</v>
      </c>
      <c r="E263" s="34">
        <f t="shared" si="15"/>
        <v>32.5699833933434</v>
      </c>
      <c r="F263" s="34"/>
      <c r="G263" s="34">
        <f>(A263-$F$2)^2</f>
        <v>423.009455701541</v>
      </c>
    </row>
    <row r="264" spans="1:7">
      <c r="A264" s="28">
        <v>48.8</v>
      </c>
      <c r="B264" s="29">
        <v>40.4584382767246</v>
      </c>
      <c r="C264" s="32">
        <f t="shared" si="13"/>
        <v>8.3415617232754</v>
      </c>
      <c r="D264" s="33">
        <f t="shared" si="14"/>
        <v>69.5816519832132</v>
      </c>
      <c r="E264" s="34">
        <f t="shared" si="15"/>
        <v>69.5816519832132</v>
      </c>
      <c r="F264" s="34"/>
      <c r="G264" s="34">
        <f>(A264-$F$2)^2</f>
        <v>689.965463606679</v>
      </c>
    </row>
    <row r="265" spans="1:7">
      <c r="A265" s="28">
        <v>31</v>
      </c>
      <c r="B265" s="29">
        <v>34.8171544213802</v>
      </c>
      <c r="C265" s="32">
        <f t="shared" si="13"/>
        <v>3.8171544213802</v>
      </c>
      <c r="D265" s="33">
        <f t="shared" si="14"/>
        <v>14.5706678766624</v>
      </c>
      <c r="E265" s="34">
        <f t="shared" si="15"/>
        <v>14.5706678766624</v>
      </c>
      <c r="F265" s="34"/>
      <c r="G265" s="34">
        <f>(A265-$F$2)^2</f>
        <v>71.6933687450198</v>
      </c>
    </row>
    <row r="266" spans="1:7">
      <c r="A266" s="28">
        <v>36.5</v>
      </c>
      <c r="B266" s="29">
        <v>36.0759917152359</v>
      </c>
      <c r="C266" s="32">
        <f t="shared" si="13"/>
        <v>0.424008284764099</v>
      </c>
      <c r="D266" s="33">
        <f t="shared" si="14"/>
        <v>0.179783025548593</v>
      </c>
      <c r="E266" s="34">
        <f t="shared" si="15"/>
        <v>0.179783025548593</v>
      </c>
      <c r="F266" s="34"/>
      <c r="G266" s="34">
        <f>(A266-$F$2)^2</f>
        <v>195.082499179802</v>
      </c>
    </row>
    <row r="267" spans="1:7">
      <c r="A267" s="28">
        <v>22.8</v>
      </c>
      <c r="B267" s="29">
        <v>28.7265459968209</v>
      </c>
      <c r="C267" s="32">
        <f t="shared" si="13"/>
        <v>5.9265459968209</v>
      </c>
      <c r="D267" s="33">
        <f t="shared" si="14"/>
        <v>35.1239474524338</v>
      </c>
      <c r="E267" s="34">
        <f t="shared" si="15"/>
        <v>35.1239474524338</v>
      </c>
      <c r="F267" s="34"/>
      <c r="G267" s="34">
        <f>(A267-$F$2)^2</f>
        <v>0.0713924604352377</v>
      </c>
    </row>
    <row r="268" spans="1:7">
      <c r="A268" s="28">
        <v>30.7</v>
      </c>
      <c r="B268" s="29">
        <v>31.1469821399114</v>
      </c>
      <c r="C268" s="32">
        <f t="shared" si="13"/>
        <v>0.446982139911402</v>
      </c>
      <c r="D268" s="33">
        <f t="shared" si="14"/>
        <v>0.199793033399776</v>
      </c>
      <c r="E268" s="34">
        <f t="shared" si="15"/>
        <v>0.199793033399776</v>
      </c>
      <c r="F268" s="34"/>
      <c r="G268" s="34">
        <f>(A268-$F$2)^2</f>
        <v>66.7030525394862</v>
      </c>
    </row>
    <row r="269" spans="1:7">
      <c r="A269" s="28">
        <v>50</v>
      </c>
      <c r="B269" s="29">
        <v>40.6814528879161</v>
      </c>
      <c r="C269" s="32">
        <f t="shared" si="13"/>
        <v>9.3185471120839</v>
      </c>
      <c r="D269" s="33">
        <f t="shared" si="14"/>
        <v>86.8353202801272</v>
      </c>
      <c r="E269" s="34">
        <f t="shared" si="15"/>
        <v>86.8353202801272</v>
      </c>
      <c r="F269" s="34"/>
      <c r="G269" s="34">
        <f>(A269-$F$2)^2</f>
        <v>754.446728428813</v>
      </c>
    </row>
    <row r="270" spans="1:7">
      <c r="A270" s="28">
        <v>43.5</v>
      </c>
      <c r="B270" s="29">
        <v>39.5201157189829</v>
      </c>
      <c r="C270" s="32">
        <f t="shared" si="13"/>
        <v>3.9798842810171</v>
      </c>
      <c r="D270" s="33">
        <f t="shared" si="14"/>
        <v>15.839478890287</v>
      </c>
      <c r="E270" s="34">
        <f t="shared" si="15"/>
        <v>15.839478890287</v>
      </c>
      <c r="F270" s="34"/>
      <c r="G270" s="34">
        <f>(A270-$F$2)^2</f>
        <v>439.623210642252</v>
      </c>
    </row>
    <row r="271" spans="1:7">
      <c r="A271" s="28">
        <v>20.7</v>
      </c>
      <c r="B271" s="29">
        <v>26.1070361849308</v>
      </c>
      <c r="C271" s="32">
        <f t="shared" si="13"/>
        <v>5.4070361849308</v>
      </c>
      <c r="D271" s="33">
        <f t="shared" si="14"/>
        <v>29.236040305151</v>
      </c>
      <c r="E271" s="34">
        <f t="shared" si="15"/>
        <v>29.236040305151</v>
      </c>
      <c r="F271" s="34"/>
      <c r="G271" s="34">
        <f>(A271-$F$2)^2</f>
        <v>3.35917902170017</v>
      </c>
    </row>
    <row r="272" spans="1:7">
      <c r="A272" s="28">
        <v>21.1</v>
      </c>
      <c r="B272" s="29">
        <v>22.0787431914464</v>
      </c>
      <c r="C272" s="32">
        <f t="shared" si="13"/>
        <v>0.978743191446398</v>
      </c>
      <c r="D272" s="33">
        <f t="shared" si="14"/>
        <v>0.95793823480268</v>
      </c>
      <c r="E272" s="34">
        <f t="shared" si="15"/>
        <v>0.95793823480268</v>
      </c>
      <c r="F272" s="34"/>
      <c r="G272" s="34">
        <f>(A272-$F$2)^2</f>
        <v>2.05293396241161</v>
      </c>
    </row>
    <row r="273" spans="1:7">
      <c r="A273" s="28">
        <v>25.2</v>
      </c>
      <c r="B273" s="29">
        <v>26.9483457212957</v>
      </c>
      <c r="C273" s="32">
        <f t="shared" si="13"/>
        <v>1.7483457212957</v>
      </c>
      <c r="D273" s="33">
        <f t="shared" si="14"/>
        <v>3.05671276117298</v>
      </c>
      <c r="E273" s="34">
        <f t="shared" si="15"/>
        <v>3.05671276117298</v>
      </c>
      <c r="F273" s="34"/>
      <c r="G273" s="34">
        <f>(A273-$F$2)^2</f>
        <v>7.11392210470388</v>
      </c>
    </row>
    <row r="274" spans="1:7">
      <c r="A274" s="28">
        <v>24.4</v>
      </c>
      <c r="B274" s="29">
        <v>28.3033260133505</v>
      </c>
      <c r="C274" s="32">
        <f t="shared" si="13"/>
        <v>3.9033260133505</v>
      </c>
      <c r="D274" s="33">
        <f t="shared" si="14"/>
        <v>15.2359539664987</v>
      </c>
      <c r="E274" s="34">
        <f t="shared" si="15"/>
        <v>15.2359539664987</v>
      </c>
      <c r="F274" s="34"/>
      <c r="G274" s="34">
        <f>(A274-$F$2)^2</f>
        <v>3.486412223281</v>
      </c>
    </row>
    <row r="275" spans="1:7">
      <c r="A275" s="28">
        <v>35.2</v>
      </c>
      <c r="B275" s="29">
        <v>35.1467490232319</v>
      </c>
      <c r="C275" s="32">
        <f t="shared" si="13"/>
        <v>0.0532509767681049</v>
      </c>
      <c r="D275" s="33">
        <f t="shared" si="14"/>
        <v>0.00283566652675724</v>
      </c>
      <c r="E275" s="34">
        <f t="shared" si="15"/>
        <v>0.00283566652675724</v>
      </c>
      <c r="F275" s="34"/>
      <c r="G275" s="34">
        <f>(A275-$F$2)^2</f>
        <v>160.45779562249</v>
      </c>
    </row>
    <row r="276" spans="1:7">
      <c r="A276" s="28">
        <v>32.4</v>
      </c>
      <c r="B276" s="29">
        <v>36.2437573092105</v>
      </c>
      <c r="C276" s="32">
        <f t="shared" si="13"/>
        <v>3.8437573092105</v>
      </c>
      <c r="D276" s="33">
        <f t="shared" si="14"/>
        <v>14.7744702521092</v>
      </c>
      <c r="E276" s="34">
        <f t="shared" si="15"/>
        <v>14.7744702521092</v>
      </c>
      <c r="F276" s="34"/>
      <c r="G276" s="34">
        <f>(A276-$F$2)^2</f>
        <v>97.3615110375098</v>
      </c>
    </row>
    <row r="277" spans="1:7">
      <c r="A277" s="28">
        <v>32</v>
      </c>
      <c r="B277" s="29">
        <v>34.0863710638502</v>
      </c>
      <c r="C277" s="32">
        <f t="shared" si="13"/>
        <v>2.0863710638502</v>
      </c>
      <c r="D277" s="33">
        <f t="shared" si="14"/>
        <v>4.35294421607142</v>
      </c>
      <c r="E277" s="34">
        <f t="shared" si="15"/>
        <v>4.35294421607142</v>
      </c>
      <c r="F277" s="34"/>
      <c r="G277" s="34">
        <f>(A277-$F$2)^2</f>
        <v>89.6277560967984</v>
      </c>
    </row>
    <row r="278" spans="1:7">
      <c r="A278" s="28">
        <v>33.2</v>
      </c>
      <c r="B278" s="29">
        <v>35.2869876246196</v>
      </c>
      <c r="C278" s="32">
        <f t="shared" si="13"/>
        <v>2.0869876246196</v>
      </c>
      <c r="D278" s="33">
        <f t="shared" si="14"/>
        <v>4.35551734531534</v>
      </c>
      <c r="E278" s="34">
        <f t="shared" si="15"/>
        <v>4.35551734531534</v>
      </c>
      <c r="F278" s="34"/>
      <c r="G278" s="34">
        <f>(A278-$F$2)^2</f>
        <v>113.789020918933</v>
      </c>
    </row>
    <row r="279" spans="1:7">
      <c r="A279" s="28">
        <v>33.1</v>
      </c>
      <c r="B279" s="29">
        <v>34.8421945156434</v>
      </c>
      <c r="C279" s="32">
        <f t="shared" si="13"/>
        <v>1.7421945156434</v>
      </c>
      <c r="D279" s="33">
        <f t="shared" si="14"/>
        <v>3.03524173033793</v>
      </c>
      <c r="E279" s="34">
        <f t="shared" si="15"/>
        <v>3.03524173033793</v>
      </c>
      <c r="F279" s="34"/>
      <c r="G279" s="34">
        <f>(A279-$F$2)^2</f>
        <v>111.665582183755</v>
      </c>
    </row>
    <row r="280" spans="1:7">
      <c r="A280" s="28">
        <v>29.1</v>
      </c>
      <c r="B280" s="29">
        <v>30.5747689328425</v>
      </c>
      <c r="C280" s="32">
        <f t="shared" si="13"/>
        <v>1.4747689328425</v>
      </c>
      <c r="D280" s="33">
        <f t="shared" si="14"/>
        <v>2.1749434052774</v>
      </c>
      <c r="E280" s="34">
        <f t="shared" si="15"/>
        <v>2.1749434052774</v>
      </c>
      <c r="F280" s="34"/>
      <c r="G280" s="34">
        <f>(A280-$F$2)^2</f>
        <v>43.1280327766405</v>
      </c>
    </row>
    <row r="281" spans="1:7">
      <c r="A281" s="28">
        <v>35.1</v>
      </c>
      <c r="B281" s="29">
        <v>34.9314412294928</v>
      </c>
      <c r="C281" s="32">
        <f t="shared" si="13"/>
        <v>0.168558770507204</v>
      </c>
      <c r="D281" s="33">
        <f t="shared" si="14"/>
        <v>0.0284120591149002</v>
      </c>
      <c r="E281" s="34">
        <f t="shared" si="15"/>
        <v>0.0284120591149002</v>
      </c>
      <c r="F281" s="34"/>
      <c r="G281" s="34">
        <f>(A281-$F$2)^2</f>
        <v>157.934356887312</v>
      </c>
    </row>
    <row r="282" spans="1:7">
      <c r="A282" s="28">
        <v>45.4</v>
      </c>
      <c r="B282" s="29">
        <v>38.6696731481381</v>
      </c>
      <c r="C282" s="32">
        <f t="shared" si="13"/>
        <v>6.7303268518619</v>
      </c>
      <c r="D282" s="33">
        <f t="shared" si="14"/>
        <v>45.2972995328933</v>
      </c>
      <c r="E282" s="34">
        <f t="shared" si="15"/>
        <v>45.2972995328933</v>
      </c>
      <c r="F282" s="34"/>
      <c r="G282" s="34">
        <f>(A282-$F$2)^2</f>
        <v>522.908546610632</v>
      </c>
    </row>
    <row r="283" spans="1:7">
      <c r="A283" s="28">
        <v>35.4</v>
      </c>
      <c r="B283" s="29">
        <v>34.3697598410204</v>
      </c>
      <c r="C283" s="32">
        <f t="shared" si="13"/>
        <v>1.0302401589796</v>
      </c>
      <c r="D283" s="33">
        <f t="shared" si="14"/>
        <v>1.06139478517432</v>
      </c>
      <c r="E283" s="34">
        <f t="shared" si="15"/>
        <v>1.06139478517432</v>
      </c>
      <c r="F283" s="34"/>
      <c r="G283" s="34">
        <f>(A283-$F$2)^2</f>
        <v>165.564673092846</v>
      </c>
    </row>
    <row r="284" spans="1:7">
      <c r="A284" s="28">
        <v>46</v>
      </c>
      <c r="B284" s="29">
        <v>40.1419898381428</v>
      </c>
      <c r="C284" s="32">
        <f t="shared" si="13"/>
        <v>5.8580101618572</v>
      </c>
      <c r="D284" s="33">
        <f t="shared" si="14"/>
        <v>34.3162830564222</v>
      </c>
      <c r="E284" s="34">
        <f t="shared" si="15"/>
        <v>34.3162830564222</v>
      </c>
      <c r="F284" s="34"/>
      <c r="G284" s="34">
        <f>(A284-$F$2)^2</f>
        <v>550.709179021699</v>
      </c>
    </row>
    <row r="285" spans="1:7">
      <c r="A285" s="28">
        <v>50</v>
      </c>
      <c r="B285" s="29">
        <v>44.6324019859696</v>
      </c>
      <c r="C285" s="32">
        <f t="shared" si="13"/>
        <v>5.3675980140304</v>
      </c>
      <c r="D285" s="33">
        <f t="shared" si="14"/>
        <v>28.8111084402231</v>
      </c>
      <c r="E285" s="34">
        <f t="shared" si="15"/>
        <v>28.8111084402231</v>
      </c>
      <c r="F285" s="34"/>
      <c r="G285" s="34">
        <f>(A285-$F$2)^2</f>
        <v>754.446728428813</v>
      </c>
    </row>
    <row r="286" spans="1:7">
      <c r="A286" s="28">
        <v>32.2</v>
      </c>
      <c r="B286" s="29">
        <v>31.8163443021253</v>
      </c>
      <c r="C286" s="32">
        <f t="shared" si="13"/>
        <v>0.383655697874701</v>
      </c>
      <c r="D286" s="33">
        <f t="shared" si="14"/>
        <v>0.147191694511724</v>
      </c>
      <c r="E286" s="34">
        <f t="shared" si="15"/>
        <v>0.147191694511724</v>
      </c>
      <c r="F286" s="34"/>
      <c r="G286" s="34">
        <f>(A286-$F$2)^2</f>
        <v>93.4546335671542</v>
      </c>
    </row>
    <row r="287" spans="1:7">
      <c r="A287" s="28">
        <v>22</v>
      </c>
      <c r="B287" s="29">
        <v>27.3188771915574</v>
      </c>
      <c r="C287" s="32">
        <f t="shared" si="13"/>
        <v>5.3188771915574</v>
      </c>
      <c r="D287" s="33">
        <f t="shared" si="14"/>
        <v>28.2904545788696</v>
      </c>
      <c r="E287" s="34">
        <f t="shared" si="15"/>
        <v>28.2904545788696</v>
      </c>
      <c r="F287" s="34"/>
      <c r="G287" s="34">
        <f>(A287-$F$2)^2</f>
        <v>0.283882579012354</v>
      </c>
    </row>
    <row r="288" spans="1:7">
      <c r="A288" s="28">
        <v>20.1</v>
      </c>
      <c r="B288" s="29">
        <v>19.7819098620236</v>
      </c>
      <c r="C288" s="32">
        <f t="shared" si="13"/>
        <v>0.318090137976402</v>
      </c>
      <c r="D288" s="33">
        <f t="shared" si="14"/>
        <v>0.101181335877846</v>
      </c>
      <c r="E288" s="34">
        <f t="shared" si="15"/>
        <v>0.101181335877846</v>
      </c>
      <c r="F288" s="34"/>
      <c r="G288" s="34">
        <f>(A288-$F$2)^2</f>
        <v>5.918546610633</v>
      </c>
    </row>
    <row r="289" spans="1:7">
      <c r="A289" s="28">
        <v>23.2</v>
      </c>
      <c r="B289" s="29">
        <v>26.88407675188</v>
      </c>
      <c r="C289" s="32">
        <f t="shared" si="13"/>
        <v>3.68407675188</v>
      </c>
      <c r="D289" s="33">
        <f t="shared" si="14"/>
        <v>13.5724215137427</v>
      </c>
      <c r="E289" s="34">
        <f t="shared" si="15"/>
        <v>13.5724215137427</v>
      </c>
      <c r="F289" s="34"/>
      <c r="G289" s="34">
        <f>(A289-$F$2)^2</f>
        <v>0.445147401146678</v>
      </c>
    </row>
    <row r="290" spans="1:7">
      <c r="A290" s="28">
        <v>22.3</v>
      </c>
      <c r="B290" s="29">
        <v>27.3515001608244</v>
      </c>
      <c r="C290" s="32">
        <f t="shared" si="13"/>
        <v>5.0515001608244</v>
      </c>
      <c r="D290" s="33">
        <f t="shared" si="14"/>
        <v>25.5176538748089</v>
      </c>
      <c r="E290" s="34">
        <f t="shared" si="15"/>
        <v>25.5176538748089</v>
      </c>
      <c r="F290" s="34"/>
      <c r="G290" s="34">
        <f>(A290-$F$2)^2</f>
        <v>0.0541987845459351</v>
      </c>
    </row>
    <row r="291" spans="1:7">
      <c r="A291" s="28">
        <v>24.8</v>
      </c>
      <c r="B291" s="29">
        <v>26.9730822198123</v>
      </c>
      <c r="C291" s="32">
        <f t="shared" si="13"/>
        <v>2.1730822198123</v>
      </c>
      <c r="D291" s="33">
        <f t="shared" si="14"/>
        <v>4.72228633406436</v>
      </c>
      <c r="E291" s="34">
        <f t="shared" si="15"/>
        <v>4.72228633406436</v>
      </c>
      <c r="F291" s="34"/>
      <c r="G291" s="34">
        <f>(A291-$F$2)^2</f>
        <v>5.14016716399245</v>
      </c>
    </row>
    <row r="292" spans="1:7">
      <c r="A292" s="28">
        <v>28.5</v>
      </c>
      <c r="B292" s="29">
        <v>33.9204101371206</v>
      </c>
      <c r="C292" s="32">
        <f t="shared" si="13"/>
        <v>5.4204101371206</v>
      </c>
      <c r="D292" s="33">
        <f t="shared" si="14"/>
        <v>29.3808460545997</v>
      </c>
      <c r="E292" s="34">
        <f t="shared" si="15"/>
        <v>29.3808460545997</v>
      </c>
      <c r="F292" s="34"/>
      <c r="G292" s="34">
        <f>(A292-$F$2)^2</f>
        <v>35.6074003655733</v>
      </c>
    </row>
    <row r="293" spans="1:7">
      <c r="A293" s="28">
        <v>37.3</v>
      </c>
      <c r="B293" s="29">
        <v>33.8373241886026</v>
      </c>
      <c r="C293" s="32">
        <f t="shared" si="13"/>
        <v>3.4626758113974</v>
      </c>
      <c r="D293" s="33">
        <f t="shared" si="14"/>
        <v>11.9901237748366</v>
      </c>
      <c r="E293" s="34">
        <f t="shared" si="15"/>
        <v>11.9901237748366</v>
      </c>
      <c r="F293" s="34"/>
      <c r="G293" s="34">
        <f>(A293-$F$2)^2</f>
        <v>218.070009061225</v>
      </c>
    </row>
    <row r="294" spans="1:7">
      <c r="A294" s="28">
        <v>27.9</v>
      </c>
      <c r="B294" s="29">
        <v>31.5623046628508</v>
      </c>
      <c r="C294" s="32">
        <f t="shared" si="13"/>
        <v>3.6623046628508</v>
      </c>
      <c r="D294" s="33">
        <f t="shared" si="14"/>
        <v>13.4124754435387</v>
      </c>
      <c r="E294" s="34">
        <f t="shared" si="15"/>
        <v>13.4124754435387</v>
      </c>
      <c r="F294" s="34"/>
      <c r="G294" s="34">
        <f>(A294-$F$2)^2</f>
        <v>28.8067679545061</v>
      </c>
    </row>
    <row r="295" spans="1:7">
      <c r="A295" s="28">
        <v>23.9</v>
      </c>
      <c r="B295" s="29">
        <v>25.83516701321</v>
      </c>
      <c r="C295" s="32">
        <f t="shared" si="13"/>
        <v>1.93516701321</v>
      </c>
      <c r="D295" s="33">
        <f t="shared" si="14"/>
        <v>3.74487136901612</v>
      </c>
      <c r="E295" s="34">
        <f t="shared" si="15"/>
        <v>3.74487136901612</v>
      </c>
      <c r="F295" s="34"/>
      <c r="G295" s="34">
        <f>(A295-$F$2)^2</f>
        <v>1.8692185473917</v>
      </c>
    </row>
    <row r="296" spans="1:7">
      <c r="A296" s="28">
        <v>21.7</v>
      </c>
      <c r="B296" s="29">
        <v>24.4098478941929</v>
      </c>
      <c r="C296" s="32">
        <f t="shared" si="13"/>
        <v>2.7098478941929</v>
      </c>
      <c r="D296" s="33">
        <f t="shared" si="14"/>
        <v>7.3432756096617</v>
      </c>
      <c r="E296" s="34">
        <f t="shared" si="15"/>
        <v>7.3432756096617</v>
      </c>
      <c r="F296" s="34"/>
      <c r="G296" s="34">
        <f>(A296-$F$2)^2</f>
        <v>0.693566373478774</v>
      </c>
    </row>
    <row r="297" spans="1:7">
      <c r="A297" s="28">
        <v>28.6</v>
      </c>
      <c r="B297" s="29">
        <v>28.4692321619295</v>
      </c>
      <c r="C297" s="32">
        <f t="shared" si="13"/>
        <v>0.130767838070501</v>
      </c>
      <c r="D297" s="33">
        <f t="shared" si="14"/>
        <v>0.0171002274736327</v>
      </c>
      <c r="E297" s="34">
        <f t="shared" si="15"/>
        <v>0.0171002274736327</v>
      </c>
      <c r="F297" s="34"/>
      <c r="G297" s="34">
        <f>(A297-$F$2)^2</f>
        <v>36.8108391007512</v>
      </c>
    </row>
    <row r="298" spans="1:7">
      <c r="A298" s="28">
        <v>27.1</v>
      </c>
      <c r="B298" s="29">
        <v>27.4660597502378</v>
      </c>
      <c r="C298" s="32">
        <f t="shared" si="13"/>
        <v>0.366059750237799</v>
      </c>
      <c r="D298" s="33">
        <f t="shared" si="14"/>
        <v>0.13399974074416</v>
      </c>
      <c r="E298" s="34">
        <f t="shared" si="15"/>
        <v>0.13399974074416</v>
      </c>
      <c r="F298" s="34"/>
      <c r="G298" s="34">
        <f>(A298-$F$2)^2</f>
        <v>20.8592580730832</v>
      </c>
    </row>
    <row r="299" spans="1:7">
      <c r="A299" s="28">
        <v>20.3</v>
      </c>
      <c r="B299" s="29">
        <v>19.3335920881269</v>
      </c>
      <c r="C299" s="32">
        <f t="shared" si="13"/>
        <v>0.966407911873102</v>
      </c>
      <c r="D299" s="33">
        <f t="shared" si="14"/>
        <v>0.933944252130929</v>
      </c>
      <c r="E299" s="34">
        <f t="shared" si="15"/>
        <v>0.933944252130929</v>
      </c>
      <c r="F299" s="34"/>
      <c r="G299" s="34">
        <f>(A299-$F$2)^2</f>
        <v>4.98542408098873</v>
      </c>
    </row>
    <row r="300" spans="1:7">
      <c r="A300" s="28">
        <v>22.5</v>
      </c>
      <c r="B300" s="29">
        <v>29.4343717727209</v>
      </c>
      <c r="C300" s="32">
        <f t="shared" si="13"/>
        <v>6.9343717727209</v>
      </c>
      <c r="D300" s="33">
        <f t="shared" si="14"/>
        <v>48.0855118823084</v>
      </c>
      <c r="E300" s="34">
        <f t="shared" si="15"/>
        <v>48.0855118823084</v>
      </c>
      <c r="F300" s="34"/>
      <c r="G300" s="34">
        <f>(A300-$F$2)^2</f>
        <v>0.00107625490165618</v>
      </c>
    </row>
    <row r="301" spans="1:7">
      <c r="A301" s="28">
        <v>29</v>
      </c>
      <c r="B301" s="29">
        <v>31.7998381430467</v>
      </c>
      <c r="C301" s="32">
        <f t="shared" si="13"/>
        <v>2.7998381430467</v>
      </c>
      <c r="D301" s="33">
        <f t="shared" si="14"/>
        <v>7.83909362725919</v>
      </c>
      <c r="E301" s="34">
        <f t="shared" si="15"/>
        <v>7.83909362725919</v>
      </c>
      <c r="F301" s="34"/>
      <c r="G301" s="34">
        <f>(A301-$F$2)^2</f>
        <v>41.8245940414626</v>
      </c>
    </row>
    <row r="302" spans="1:7">
      <c r="A302" s="28">
        <v>24.8</v>
      </c>
      <c r="B302" s="29">
        <v>30.8665292850741</v>
      </c>
      <c r="C302" s="32">
        <f t="shared" si="13"/>
        <v>6.0665292850741</v>
      </c>
      <c r="D302" s="33">
        <f t="shared" si="14"/>
        <v>36.8027775666617</v>
      </c>
      <c r="E302" s="34">
        <f t="shared" si="15"/>
        <v>36.8027775666617</v>
      </c>
      <c r="F302" s="34"/>
      <c r="G302" s="34">
        <f>(A302-$F$2)^2</f>
        <v>5.14016716399245</v>
      </c>
    </row>
    <row r="303" spans="1:7">
      <c r="A303" s="28">
        <v>22</v>
      </c>
      <c r="B303" s="29">
        <v>29.0505360193736</v>
      </c>
      <c r="C303" s="32">
        <f t="shared" si="13"/>
        <v>7.0505360193736</v>
      </c>
      <c r="D303" s="33">
        <f t="shared" si="14"/>
        <v>49.7100581604845</v>
      </c>
      <c r="E303" s="34">
        <f t="shared" si="15"/>
        <v>49.7100581604845</v>
      </c>
      <c r="F303" s="34"/>
      <c r="G303" s="34">
        <f>(A303-$F$2)^2</f>
        <v>0.283882579012354</v>
      </c>
    </row>
    <row r="304" spans="1:7">
      <c r="A304" s="28">
        <v>26.4</v>
      </c>
      <c r="B304" s="29">
        <v>28.8567753596352</v>
      </c>
      <c r="C304" s="32">
        <f t="shared" si="13"/>
        <v>2.4567753596352</v>
      </c>
      <c r="D304" s="33">
        <f t="shared" si="14"/>
        <v>6.03574516771068</v>
      </c>
      <c r="E304" s="34">
        <f t="shared" si="15"/>
        <v>6.03574516771068</v>
      </c>
      <c r="F304" s="34"/>
      <c r="G304" s="34">
        <f>(A304-$F$2)^2</f>
        <v>14.9551869268382</v>
      </c>
    </row>
    <row r="305" spans="1:7">
      <c r="A305" s="28">
        <v>33.1</v>
      </c>
      <c r="B305" s="29">
        <v>32.9588999077375</v>
      </c>
      <c r="C305" s="32">
        <f t="shared" si="13"/>
        <v>0.141100092262505</v>
      </c>
      <c r="D305" s="33">
        <f t="shared" si="14"/>
        <v>0.0199092360364874</v>
      </c>
      <c r="E305" s="34">
        <f t="shared" si="15"/>
        <v>0.0199092360364874</v>
      </c>
      <c r="F305" s="34"/>
      <c r="G305" s="34">
        <f>(A305-$F$2)^2</f>
        <v>111.665582183755</v>
      </c>
    </row>
    <row r="306" spans="1:7">
      <c r="A306" s="28">
        <v>36.1</v>
      </c>
      <c r="B306" s="29">
        <v>32.8641822751782</v>
      </c>
      <c r="C306" s="32">
        <f t="shared" si="13"/>
        <v>3.2358177248218</v>
      </c>
      <c r="D306" s="33">
        <f t="shared" si="14"/>
        <v>10.4705163482709</v>
      </c>
      <c r="E306" s="34">
        <f t="shared" si="15"/>
        <v>10.4705163482709</v>
      </c>
      <c r="F306" s="34"/>
      <c r="G306" s="34">
        <f>(A306-$F$2)^2</f>
        <v>184.068744239091</v>
      </c>
    </row>
    <row r="307" spans="1:7">
      <c r="A307" s="28">
        <v>28.4</v>
      </c>
      <c r="B307" s="29">
        <v>30.8047630874055</v>
      </c>
      <c r="C307" s="32">
        <f t="shared" si="13"/>
        <v>2.4047630874055</v>
      </c>
      <c r="D307" s="33">
        <f t="shared" si="14"/>
        <v>5.78288550654804</v>
      </c>
      <c r="E307" s="34">
        <f t="shared" si="15"/>
        <v>5.78288550654804</v>
      </c>
      <c r="F307" s="34"/>
      <c r="G307" s="34">
        <f>(A307-$F$2)^2</f>
        <v>34.4239616303954</v>
      </c>
    </row>
    <row r="308" spans="1:7">
      <c r="A308" s="28">
        <v>33.4</v>
      </c>
      <c r="B308" s="29">
        <v>35.8618019549933</v>
      </c>
      <c r="C308" s="32">
        <f t="shared" si="13"/>
        <v>2.4618019549933</v>
      </c>
      <c r="D308" s="33">
        <f t="shared" si="14"/>
        <v>6.06046886560882</v>
      </c>
      <c r="E308" s="34">
        <f t="shared" si="15"/>
        <v>6.06046886560882</v>
      </c>
      <c r="F308" s="34"/>
      <c r="G308" s="34">
        <f>(A308-$F$2)^2</f>
        <v>118.095898389288</v>
      </c>
    </row>
    <row r="309" spans="1:7">
      <c r="A309" s="28">
        <v>28.2</v>
      </c>
      <c r="B309" s="29">
        <v>32.9571226787574</v>
      </c>
      <c r="C309" s="32">
        <f t="shared" si="13"/>
        <v>4.7571226787574</v>
      </c>
      <c r="D309" s="33">
        <f t="shared" si="14"/>
        <v>22.630216180748</v>
      </c>
      <c r="E309" s="34">
        <f t="shared" si="15"/>
        <v>22.630216180748</v>
      </c>
      <c r="F309" s="34"/>
      <c r="G309" s="34">
        <f>(A309-$F$2)^2</f>
        <v>32.1170841600397</v>
      </c>
    </row>
    <row r="310" spans="1:7">
      <c r="A310" s="28">
        <v>22.8</v>
      </c>
      <c r="B310" s="29">
        <v>28.2328492690107</v>
      </c>
      <c r="C310" s="32">
        <f t="shared" si="13"/>
        <v>5.4328492690107</v>
      </c>
      <c r="D310" s="33">
        <f t="shared" si="14"/>
        <v>29.5158511797901</v>
      </c>
      <c r="E310" s="34">
        <f t="shared" si="15"/>
        <v>29.5158511797901</v>
      </c>
      <c r="F310" s="34"/>
      <c r="G310" s="34">
        <f>(A310-$F$2)^2</f>
        <v>0.0713924604352377</v>
      </c>
    </row>
    <row r="311" spans="1:7">
      <c r="A311" s="28">
        <v>20.3</v>
      </c>
      <c r="B311" s="29">
        <v>23.6671502972616</v>
      </c>
      <c r="C311" s="32">
        <f t="shared" si="13"/>
        <v>3.3671502972616</v>
      </c>
      <c r="D311" s="33">
        <f t="shared" si="14"/>
        <v>11.3377011243489</v>
      </c>
      <c r="E311" s="34">
        <f t="shared" si="15"/>
        <v>11.3377011243489</v>
      </c>
      <c r="F311" s="34"/>
      <c r="G311" s="34">
        <f>(A311-$F$2)^2</f>
        <v>4.98542408098873</v>
      </c>
    </row>
    <row r="312" spans="1:7">
      <c r="A312" s="28">
        <v>16.1</v>
      </c>
      <c r="B312" s="29">
        <v>18.7433154156326</v>
      </c>
      <c r="C312" s="32">
        <f t="shared" si="13"/>
        <v>2.6433154156326</v>
      </c>
      <c r="D312" s="33">
        <f t="shared" si="14"/>
        <v>6.98711638652094</v>
      </c>
      <c r="E312" s="34">
        <f t="shared" si="15"/>
        <v>6.98711638652094</v>
      </c>
      <c r="F312" s="34"/>
      <c r="G312" s="34">
        <f>(A312-$F$2)^2</f>
        <v>41.3809972035186</v>
      </c>
    </row>
    <row r="313" spans="1:7">
      <c r="A313" s="28">
        <v>22.1</v>
      </c>
      <c r="B313" s="29">
        <v>27.026361000015</v>
      </c>
      <c r="C313" s="32">
        <f t="shared" si="13"/>
        <v>4.926361000015</v>
      </c>
      <c r="D313" s="33">
        <f t="shared" si="14"/>
        <v>24.2690327024688</v>
      </c>
      <c r="E313" s="34">
        <f t="shared" si="15"/>
        <v>24.2690327024688</v>
      </c>
      <c r="F313" s="34"/>
      <c r="G313" s="34">
        <f>(A313-$F$2)^2</f>
        <v>0.187321314190213</v>
      </c>
    </row>
    <row r="314" spans="1:7">
      <c r="A314" s="28">
        <v>19.4</v>
      </c>
      <c r="B314" s="29">
        <v>23.3383489904671</v>
      </c>
      <c r="C314" s="32">
        <f t="shared" si="13"/>
        <v>3.9383489904671</v>
      </c>
      <c r="D314" s="33">
        <f t="shared" si="14"/>
        <v>15.5105927707132</v>
      </c>
      <c r="E314" s="34">
        <f t="shared" si="15"/>
        <v>15.5105927707132</v>
      </c>
      <c r="F314" s="34"/>
      <c r="G314" s="34">
        <f>(A314-$F$2)^2</f>
        <v>9.81447546438799</v>
      </c>
    </row>
    <row r="315" spans="1:7">
      <c r="A315" s="28">
        <v>21.6</v>
      </c>
      <c r="B315" s="29">
        <v>25.5511008384615</v>
      </c>
      <c r="C315" s="32">
        <f t="shared" si="13"/>
        <v>3.9511008384615</v>
      </c>
      <c r="D315" s="33">
        <f t="shared" si="14"/>
        <v>15.6111978356912</v>
      </c>
      <c r="E315" s="34">
        <f t="shared" si="15"/>
        <v>15.6111978356912</v>
      </c>
      <c r="F315" s="34"/>
      <c r="G315" s="34">
        <f>(A315-$F$2)^2</f>
        <v>0.87012763830091</v>
      </c>
    </row>
    <row r="316" spans="1:7">
      <c r="A316" s="28">
        <v>23.8</v>
      </c>
      <c r="B316" s="29">
        <v>25.4813285696272</v>
      </c>
      <c r="C316" s="32">
        <f t="shared" si="13"/>
        <v>1.6813285696272</v>
      </c>
      <c r="D316" s="33">
        <f t="shared" si="14"/>
        <v>2.82686575904464</v>
      </c>
      <c r="E316" s="34">
        <f t="shared" si="15"/>
        <v>2.82686575904464</v>
      </c>
      <c r="F316" s="34"/>
      <c r="G316" s="34">
        <f>(A316-$F$2)^2</f>
        <v>1.60577981221384</v>
      </c>
    </row>
    <row r="317" spans="1:7">
      <c r="A317" s="28">
        <v>16.2</v>
      </c>
      <c r="B317" s="29">
        <v>20.7086341120619</v>
      </c>
      <c r="C317" s="32">
        <f t="shared" si="13"/>
        <v>4.5086341120619</v>
      </c>
      <c r="D317" s="33">
        <f t="shared" si="14"/>
        <v>20.3277815564482</v>
      </c>
      <c r="E317" s="34">
        <f t="shared" si="15"/>
        <v>20.3277815564482</v>
      </c>
      <c r="F317" s="34"/>
      <c r="G317" s="34">
        <f>(A317-$F$2)^2</f>
        <v>40.1044359386965</v>
      </c>
    </row>
    <row r="318" spans="1:7">
      <c r="A318" s="28">
        <v>17.8</v>
      </c>
      <c r="B318" s="29">
        <v>17.5848081056287</v>
      </c>
      <c r="C318" s="32">
        <f t="shared" si="13"/>
        <v>0.215191894371301</v>
      </c>
      <c r="D318" s="33">
        <f t="shared" si="14"/>
        <v>0.0463075514031093</v>
      </c>
      <c r="E318" s="34">
        <f t="shared" si="15"/>
        <v>0.0463075514031093</v>
      </c>
      <c r="F318" s="34"/>
      <c r="G318" s="34">
        <f>(A318-$F$2)^2</f>
        <v>22.3994557015422</v>
      </c>
    </row>
    <row r="319" spans="1:7">
      <c r="A319" s="28">
        <v>19.8</v>
      </c>
      <c r="B319" s="29">
        <v>18.3452197481539</v>
      </c>
      <c r="C319" s="32">
        <f t="shared" si="13"/>
        <v>1.4547802518461</v>
      </c>
      <c r="D319" s="33">
        <f t="shared" si="14"/>
        <v>2.1163855811614</v>
      </c>
      <c r="E319" s="34">
        <f t="shared" si="15"/>
        <v>2.1163855811614</v>
      </c>
      <c r="F319" s="34"/>
      <c r="G319" s="34">
        <f>(A319-$F$2)^2</f>
        <v>7.46823040509942</v>
      </c>
    </row>
    <row r="320" spans="1:7">
      <c r="A320" s="28">
        <v>23.1</v>
      </c>
      <c r="B320" s="29">
        <v>24.3470509324076</v>
      </c>
      <c r="C320" s="32">
        <f t="shared" si="13"/>
        <v>1.2470509324076</v>
      </c>
      <c r="D320" s="33">
        <f t="shared" si="14"/>
        <v>1.55513602801866</v>
      </c>
      <c r="E320" s="34">
        <f t="shared" si="15"/>
        <v>1.55513602801866</v>
      </c>
      <c r="F320" s="34"/>
      <c r="G320" s="34">
        <f>(A320-$F$2)^2</f>
        <v>0.32170866596882</v>
      </c>
    </row>
    <row r="321" spans="1:7">
      <c r="A321" s="28">
        <v>21</v>
      </c>
      <c r="B321" s="29">
        <v>21.3623666701603</v>
      </c>
      <c r="C321" s="32">
        <f t="shared" si="13"/>
        <v>0.362366670160299</v>
      </c>
      <c r="D321" s="33">
        <f t="shared" si="14"/>
        <v>0.131309603643063</v>
      </c>
      <c r="E321" s="34">
        <f t="shared" si="15"/>
        <v>0.131309603643063</v>
      </c>
      <c r="F321" s="34"/>
      <c r="G321" s="34">
        <f>(A321-$F$2)^2</f>
        <v>2.34949522723375</v>
      </c>
    </row>
    <row r="322" spans="1:7">
      <c r="A322" s="28">
        <v>23.8</v>
      </c>
      <c r="B322" s="29">
        <v>24.8258674027626</v>
      </c>
      <c r="C322" s="32">
        <f t="shared" ref="C322:C385" si="16">ABS(A322-B322)</f>
        <v>1.0258674027626</v>
      </c>
      <c r="D322" s="33">
        <f t="shared" ref="D322:D385" si="17">C322^2</f>
        <v>1.05240392805088</v>
      </c>
      <c r="E322" s="34">
        <f t="shared" ref="E322:E385" si="18">(A322-B322)^2</f>
        <v>1.05240392805088</v>
      </c>
      <c r="F322" s="34"/>
      <c r="G322" s="34">
        <f>(A322-$F$2)^2</f>
        <v>1.60577981221384</v>
      </c>
    </row>
    <row r="323" spans="1:7">
      <c r="A323" s="28">
        <v>23.1</v>
      </c>
      <c r="B323" s="29">
        <v>24.9484768358677</v>
      </c>
      <c r="C323" s="32">
        <f t="shared" si="16"/>
        <v>1.8484768358677</v>
      </c>
      <c r="D323" s="33">
        <f t="shared" si="17"/>
        <v>3.41686661273946</v>
      </c>
      <c r="E323" s="34">
        <f t="shared" si="18"/>
        <v>3.41686661273946</v>
      </c>
      <c r="F323" s="34"/>
      <c r="G323" s="34">
        <f>(A323-$F$2)^2</f>
        <v>0.32170866596882</v>
      </c>
    </row>
    <row r="324" spans="1:7">
      <c r="A324" s="28">
        <v>20.4</v>
      </c>
      <c r="B324" s="29">
        <v>22.6098995643832</v>
      </c>
      <c r="C324" s="32">
        <f t="shared" si="16"/>
        <v>2.2098995643832</v>
      </c>
      <c r="D324" s="33">
        <f t="shared" si="17"/>
        <v>4.88365608466106</v>
      </c>
      <c r="E324" s="34">
        <f t="shared" si="18"/>
        <v>4.88365608466106</v>
      </c>
      <c r="F324" s="34"/>
      <c r="G324" s="34">
        <f>(A324-$F$2)^2</f>
        <v>4.54886281616659</v>
      </c>
    </row>
    <row r="325" spans="1:7">
      <c r="A325" s="28">
        <v>18.5</v>
      </c>
      <c r="B325" s="29">
        <v>19.6200768292973</v>
      </c>
      <c r="C325" s="32">
        <f t="shared" si="16"/>
        <v>1.1200768292973</v>
      </c>
      <c r="D325" s="33">
        <f t="shared" si="17"/>
        <v>1.25457210352869</v>
      </c>
      <c r="E325" s="34">
        <f t="shared" si="18"/>
        <v>1.25457210352869</v>
      </c>
      <c r="F325" s="34"/>
      <c r="G325" s="34">
        <f>(A325-$F$2)^2</f>
        <v>16.2635268477872</v>
      </c>
    </row>
    <row r="326" spans="1:7">
      <c r="A326" s="28">
        <v>25</v>
      </c>
      <c r="B326" s="29">
        <v>25.1678973649264</v>
      </c>
      <c r="C326" s="32">
        <f t="shared" si="16"/>
        <v>0.1678973649264</v>
      </c>
      <c r="D326" s="33">
        <f t="shared" si="17"/>
        <v>0.0281895251492288</v>
      </c>
      <c r="E326" s="34">
        <f t="shared" si="18"/>
        <v>0.0281895251492288</v>
      </c>
      <c r="F326" s="34"/>
      <c r="G326" s="34">
        <f>(A326-$F$2)^2</f>
        <v>6.08704463434817</v>
      </c>
    </row>
    <row r="327" spans="1:7">
      <c r="A327" s="28">
        <v>24.6</v>
      </c>
      <c r="B327" s="29">
        <v>24.702545107427</v>
      </c>
      <c r="C327" s="32">
        <f t="shared" si="16"/>
        <v>0.102545107426998</v>
      </c>
      <c r="D327" s="33">
        <f t="shared" si="17"/>
        <v>0.0105154990572146</v>
      </c>
      <c r="E327" s="34">
        <f t="shared" si="18"/>
        <v>0.0105154990572146</v>
      </c>
      <c r="F327" s="34"/>
      <c r="G327" s="34">
        <f>(A327-$F$2)^2</f>
        <v>4.27328969363673</v>
      </c>
    </row>
    <row r="328" spans="1:7">
      <c r="A328" s="28">
        <v>23</v>
      </c>
      <c r="B328" s="29">
        <v>23.9069549625134</v>
      </c>
      <c r="C328" s="32">
        <f t="shared" si="16"/>
        <v>0.906954962513399</v>
      </c>
      <c r="D328" s="33">
        <f t="shared" si="17"/>
        <v>0.822567304027682</v>
      </c>
      <c r="E328" s="34">
        <f t="shared" si="18"/>
        <v>0.822567304027682</v>
      </c>
      <c r="F328" s="34"/>
      <c r="G328" s="34">
        <f>(A328-$F$2)^2</f>
        <v>0.218269930790958</v>
      </c>
    </row>
    <row r="329" spans="1:7">
      <c r="A329" s="28">
        <v>22.2</v>
      </c>
      <c r="B329" s="29">
        <v>19.3911249761917</v>
      </c>
      <c r="C329" s="32">
        <f t="shared" si="16"/>
        <v>2.8088750238083</v>
      </c>
      <c r="D329" s="33">
        <f t="shared" si="17"/>
        <v>7.88977889937407</v>
      </c>
      <c r="E329" s="34">
        <f t="shared" si="18"/>
        <v>7.88977889937407</v>
      </c>
      <c r="F329" s="34"/>
      <c r="G329" s="34">
        <f>(A329-$F$2)^2</f>
        <v>0.110760049368076</v>
      </c>
    </row>
    <row r="330" spans="1:7">
      <c r="A330" s="28">
        <v>19.3</v>
      </c>
      <c r="B330" s="29">
        <v>21.2323701599721</v>
      </c>
      <c r="C330" s="32">
        <f t="shared" si="16"/>
        <v>1.9323701599721</v>
      </c>
      <c r="D330" s="33">
        <f t="shared" si="17"/>
        <v>3.73405443515059</v>
      </c>
      <c r="E330" s="34">
        <f t="shared" si="18"/>
        <v>3.73405443515059</v>
      </c>
      <c r="F330" s="34"/>
      <c r="G330" s="34">
        <f>(A330-$F$2)^2</f>
        <v>10.4510367292101</v>
      </c>
    </row>
    <row r="331" spans="1:7">
      <c r="A331" s="28">
        <v>22.6</v>
      </c>
      <c r="B331" s="29">
        <v>23.991436687761</v>
      </c>
      <c r="C331" s="32">
        <f t="shared" si="16"/>
        <v>1.391436687761</v>
      </c>
      <c r="D331" s="33">
        <f t="shared" si="17"/>
        <v>1.93609605604729</v>
      </c>
      <c r="E331" s="34">
        <f t="shared" si="18"/>
        <v>1.93609605604729</v>
      </c>
      <c r="F331" s="34"/>
      <c r="G331" s="34">
        <f>(A331-$F$2)^2</f>
        <v>0.00451499007951673</v>
      </c>
    </row>
    <row r="332" spans="1:7">
      <c r="A332" s="28">
        <v>19.8</v>
      </c>
      <c r="B332" s="29">
        <v>21.7779415537416</v>
      </c>
      <c r="C332" s="32">
        <f t="shared" si="16"/>
        <v>1.9779415537416</v>
      </c>
      <c r="D332" s="33">
        <f t="shared" si="17"/>
        <v>3.91225279001773</v>
      </c>
      <c r="E332" s="34">
        <f t="shared" si="18"/>
        <v>3.91225279001773</v>
      </c>
      <c r="F332" s="34"/>
      <c r="G332" s="34">
        <f>(A332-$F$2)^2</f>
        <v>7.46823040509942</v>
      </c>
    </row>
    <row r="333" spans="1:7">
      <c r="A333" s="28">
        <v>17.1</v>
      </c>
      <c r="B333" s="29">
        <v>20.0110050545066</v>
      </c>
      <c r="C333" s="32">
        <f t="shared" si="16"/>
        <v>2.9110050545066</v>
      </c>
      <c r="D333" s="33">
        <f t="shared" si="17"/>
        <v>8.47395042736297</v>
      </c>
      <c r="E333" s="34">
        <f t="shared" si="18"/>
        <v>8.47395042736297</v>
      </c>
      <c r="F333" s="34"/>
      <c r="G333" s="34">
        <f>(A333-$F$2)^2</f>
        <v>29.5153845552972</v>
      </c>
    </row>
    <row r="334" spans="1:7">
      <c r="A334" s="28">
        <v>19.4</v>
      </c>
      <c r="B334" s="29">
        <v>23.2696241942207</v>
      </c>
      <c r="C334" s="32">
        <f t="shared" si="16"/>
        <v>3.8696241942207</v>
      </c>
      <c r="D334" s="33">
        <f t="shared" si="17"/>
        <v>14.9739914044982</v>
      </c>
      <c r="E334" s="34">
        <f t="shared" si="18"/>
        <v>14.9739914044982</v>
      </c>
      <c r="F334" s="34"/>
      <c r="G334" s="34">
        <f>(A334-$F$2)^2</f>
        <v>9.81447546438799</v>
      </c>
    </row>
    <row r="335" spans="1:7">
      <c r="A335" s="28">
        <v>22.2</v>
      </c>
      <c r="B335" s="29">
        <v>22.5367056619004</v>
      </c>
      <c r="C335" s="32">
        <f t="shared" si="16"/>
        <v>0.3367056619004</v>
      </c>
      <c r="D335" s="33">
        <f t="shared" si="17"/>
        <v>0.113370702755786</v>
      </c>
      <c r="E335" s="34">
        <f t="shared" si="18"/>
        <v>0.113370702755786</v>
      </c>
      <c r="F335" s="34"/>
      <c r="G335" s="34">
        <f>(A335-$F$2)^2</f>
        <v>0.110760049368076</v>
      </c>
    </row>
    <row r="336" spans="1:7">
      <c r="A336" s="28">
        <v>20.7</v>
      </c>
      <c r="B336" s="29">
        <v>21.3297461474218</v>
      </c>
      <c r="C336" s="32">
        <f t="shared" si="16"/>
        <v>0.629746147421802</v>
      </c>
      <c r="D336" s="33">
        <f t="shared" si="17"/>
        <v>0.396580210192602</v>
      </c>
      <c r="E336" s="34">
        <f t="shared" si="18"/>
        <v>0.396580210192602</v>
      </c>
      <c r="F336" s="34"/>
      <c r="G336" s="34">
        <f>(A336-$F$2)^2</f>
        <v>3.35917902170017</v>
      </c>
    </row>
    <row r="337" spans="1:7">
      <c r="A337" s="28">
        <v>21.1</v>
      </c>
      <c r="B337" s="29">
        <v>20.5960111369399</v>
      </c>
      <c r="C337" s="32">
        <f t="shared" si="16"/>
        <v>0.503988863060101</v>
      </c>
      <c r="D337" s="33">
        <f t="shared" si="17"/>
        <v>0.254004774088613</v>
      </c>
      <c r="E337" s="34">
        <f t="shared" si="18"/>
        <v>0.254004774088613</v>
      </c>
      <c r="F337" s="34"/>
      <c r="G337" s="34">
        <f>(A337-$F$2)^2</f>
        <v>2.05293396241161</v>
      </c>
    </row>
    <row r="338" spans="1:7">
      <c r="A338" s="28">
        <v>19.5</v>
      </c>
      <c r="B338" s="29">
        <v>20.1437525710525</v>
      </c>
      <c r="C338" s="32">
        <f t="shared" si="16"/>
        <v>0.643752571052499</v>
      </c>
      <c r="D338" s="33">
        <f t="shared" si="17"/>
        <v>0.414417372736702</v>
      </c>
      <c r="E338" s="34">
        <f t="shared" si="18"/>
        <v>0.414417372736702</v>
      </c>
      <c r="F338" s="34"/>
      <c r="G338" s="34">
        <f>(A338-$F$2)^2</f>
        <v>9.19791419956585</v>
      </c>
    </row>
    <row r="339" spans="1:7">
      <c r="A339" s="28">
        <v>18.5</v>
      </c>
      <c r="B339" s="29">
        <v>19.1892644437874</v>
      </c>
      <c r="C339" s="32">
        <f t="shared" si="16"/>
        <v>0.689264443787401</v>
      </c>
      <c r="D339" s="33">
        <f t="shared" si="17"/>
        <v>0.475085473469555</v>
      </c>
      <c r="E339" s="34">
        <f t="shared" si="18"/>
        <v>0.475085473469555</v>
      </c>
      <c r="F339" s="34"/>
      <c r="G339" s="34">
        <f>(A339-$F$2)^2</f>
        <v>16.2635268477872</v>
      </c>
    </row>
    <row r="340" spans="1:7">
      <c r="A340" s="28">
        <v>20.6</v>
      </c>
      <c r="B340" s="29">
        <v>22.6155650323749</v>
      </c>
      <c r="C340" s="32">
        <f t="shared" si="16"/>
        <v>2.0155650323749</v>
      </c>
      <c r="D340" s="33">
        <f t="shared" si="17"/>
        <v>4.06250239973242</v>
      </c>
      <c r="E340" s="34">
        <f t="shared" si="18"/>
        <v>4.06250239973242</v>
      </c>
      <c r="F340" s="34"/>
      <c r="G340" s="34">
        <f>(A340-$F$2)^2</f>
        <v>3.7357402865223</v>
      </c>
    </row>
    <row r="341" spans="1:7">
      <c r="A341" s="28">
        <v>19</v>
      </c>
      <c r="B341" s="29">
        <v>21.0945387019931</v>
      </c>
      <c r="C341" s="32">
        <f t="shared" si="16"/>
        <v>2.0945387019931</v>
      </c>
      <c r="D341" s="33">
        <f t="shared" si="17"/>
        <v>4.38709237414693</v>
      </c>
      <c r="E341" s="34">
        <f t="shared" si="18"/>
        <v>4.38709237414693</v>
      </c>
      <c r="F341" s="34"/>
      <c r="G341" s="34">
        <f>(A341-$F$2)^2</f>
        <v>12.4807205236765</v>
      </c>
    </row>
    <row r="342" spans="1:7">
      <c r="A342" s="28">
        <v>18.7</v>
      </c>
      <c r="B342" s="29">
        <v>21.2399580487593</v>
      </c>
      <c r="C342" s="32">
        <f t="shared" si="16"/>
        <v>2.5399580487593</v>
      </c>
      <c r="D342" s="33">
        <f t="shared" si="17"/>
        <v>6.45138688945715</v>
      </c>
      <c r="E342" s="34">
        <f t="shared" si="18"/>
        <v>6.45138688945715</v>
      </c>
      <c r="F342" s="34"/>
      <c r="G342" s="34">
        <f>(A342-$F$2)^2</f>
        <v>14.690404318143</v>
      </c>
    </row>
    <row r="343" spans="1:7">
      <c r="A343" s="28">
        <v>32.7</v>
      </c>
      <c r="B343" s="29">
        <v>30.4294322740662</v>
      </c>
      <c r="C343" s="32">
        <f t="shared" si="16"/>
        <v>2.2705677259338</v>
      </c>
      <c r="D343" s="33">
        <f t="shared" si="17"/>
        <v>5.1554777980522</v>
      </c>
      <c r="E343" s="34">
        <f t="shared" si="18"/>
        <v>5.1554777980522</v>
      </c>
      <c r="F343" s="34"/>
      <c r="G343" s="34">
        <f>(A343-$F$2)^2</f>
        <v>103.371827243043</v>
      </c>
    </row>
    <row r="344" spans="1:7">
      <c r="A344" s="28">
        <v>16.5</v>
      </c>
      <c r="B344" s="29">
        <v>22.2589561245728</v>
      </c>
      <c r="C344" s="32">
        <f t="shared" si="16"/>
        <v>5.7589561245728</v>
      </c>
      <c r="D344" s="33">
        <f t="shared" si="17"/>
        <v>33.1655756447546</v>
      </c>
      <c r="E344" s="34">
        <f t="shared" si="18"/>
        <v>33.1655756447546</v>
      </c>
      <c r="F344" s="34"/>
      <c r="G344" s="34">
        <f>(A344-$F$2)^2</f>
        <v>36.39475214423</v>
      </c>
    </row>
    <row r="345" spans="1:7">
      <c r="A345" s="28">
        <v>23.9</v>
      </c>
      <c r="B345" s="29">
        <v>28.0446059156643</v>
      </c>
      <c r="C345" s="32">
        <f t="shared" si="16"/>
        <v>4.1446059156643</v>
      </c>
      <c r="D345" s="33">
        <f t="shared" si="17"/>
        <v>17.1777581961595</v>
      </c>
      <c r="E345" s="34">
        <f t="shared" si="18"/>
        <v>17.1777581961595</v>
      </c>
      <c r="F345" s="34"/>
      <c r="G345" s="34">
        <f>(A345-$F$2)^2</f>
        <v>1.8692185473917</v>
      </c>
    </row>
    <row r="346" spans="1:7">
      <c r="A346" s="28">
        <v>31.2</v>
      </c>
      <c r="B346" s="29">
        <v>28.5495724021948</v>
      </c>
      <c r="C346" s="32">
        <f t="shared" si="16"/>
        <v>2.6504275978052</v>
      </c>
      <c r="D346" s="33">
        <f t="shared" si="17"/>
        <v>7.02476645120743</v>
      </c>
      <c r="E346" s="34">
        <f t="shared" si="18"/>
        <v>7.02476645120743</v>
      </c>
      <c r="F346" s="34"/>
      <c r="G346" s="34">
        <f>(A346-$F$2)^2</f>
        <v>75.1202462153755</v>
      </c>
    </row>
    <row r="347" spans="1:7">
      <c r="A347" s="28">
        <v>17.5</v>
      </c>
      <c r="B347" s="29">
        <v>16.4778239838354</v>
      </c>
      <c r="C347" s="32">
        <f t="shared" si="16"/>
        <v>1.0221760161646</v>
      </c>
      <c r="D347" s="33">
        <f t="shared" si="17"/>
        <v>1.04484380802213</v>
      </c>
      <c r="E347" s="34">
        <f t="shared" si="18"/>
        <v>1.04484380802213</v>
      </c>
      <c r="F347" s="34"/>
      <c r="G347" s="34">
        <f>(A347-$F$2)^2</f>
        <v>25.3291394960086</v>
      </c>
    </row>
    <row r="348" spans="1:7">
      <c r="A348" s="28">
        <v>17.2</v>
      </c>
      <c r="B348" s="29">
        <v>14.6614086228576</v>
      </c>
      <c r="C348" s="32">
        <f t="shared" si="16"/>
        <v>2.5385913771424</v>
      </c>
      <c r="D348" s="33">
        <f t="shared" si="17"/>
        <v>6.44444618010174</v>
      </c>
      <c r="E348" s="34">
        <f t="shared" si="18"/>
        <v>6.44444618010174</v>
      </c>
      <c r="F348" s="34"/>
      <c r="G348" s="34">
        <f>(A348-$F$2)^2</f>
        <v>28.4388232904751</v>
      </c>
    </row>
    <row r="349" spans="1:7">
      <c r="A349" s="28">
        <v>23.1</v>
      </c>
      <c r="B349" s="29">
        <v>25.195421943465</v>
      </c>
      <c r="C349" s="32">
        <f t="shared" si="16"/>
        <v>2.095421943465</v>
      </c>
      <c r="D349" s="33">
        <f t="shared" si="17"/>
        <v>4.39079312115463</v>
      </c>
      <c r="E349" s="34">
        <f t="shared" si="18"/>
        <v>4.39079312115463</v>
      </c>
      <c r="F349" s="34"/>
      <c r="G349" s="34">
        <f>(A349-$F$2)^2</f>
        <v>0.32170866596882</v>
      </c>
    </row>
    <row r="350" spans="1:7">
      <c r="A350" s="28">
        <v>24.5</v>
      </c>
      <c r="B350" s="29">
        <v>27.9105653550081</v>
      </c>
      <c r="C350" s="32">
        <f t="shared" si="16"/>
        <v>3.4105653550081</v>
      </c>
      <c r="D350" s="33">
        <f t="shared" si="17"/>
        <v>11.6319560407815</v>
      </c>
      <c r="E350" s="34">
        <f t="shared" si="18"/>
        <v>11.6319560407815</v>
      </c>
      <c r="F350" s="34"/>
      <c r="G350" s="34">
        <f>(A350-$F$2)^2</f>
        <v>3.86985095845886</v>
      </c>
    </row>
    <row r="351" spans="1:7">
      <c r="A351" s="28">
        <v>26.6</v>
      </c>
      <c r="B351" s="29">
        <v>21.8167389063863</v>
      </c>
      <c r="C351" s="32">
        <f t="shared" si="16"/>
        <v>4.7832610936137</v>
      </c>
      <c r="D351" s="33">
        <f t="shared" si="17"/>
        <v>22.8795866896786</v>
      </c>
      <c r="E351" s="34">
        <f t="shared" si="18"/>
        <v>22.8795866896786</v>
      </c>
      <c r="F351" s="34"/>
      <c r="G351" s="34">
        <f>(A351-$F$2)^2</f>
        <v>16.5420643971939</v>
      </c>
    </row>
    <row r="352" spans="1:7">
      <c r="A352" s="28">
        <v>22.9</v>
      </c>
      <c r="B352" s="29">
        <v>20.3954146875593</v>
      </c>
      <c r="C352" s="32">
        <f t="shared" si="16"/>
        <v>2.5045853124407</v>
      </c>
      <c r="D352" s="33">
        <f t="shared" si="17"/>
        <v>6.27294758729368</v>
      </c>
      <c r="E352" s="34">
        <f t="shared" si="18"/>
        <v>6.27294758729368</v>
      </c>
      <c r="F352" s="34"/>
      <c r="G352" s="34">
        <f>(A352-$F$2)^2</f>
        <v>0.134831195613097</v>
      </c>
    </row>
    <row r="353" spans="1:7">
      <c r="A353" s="28">
        <v>24.1</v>
      </c>
      <c r="B353" s="29">
        <v>19.6586346903482</v>
      </c>
      <c r="C353" s="32">
        <f t="shared" si="16"/>
        <v>4.4413653096518</v>
      </c>
      <c r="D353" s="33">
        <f t="shared" si="17"/>
        <v>19.7257258137784</v>
      </c>
      <c r="E353" s="34">
        <f t="shared" si="18"/>
        <v>19.7257258137784</v>
      </c>
      <c r="F353" s="34"/>
      <c r="G353" s="34">
        <f>(A353-$F$2)^2</f>
        <v>2.45609601774743</v>
      </c>
    </row>
    <row r="354" spans="1:7">
      <c r="A354" s="28">
        <v>18.6</v>
      </c>
      <c r="B354" s="29">
        <v>16.9966432775419</v>
      </c>
      <c r="C354" s="32">
        <f t="shared" si="16"/>
        <v>1.6033567224581</v>
      </c>
      <c r="D354" s="33">
        <f t="shared" si="17"/>
        <v>2.57075277945159</v>
      </c>
      <c r="E354" s="34">
        <f t="shared" si="18"/>
        <v>2.57075277945159</v>
      </c>
      <c r="F354" s="34"/>
      <c r="G354" s="34">
        <f>(A354-$F$2)^2</f>
        <v>15.4669655829651</v>
      </c>
    </row>
    <row r="355" spans="1:7">
      <c r="A355" s="28">
        <v>30.1</v>
      </c>
      <c r="B355" s="29">
        <v>24.2194529348454</v>
      </c>
      <c r="C355" s="32">
        <f t="shared" si="16"/>
        <v>5.8805470651546</v>
      </c>
      <c r="D355" s="33">
        <f t="shared" si="17"/>
        <v>34.5808337854984</v>
      </c>
      <c r="E355" s="34">
        <f t="shared" si="18"/>
        <v>34.5808337854984</v>
      </c>
      <c r="F355" s="34"/>
      <c r="G355" s="34">
        <f>(A355-$F$2)^2</f>
        <v>57.2624201284191</v>
      </c>
    </row>
    <row r="356" spans="1:7">
      <c r="A356" s="28">
        <v>18.2</v>
      </c>
      <c r="B356" s="29">
        <v>13.9959006719571</v>
      </c>
      <c r="C356" s="32">
        <f t="shared" si="16"/>
        <v>4.2040993280429</v>
      </c>
      <c r="D356" s="33">
        <f t="shared" si="17"/>
        <v>17.6744511600508</v>
      </c>
      <c r="E356" s="34">
        <f t="shared" si="18"/>
        <v>17.6744511600508</v>
      </c>
      <c r="F356" s="34"/>
      <c r="G356" s="34">
        <f>(A356-$F$2)^2</f>
        <v>18.7732106422537</v>
      </c>
    </row>
    <row r="357" spans="1:7">
      <c r="A357" s="28">
        <v>20.6</v>
      </c>
      <c r="B357" s="29">
        <v>16.2885443377314</v>
      </c>
      <c r="C357" s="32">
        <f t="shared" si="16"/>
        <v>4.3114556622686</v>
      </c>
      <c r="D357" s="33">
        <f t="shared" si="17"/>
        <v>18.588649927708</v>
      </c>
      <c r="E357" s="34">
        <f t="shared" si="18"/>
        <v>18.588649927708</v>
      </c>
      <c r="F357" s="34"/>
      <c r="G357" s="34">
        <f>(A357-$F$2)^2</f>
        <v>3.7357402865223</v>
      </c>
    </row>
    <row r="358" spans="1:7">
      <c r="A358" s="28">
        <v>17.8</v>
      </c>
      <c r="B358" s="29">
        <v>20.000352568194</v>
      </c>
      <c r="C358" s="32">
        <f t="shared" si="16"/>
        <v>2.200352568194</v>
      </c>
      <c r="D358" s="33">
        <f t="shared" si="17"/>
        <v>4.84155142435793</v>
      </c>
      <c r="E358" s="34">
        <f t="shared" si="18"/>
        <v>4.84155142435793</v>
      </c>
      <c r="F358" s="34"/>
      <c r="G358" s="34">
        <f>(A358-$F$2)^2</f>
        <v>22.3994557015422</v>
      </c>
    </row>
    <row r="359" spans="1:7">
      <c r="A359" s="28">
        <v>21.7</v>
      </c>
      <c r="B359" s="29">
        <v>22.8126571599107</v>
      </c>
      <c r="C359" s="32">
        <f t="shared" si="16"/>
        <v>1.1126571599107</v>
      </c>
      <c r="D359" s="33">
        <f t="shared" si="17"/>
        <v>1.23800595550055</v>
      </c>
      <c r="E359" s="34">
        <f t="shared" si="18"/>
        <v>1.23800595550055</v>
      </c>
      <c r="F359" s="34"/>
      <c r="G359" s="34">
        <f>(A359-$F$2)^2</f>
        <v>0.693566373478774</v>
      </c>
    </row>
    <row r="360" spans="1:7">
      <c r="A360" s="28">
        <v>22.7</v>
      </c>
      <c r="B360" s="29">
        <v>21.9765820174892</v>
      </c>
      <c r="C360" s="32">
        <f t="shared" si="16"/>
        <v>0.723417982510799</v>
      </c>
      <c r="D360" s="33">
        <f t="shared" si="17"/>
        <v>0.523333577419995</v>
      </c>
      <c r="E360" s="34">
        <f t="shared" si="18"/>
        <v>0.523333577419995</v>
      </c>
      <c r="F360" s="34"/>
      <c r="G360" s="34">
        <f>(A360-$F$2)^2</f>
        <v>0.0279537252573767</v>
      </c>
    </row>
    <row r="361" spans="1:7">
      <c r="A361" s="28">
        <v>22.6</v>
      </c>
      <c r="B361" s="29">
        <v>19.1152584680418</v>
      </c>
      <c r="C361" s="32">
        <f t="shared" si="16"/>
        <v>3.4847415319582</v>
      </c>
      <c r="D361" s="33">
        <f t="shared" si="17"/>
        <v>12.1434235445544</v>
      </c>
      <c r="E361" s="34">
        <f t="shared" si="18"/>
        <v>12.1434235445544</v>
      </c>
      <c r="F361" s="34"/>
      <c r="G361" s="34">
        <f>(A361-$F$2)^2</f>
        <v>0.00451499007951673</v>
      </c>
    </row>
    <row r="362" spans="1:7">
      <c r="A362" s="28">
        <v>25</v>
      </c>
      <c r="B362" s="29">
        <v>21.9532237485115</v>
      </c>
      <c r="C362" s="32">
        <f t="shared" si="16"/>
        <v>3.0467762514885</v>
      </c>
      <c r="D362" s="33">
        <f t="shared" si="17"/>
        <v>9.28284552663431</v>
      </c>
      <c r="E362" s="34">
        <f t="shared" si="18"/>
        <v>9.28284552663431</v>
      </c>
      <c r="F362" s="34"/>
      <c r="G362" s="34">
        <f>(A362-$F$2)^2</f>
        <v>6.08704463434817</v>
      </c>
    </row>
    <row r="363" spans="1:7">
      <c r="A363" s="28">
        <v>19.9</v>
      </c>
      <c r="B363" s="29">
        <v>18.9134947414507</v>
      </c>
      <c r="C363" s="32">
        <f t="shared" si="16"/>
        <v>0.986505258549297</v>
      </c>
      <c r="D363" s="33">
        <f t="shared" si="17"/>
        <v>0.973192625145415</v>
      </c>
      <c r="E363" s="34">
        <f t="shared" si="18"/>
        <v>0.973192625145415</v>
      </c>
      <c r="F363" s="34"/>
      <c r="G363" s="34">
        <f>(A363-$F$2)^2</f>
        <v>6.93166914027729</v>
      </c>
    </row>
    <row r="364" spans="1:7">
      <c r="A364" s="28">
        <v>20.8</v>
      </c>
      <c r="B364" s="29">
        <v>18.2950243679808</v>
      </c>
      <c r="C364" s="32">
        <f t="shared" si="16"/>
        <v>2.5049756320192</v>
      </c>
      <c r="D364" s="33">
        <f t="shared" si="17"/>
        <v>6.27490291700999</v>
      </c>
      <c r="E364" s="34">
        <f t="shared" si="18"/>
        <v>6.27490291700999</v>
      </c>
      <c r="F364" s="34"/>
      <c r="G364" s="34">
        <f>(A364-$F$2)^2</f>
        <v>3.00261775687803</v>
      </c>
    </row>
    <row r="365" spans="1:7">
      <c r="A365" s="28">
        <v>16.8</v>
      </c>
      <c r="B365" s="29">
        <v>19.7835144507213</v>
      </c>
      <c r="C365" s="32">
        <f t="shared" si="16"/>
        <v>2.9835144507213</v>
      </c>
      <c r="D365" s="33">
        <f t="shared" si="17"/>
        <v>8.90135847766281</v>
      </c>
      <c r="E365" s="34">
        <f t="shared" si="18"/>
        <v>8.90135847766281</v>
      </c>
      <c r="F365" s="34"/>
      <c r="G365" s="34">
        <f>(A365-$F$2)^2</f>
        <v>32.8650683497636</v>
      </c>
    </row>
    <row r="366" spans="1:7">
      <c r="A366" s="28">
        <v>21.9</v>
      </c>
      <c r="B366" s="29">
        <v>38.791582409716</v>
      </c>
      <c r="C366" s="32">
        <f t="shared" si="16"/>
        <v>16.891582409716</v>
      </c>
      <c r="D366" s="33">
        <f t="shared" si="17"/>
        <v>285.325556304227</v>
      </c>
      <c r="E366" s="34">
        <f t="shared" si="18"/>
        <v>285.325556304227</v>
      </c>
      <c r="F366" s="34"/>
      <c r="G366" s="34">
        <f>(A366-$F$2)^2</f>
        <v>0.400443843834496</v>
      </c>
    </row>
    <row r="367" spans="1:7">
      <c r="A367" s="28">
        <v>27.5</v>
      </c>
      <c r="B367" s="29">
        <v>15.056338395543</v>
      </c>
      <c r="C367" s="32">
        <f t="shared" si="16"/>
        <v>12.443661604457</v>
      </c>
      <c r="D367" s="33">
        <f t="shared" si="17"/>
        <v>154.844714126237</v>
      </c>
      <c r="E367" s="34">
        <f t="shared" si="18"/>
        <v>154.844714126237</v>
      </c>
      <c r="F367" s="34"/>
      <c r="G367" s="34">
        <f>(A367-$F$2)^2</f>
        <v>24.6730130137947</v>
      </c>
    </row>
    <row r="368" spans="1:7">
      <c r="A368" s="28">
        <v>21.9</v>
      </c>
      <c r="B368" s="29">
        <v>15.4852083725764</v>
      </c>
      <c r="C368" s="32">
        <f t="shared" si="16"/>
        <v>6.4147916274236</v>
      </c>
      <c r="D368" s="33">
        <f t="shared" si="17"/>
        <v>41.1495516232639</v>
      </c>
      <c r="E368" s="34">
        <f t="shared" si="18"/>
        <v>41.1495516232639</v>
      </c>
      <c r="F368" s="34"/>
      <c r="G368" s="34">
        <f>(A368-$F$2)^2</f>
        <v>0.400443843834496</v>
      </c>
    </row>
    <row r="369" spans="1:7">
      <c r="A369" s="28">
        <v>23.1</v>
      </c>
      <c r="B369" s="29">
        <v>9.98367895303441</v>
      </c>
      <c r="C369" s="32">
        <f t="shared" si="16"/>
        <v>13.1163210469656</v>
      </c>
      <c r="D369" s="33">
        <f t="shared" si="17"/>
        <v>172.037877807073</v>
      </c>
      <c r="E369" s="34">
        <f t="shared" si="18"/>
        <v>172.037877807073</v>
      </c>
      <c r="F369" s="34"/>
      <c r="G369" s="34">
        <f>(A369-$F$2)^2</f>
        <v>0.32170866596882</v>
      </c>
    </row>
    <row r="370" spans="1:7">
      <c r="A370" s="28">
        <v>50</v>
      </c>
      <c r="B370" s="29">
        <v>21.0038551124924</v>
      </c>
      <c r="C370" s="32">
        <f t="shared" si="16"/>
        <v>28.9961448875076</v>
      </c>
      <c r="D370" s="33">
        <f t="shared" si="17"/>
        <v>840.776418337333</v>
      </c>
      <c r="E370" s="34">
        <f t="shared" si="18"/>
        <v>840.776418337333</v>
      </c>
      <c r="F370" s="34"/>
      <c r="G370" s="34">
        <f>(A370-$F$2)^2</f>
        <v>754.446728428813</v>
      </c>
    </row>
    <row r="371" spans="1:7">
      <c r="A371" s="28">
        <v>50</v>
      </c>
      <c r="B371" s="29">
        <v>31.4065451901576</v>
      </c>
      <c r="C371" s="32">
        <f t="shared" si="16"/>
        <v>18.5934548098424</v>
      </c>
      <c r="D371" s="33">
        <f t="shared" si="17"/>
        <v>345.716561765651</v>
      </c>
      <c r="E371" s="34">
        <f t="shared" si="18"/>
        <v>345.716561765651</v>
      </c>
      <c r="F371" s="34"/>
      <c r="G371" s="34">
        <f>(A371-$F$2)^2</f>
        <v>754.446728428813</v>
      </c>
    </row>
    <row r="372" spans="1:7">
      <c r="A372" s="28">
        <v>50</v>
      </c>
      <c r="B372" s="29">
        <v>34.7860600465704</v>
      </c>
      <c r="C372" s="32">
        <f t="shared" si="16"/>
        <v>15.2139399534296</v>
      </c>
      <c r="D372" s="33">
        <f t="shared" si="17"/>
        <v>231.463968906562</v>
      </c>
      <c r="E372" s="34">
        <f t="shared" si="18"/>
        <v>231.463968906562</v>
      </c>
      <c r="F372" s="34"/>
      <c r="G372" s="34">
        <f>(A372-$F$2)^2</f>
        <v>754.446728428813</v>
      </c>
    </row>
    <row r="373" spans="1:7">
      <c r="A373" s="28">
        <v>50</v>
      </c>
      <c r="B373" s="29">
        <v>24.0290088910623</v>
      </c>
      <c r="C373" s="32">
        <f t="shared" si="16"/>
        <v>25.9709911089377</v>
      </c>
      <c r="D373" s="33">
        <f t="shared" si="17"/>
        <v>674.492379180521</v>
      </c>
      <c r="E373" s="34">
        <f t="shared" si="18"/>
        <v>674.492379180521</v>
      </c>
      <c r="F373" s="34"/>
      <c r="G373" s="34">
        <f>(A373-$F$2)^2</f>
        <v>754.446728428813</v>
      </c>
    </row>
    <row r="374" spans="1:7">
      <c r="A374" s="28">
        <v>50</v>
      </c>
      <c r="B374" s="29">
        <v>24.6541187043318</v>
      </c>
      <c r="C374" s="32">
        <f t="shared" si="16"/>
        <v>25.3458812956682</v>
      </c>
      <c r="D374" s="33">
        <f t="shared" si="17"/>
        <v>642.413698654103</v>
      </c>
      <c r="E374" s="34">
        <f t="shared" si="18"/>
        <v>642.413698654103</v>
      </c>
      <c r="F374" s="34"/>
      <c r="G374" s="34">
        <f>(A374-$F$2)^2</f>
        <v>754.446728428813</v>
      </c>
    </row>
    <row r="375" spans="1:7">
      <c r="A375" s="28">
        <v>13.8</v>
      </c>
      <c r="B375" s="29">
        <v>5.45801257938969</v>
      </c>
      <c r="C375" s="32">
        <f t="shared" si="16"/>
        <v>8.34198742061031</v>
      </c>
      <c r="D375" s="33">
        <f t="shared" si="17"/>
        <v>69.5887541256207</v>
      </c>
      <c r="E375" s="34">
        <f t="shared" si="18"/>
        <v>69.5887541256207</v>
      </c>
      <c r="F375" s="34"/>
      <c r="G375" s="34">
        <f>(A375-$F$2)^2</f>
        <v>76.2619062944278</v>
      </c>
    </row>
    <row r="376" spans="1:7">
      <c r="A376" s="28">
        <v>13.8</v>
      </c>
      <c r="B376" s="29">
        <v>1.06356452608353</v>
      </c>
      <c r="C376" s="32">
        <f t="shared" si="16"/>
        <v>12.7364354739165</v>
      </c>
      <c r="D376" s="33">
        <f t="shared" si="17"/>
        <v>162.216788581238</v>
      </c>
      <c r="E376" s="34">
        <f t="shared" si="18"/>
        <v>162.216788581238</v>
      </c>
      <c r="F376" s="34"/>
      <c r="G376" s="34">
        <f>(A376-$F$2)^2</f>
        <v>76.2619062944278</v>
      </c>
    </row>
    <row r="377" spans="1:7">
      <c r="A377" s="28">
        <v>15</v>
      </c>
      <c r="B377" s="29">
        <v>25.3080089820843</v>
      </c>
      <c r="C377" s="32">
        <f t="shared" si="16"/>
        <v>10.3080089820843</v>
      </c>
      <c r="D377" s="33">
        <f t="shared" si="17"/>
        <v>106.255049174731</v>
      </c>
      <c r="E377" s="34">
        <f t="shared" si="18"/>
        <v>106.255049174731</v>
      </c>
      <c r="F377" s="34"/>
      <c r="G377" s="34">
        <f>(A377-$F$2)^2</f>
        <v>56.7431711165621</v>
      </c>
    </row>
    <row r="378" spans="1:7">
      <c r="A378" s="28">
        <v>13.9</v>
      </c>
      <c r="B378" s="29">
        <v>18.0176895143214</v>
      </c>
      <c r="C378" s="32">
        <f t="shared" si="16"/>
        <v>4.1176895143214</v>
      </c>
      <c r="D378" s="33">
        <f t="shared" si="17"/>
        <v>16.9553669363524</v>
      </c>
      <c r="E378" s="34">
        <f t="shared" si="18"/>
        <v>16.9553669363524</v>
      </c>
      <c r="F378" s="34"/>
      <c r="G378" s="34">
        <f>(A378-$F$2)^2</f>
        <v>74.5253450296057</v>
      </c>
    </row>
    <row r="379" spans="1:7">
      <c r="A379" s="28">
        <v>13.3</v>
      </c>
      <c r="B379" s="29">
        <v>20.334267632167</v>
      </c>
      <c r="C379" s="32">
        <f t="shared" si="16"/>
        <v>7.034267632167</v>
      </c>
      <c r="D379" s="33">
        <f t="shared" si="17"/>
        <v>49.4809211209523</v>
      </c>
      <c r="E379" s="34">
        <f t="shared" si="18"/>
        <v>49.4809211209523</v>
      </c>
      <c r="F379" s="34"/>
      <c r="G379" s="34">
        <f>(A379-$F$2)^2</f>
        <v>85.2447126185385</v>
      </c>
    </row>
    <row r="380" spans="1:7">
      <c r="A380" s="28">
        <v>13.1</v>
      </c>
      <c r="B380" s="29">
        <v>16.2856780665008</v>
      </c>
      <c r="C380" s="32">
        <f t="shared" si="16"/>
        <v>3.1856780665008</v>
      </c>
      <c r="D380" s="33">
        <f t="shared" si="17"/>
        <v>10.1485447433843</v>
      </c>
      <c r="E380" s="34">
        <f t="shared" si="18"/>
        <v>10.1485447433843</v>
      </c>
      <c r="F380" s="34"/>
      <c r="G380" s="34">
        <f>(A380-$F$2)^2</f>
        <v>88.9778351481828</v>
      </c>
    </row>
    <row r="381" spans="1:7">
      <c r="A381" s="28">
        <v>10.2</v>
      </c>
      <c r="B381" s="29">
        <v>16.8901434147333</v>
      </c>
      <c r="C381" s="32">
        <f t="shared" si="16"/>
        <v>6.6901434147333</v>
      </c>
      <c r="D381" s="33">
        <f t="shared" si="17"/>
        <v>44.7580189096993</v>
      </c>
      <c r="E381" s="34">
        <f t="shared" si="18"/>
        <v>44.7580189096993</v>
      </c>
      <c r="F381" s="34"/>
      <c r="G381" s="34">
        <f>(A381-$F$2)^2</f>
        <v>152.098111828025</v>
      </c>
    </row>
    <row r="382" spans="1:7">
      <c r="A382" s="28">
        <v>10.4</v>
      </c>
      <c r="B382" s="29">
        <v>15.716213695184</v>
      </c>
      <c r="C382" s="32">
        <f t="shared" si="16"/>
        <v>5.316213695184</v>
      </c>
      <c r="D382" s="33">
        <f t="shared" si="17"/>
        <v>28.2621280528619</v>
      </c>
      <c r="E382" s="34">
        <f t="shared" si="18"/>
        <v>28.2621280528619</v>
      </c>
      <c r="F382" s="34"/>
      <c r="G382" s="34">
        <f>(A382-$F$2)^2</f>
        <v>147.204989298381</v>
      </c>
    </row>
    <row r="383" spans="1:7">
      <c r="A383" s="28">
        <v>10.9</v>
      </c>
      <c r="B383" s="29">
        <v>18.5676009298924</v>
      </c>
      <c r="C383" s="32">
        <f t="shared" si="16"/>
        <v>7.6676009298924</v>
      </c>
      <c r="D383" s="33">
        <f t="shared" si="17"/>
        <v>58.7921040200868</v>
      </c>
      <c r="E383" s="34">
        <f t="shared" si="18"/>
        <v>58.7921040200868</v>
      </c>
      <c r="F383" s="34"/>
      <c r="G383" s="34">
        <f>(A383-$F$2)^2</f>
        <v>135.32218297427</v>
      </c>
    </row>
    <row r="384" spans="1:7">
      <c r="A384" s="28">
        <v>11.3</v>
      </c>
      <c r="B384" s="29">
        <v>13.8876421814406</v>
      </c>
      <c r="C384" s="32">
        <f t="shared" si="16"/>
        <v>2.5876421814406</v>
      </c>
      <c r="D384" s="33">
        <f t="shared" si="17"/>
        <v>6.69589205917067</v>
      </c>
      <c r="E384" s="34">
        <f t="shared" si="18"/>
        <v>6.69589205917067</v>
      </c>
      <c r="F384" s="34"/>
      <c r="G384" s="34">
        <f>(A384-$F$2)^2</f>
        <v>126.175937914981</v>
      </c>
    </row>
    <row r="385" spans="1:7">
      <c r="A385" s="28">
        <v>12.3</v>
      </c>
      <c r="B385" s="29">
        <v>12.9297824295658</v>
      </c>
      <c r="C385" s="32">
        <f t="shared" si="16"/>
        <v>0.629782429565799</v>
      </c>
      <c r="D385" s="33">
        <f t="shared" si="17"/>
        <v>0.3966259085898</v>
      </c>
      <c r="E385" s="34">
        <f t="shared" si="18"/>
        <v>0.3966259085898</v>
      </c>
      <c r="F385" s="34"/>
      <c r="G385" s="34">
        <f>(A385-$F$2)^2</f>
        <v>104.71032526676</v>
      </c>
    </row>
    <row r="386" spans="1:7">
      <c r="A386" s="28">
        <v>8.8</v>
      </c>
      <c r="B386" s="29">
        <v>3.0501616172753</v>
      </c>
      <c r="C386" s="32">
        <f t="shared" ref="C386:C449" si="19">ABS(A386-B386)</f>
        <v>5.7498383827247</v>
      </c>
      <c r="D386" s="33">
        <f t="shared" ref="D386:D449" si="20">C386^2</f>
        <v>33.0606414274542</v>
      </c>
      <c r="E386" s="34">
        <f t="shared" ref="E386:E449" si="21">(A386-B386)^2</f>
        <v>33.0606414274542</v>
      </c>
      <c r="F386" s="34"/>
      <c r="G386" s="34">
        <f>(A386-$F$2)^2</f>
        <v>188.589969535535</v>
      </c>
    </row>
    <row r="387" spans="1:7">
      <c r="A387" s="28">
        <v>7.2</v>
      </c>
      <c r="B387" s="29">
        <v>8.42628145509426</v>
      </c>
      <c r="C387" s="32">
        <f t="shared" si="19"/>
        <v>1.22628145509426</v>
      </c>
      <c r="D387" s="33">
        <f t="shared" si="20"/>
        <v>1.5037662071081</v>
      </c>
      <c r="E387" s="34">
        <f t="shared" si="21"/>
        <v>1.5037662071081</v>
      </c>
      <c r="F387" s="34"/>
      <c r="G387" s="34">
        <f>(A387-$F$2)^2</f>
        <v>235.094949772689</v>
      </c>
    </row>
    <row r="388" spans="1:7">
      <c r="A388" s="28">
        <v>10.5</v>
      </c>
      <c r="B388" s="29">
        <v>6.01726396786261</v>
      </c>
      <c r="C388" s="32">
        <f t="shared" si="19"/>
        <v>4.48273603213739</v>
      </c>
      <c r="D388" s="33">
        <f t="shared" si="20"/>
        <v>20.0949223338229</v>
      </c>
      <c r="E388" s="34">
        <f t="shared" si="21"/>
        <v>20.0949223338229</v>
      </c>
      <c r="F388" s="34"/>
      <c r="G388" s="34">
        <f>(A388-$F$2)^2</f>
        <v>144.788428033558</v>
      </c>
    </row>
    <row r="389" spans="1:7">
      <c r="A389" s="28">
        <v>7.4</v>
      </c>
      <c r="B389" s="29">
        <v>5.15153540084813</v>
      </c>
      <c r="C389" s="32">
        <f t="shared" si="19"/>
        <v>2.24846459915187</v>
      </c>
      <c r="D389" s="33">
        <f t="shared" si="20"/>
        <v>5.05559305363918</v>
      </c>
      <c r="E389" s="34">
        <f t="shared" si="21"/>
        <v>5.05559305363918</v>
      </c>
      <c r="F389" s="34"/>
      <c r="G389" s="34">
        <f>(A389-$F$2)^2</f>
        <v>229.001827243045</v>
      </c>
    </row>
    <row r="390" spans="1:7">
      <c r="A390" s="28">
        <v>10.2</v>
      </c>
      <c r="B390" s="29">
        <v>6.24716103593531</v>
      </c>
      <c r="C390" s="32">
        <f t="shared" si="19"/>
        <v>3.95283896406469</v>
      </c>
      <c r="D390" s="33">
        <f t="shared" si="20"/>
        <v>15.624935875828</v>
      </c>
      <c r="E390" s="34">
        <f t="shared" si="21"/>
        <v>15.624935875828</v>
      </c>
      <c r="F390" s="34"/>
      <c r="G390" s="34">
        <f>(A390-$F$2)^2</f>
        <v>152.098111828025</v>
      </c>
    </row>
    <row r="391" spans="1:7">
      <c r="A391" s="28">
        <v>11.5</v>
      </c>
      <c r="B391" s="29">
        <v>14.7990602673289</v>
      </c>
      <c r="C391" s="32">
        <f t="shared" si="19"/>
        <v>3.2990602673289</v>
      </c>
      <c r="D391" s="33">
        <f t="shared" si="20"/>
        <v>10.8837986474682</v>
      </c>
      <c r="E391" s="34">
        <f t="shared" si="21"/>
        <v>10.8837986474682</v>
      </c>
      <c r="F391" s="34"/>
      <c r="G391" s="34">
        <f>(A391-$F$2)^2</f>
        <v>121.722815385337</v>
      </c>
    </row>
    <row r="392" spans="1:7">
      <c r="A392" s="28">
        <v>15.1</v>
      </c>
      <c r="B392" s="29">
        <v>17.7746162237619</v>
      </c>
      <c r="C392" s="32">
        <f t="shared" si="19"/>
        <v>2.6746162237619</v>
      </c>
      <c r="D392" s="33">
        <f t="shared" si="20"/>
        <v>7.15357194441037</v>
      </c>
      <c r="E392" s="34">
        <f t="shared" si="21"/>
        <v>7.15357194441037</v>
      </c>
      <c r="F392" s="34"/>
      <c r="G392" s="34">
        <f>(A392-$F$2)^2</f>
        <v>55.24660985174</v>
      </c>
    </row>
    <row r="393" spans="1:7">
      <c r="A393" s="28">
        <v>23.2</v>
      </c>
      <c r="B393" s="29">
        <v>17.1967888959557</v>
      </c>
      <c r="C393" s="32">
        <f t="shared" si="19"/>
        <v>6.0032111040443</v>
      </c>
      <c r="D393" s="33">
        <f t="shared" si="20"/>
        <v>36.0385435597208</v>
      </c>
      <c r="E393" s="34">
        <f t="shared" si="21"/>
        <v>36.0385435597208</v>
      </c>
      <c r="F393" s="34"/>
      <c r="G393" s="34">
        <f>(A393-$F$2)^2</f>
        <v>0.445147401146678</v>
      </c>
    </row>
    <row r="394" spans="1:7">
      <c r="A394" s="28">
        <v>9.7</v>
      </c>
      <c r="B394" s="29">
        <v>9.75453869498326</v>
      </c>
      <c r="C394" s="32">
        <f t="shared" si="19"/>
        <v>0.0545386949832611</v>
      </c>
      <c r="D394" s="33">
        <f t="shared" si="20"/>
        <v>0.00297446925047719</v>
      </c>
      <c r="E394" s="34">
        <f t="shared" si="21"/>
        <v>0.00297446925047719</v>
      </c>
      <c r="F394" s="34"/>
      <c r="G394" s="34">
        <f>(A394-$F$2)^2</f>
        <v>164.680918152136</v>
      </c>
    </row>
    <row r="395" spans="1:7">
      <c r="A395" s="28">
        <v>13.8</v>
      </c>
      <c r="B395" s="29">
        <v>20.2963871821953</v>
      </c>
      <c r="C395" s="32">
        <f t="shared" si="19"/>
        <v>6.4963871821953</v>
      </c>
      <c r="D395" s="33">
        <f t="shared" si="20"/>
        <v>42.2030464209914</v>
      </c>
      <c r="E395" s="34">
        <f t="shared" si="21"/>
        <v>42.2030464209914</v>
      </c>
      <c r="F395" s="34"/>
      <c r="G395" s="34">
        <f>(A395-$F$2)^2</f>
        <v>76.2619062944278</v>
      </c>
    </row>
    <row r="396" spans="1:7">
      <c r="A396" s="28">
        <v>12.7</v>
      </c>
      <c r="B396" s="29">
        <v>18.1835239925233</v>
      </c>
      <c r="C396" s="32">
        <f t="shared" si="19"/>
        <v>5.4835239925233</v>
      </c>
      <c r="D396" s="33">
        <f t="shared" si="20"/>
        <v>30.0690353765787</v>
      </c>
      <c r="E396" s="34">
        <f t="shared" si="21"/>
        <v>30.0690353765787</v>
      </c>
      <c r="F396" s="34"/>
      <c r="G396" s="34">
        <f>(A396-$F$2)^2</f>
        <v>96.6840802074714</v>
      </c>
    </row>
    <row r="397" spans="1:7">
      <c r="A397" s="28">
        <v>13.1</v>
      </c>
      <c r="B397" s="29">
        <v>20.0436988736618</v>
      </c>
      <c r="C397" s="32">
        <f t="shared" si="19"/>
        <v>6.9436988736618</v>
      </c>
      <c r="D397" s="33">
        <f t="shared" si="20"/>
        <v>48.2149540480922</v>
      </c>
      <c r="E397" s="34">
        <f t="shared" si="21"/>
        <v>48.2149540480922</v>
      </c>
      <c r="F397" s="34"/>
      <c r="G397" s="34">
        <f>(A397-$F$2)^2</f>
        <v>88.9778351481828</v>
      </c>
    </row>
    <row r="398" spans="1:7">
      <c r="A398" s="28">
        <v>12.5</v>
      </c>
      <c r="B398" s="29">
        <v>18.9466647232325</v>
      </c>
      <c r="C398" s="32">
        <f t="shared" si="19"/>
        <v>6.4466647232325</v>
      </c>
      <c r="D398" s="33">
        <f t="shared" si="20"/>
        <v>41.5594860537704</v>
      </c>
      <c r="E398" s="34">
        <f t="shared" si="21"/>
        <v>41.5594860537704</v>
      </c>
      <c r="F398" s="34"/>
      <c r="G398" s="34">
        <f>(A398-$F$2)^2</f>
        <v>100.657202737116</v>
      </c>
    </row>
    <row r="399" spans="1:7">
      <c r="A399" s="28">
        <v>8.5</v>
      </c>
      <c r="B399" s="29">
        <v>16.5906839476248</v>
      </c>
      <c r="C399" s="32">
        <f t="shared" si="19"/>
        <v>8.0906839476248</v>
      </c>
      <c r="D399" s="33">
        <f t="shared" si="20"/>
        <v>65.4591667403536</v>
      </c>
      <c r="E399" s="34">
        <f t="shared" si="21"/>
        <v>65.4591667403536</v>
      </c>
      <c r="F399" s="34"/>
      <c r="G399" s="34">
        <f>(A399-$F$2)^2</f>
        <v>196.919653330001</v>
      </c>
    </row>
    <row r="400" spans="1:7">
      <c r="A400" s="28">
        <v>5</v>
      </c>
      <c r="B400" s="29">
        <v>6.48900526849543</v>
      </c>
      <c r="C400" s="32">
        <f t="shared" si="19"/>
        <v>1.48900526849543</v>
      </c>
      <c r="D400" s="33">
        <f t="shared" si="20"/>
        <v>2.21713668960715</v>
      </c>
      <c r="E400" s="34">
        <f t="shared" si="21"/>
        <v>2.21713668960715</v>
      </c>
      <c r="F400" s="34"/>
      <c r="G400" s="34">
        <f>(A400-$F$2)^2</f>
        <v>307.399297598776</v>
      </c>
    </row>
    <row r="401" spans="1:7">
      <c r="A401" s="28">
        <v>6.3</v>
      </c>
      <c r="B401" s="29">
        <v>11.7202778306459</v>
      </c>
      <c r="C401" s="32">
        <f t="shared" si="19"/>
        <v>5.4202778306459</v>
      </c>
      <c r="D401" s="33">
        <f t="shared" si="20"/>
        <v>29.3794117613914</v>
      </c>
      <c r="E401" s="34">
        <f t="shared" si="21"/>
        <v>29.3794117613914</v>
      </c>
      <c r="F401" s="34"/>
      <c r="G401" s="34">
        <f>(A401-$F$2)^2</f>
        <v>263.504001156088</v>
      </c>
    </row>
    <row r="402" spans="1:7">
      <c r="A402" s="28">
        <v>5.6</v>
      </c>
      <c r="B402" s="29">
        <v>11.9004339079058</v>
      </c>
      <c r="C402" s="32">
        <f t="shared" si="19"/>
        <v>6.3004339079058</v>
      </c>
      <c r="D402" s="33">
        <f t="shared" si="20"/>
        <v>39.6954674278892</v>
      </c>
      <c r="E402" s="34">
        <f t="shared" si="21"/>
        <v>39.6954674278892</v>
      </c>
      <c r="F402" s="34"/>
      <c r="G402" s="34">
        <f>(A402-$F$2)^2</f>
        <v>286.719930009843</v>
      </c>
    </row>
    <row r="403" spans="1:7">
      <c r="A403" s="28">
        <v>7.2</v>
      </c>
      <c r="B403" s="29">
        <v>18.0357633521552</v>
      </c>
      <c r="C403" s="32">
        <f t="shared" si="19"/>
        <v>10.8357633521552</v>
      </c>
      <c r="D403" s="33">
        <f t="shared" si="20"/>
        <v>117.41376742391</v>
      </c>
      <c r="E403" s="34">
        <f t="shared" si="21"/>
        <v>117.41376742391</v>
      </c>
      <c r="F403" s="34"/>
      <c r="G403" s="34">
        <f>(A403-$F$2)^2</f>
        <v>235.094949772689</v>
      </c>
    </row>
    <row r="404" spans="1:7">
      <c r="A404" s="28">
        <v>12.1</v>
      </c>
      <c r="B404" s="29">
        <v>18.2846185812288</v>
      </c>
      <c r="C404" s="32">
        <f t="shared" si="19"/>
        <v>6.1846185812288</v>
      </c>
      <c r="D404" s="33">
        <f t="shared" si="20"/>
        <v>38.2495069952805</v>
      </c>
      <c r="E404" s="34">
        <f t="shared" si="21"/>
        <v>38.2495069952805</v>
      </c>
      <c r="F404" s="34"/>
      <c r="G404" s="34">
        <f>(A404-$F$2)^2</f>
        <v>108.843447796404</v>
      </c>
    </row>
    <row r="405" spans="1:7">
      <c r="A405" s="28">
        <v>8.3</v>
      </c>
      <c r="B405" s="29">
        <v>12.6778644026123</v>
      </c>
      <c r="C405" s="32">
        <f t="shared" si="19"/>
        <v>4.3778644026123</v>
      </c>
      <c r="D405" s="33">
        <f t="shared" si="20"/>
        <v>19.1656967276599</v>
      </c>
      <c r="E405" s="34">
        <f t="shared" si="21"/>
        <v>19.1656967276599</v>
      </c>
      <c r="F405" s="34"/>
      <c r="G405" s="34">
        <f>(A405-$F$2)^2</f>
        <v>202.572775859645</v>
      </c>
    </row>
    <row r="406" spans="1:7">
      <c r="A406" s="28">
        <v>8.5</v>
      </c>
      <c r="B406" s="29">
        <v>7.25317406434323</v>
      </c>
      <c r="C406" s="32">
        <f t="shared" si="19"/>
        <v>1.24682593565677</v>
      </c>
      <c r="D406" s="33">
        <f t="shared" si="20"/>
        <v>1.55457491382638</v>
      </c>
      <c r="E406" s="34">
        <f t="shared" si="21"/>
        <v>1.55457491382638</v>
      </c>
      <c r="F406" s="34"/>
      <c r="G406" s="34">
        <f>(A406-$F$2)^2</f>
        <v>196.919653330001</v>
      </c>
    </row>
    <row r="407" spans="1:7">
      <c r="A407" s="28">
        <v>5</v>
      </c>
      <c r="B407" s="29">
        <v>8.72454218486358</v>
      </c>
      <c r="C407" s="32">
        <f t="shared" si="19"/>
        <v>3.72454218486358</v>
      </c>
      <c r="D407" s="33">
        <f t="shared" si="20"/>
        <v>13.8722144868284</v>
      </c>
      <c r="E407" s="34">
        <f t="shared" si="21"/>
        <v>13.8722144868284</v>
      </c>
      <c r="F407" s="34"/>
      <c r="G407" s="34">
        <f>(A407-$F$2)^2</f>
        <v>307.399297598776</v>
      </c>
    </row>
    <row r="408" spans="1:7">
      <c r="A408" s="28">
        <v>11.9</v>
      </c>
      <c r="B408" s="29">
        <v>8.16215507548106</v>
      </c>
      <c r="C408" s="32">
        <f t="shared" si="19"/>
        <v>3.73784492451894</v>
      </c>
      <c r="D408" s="33">
        <f t="shared" si="20"/>
        <v>13.971484679752</v>
      </c>
      <c r="E408" s="34">
        <f t="shared" si="21"/>
        <v>13.971484679752</v>
      </c>
      <c r="F408" s="34"/>
      <c r="G408" s="34">
        <f>(A408-$F$2)^2</f>
        <v>113.056570326048</v>
      </c>
    </row>
    <row r="409" spans="1:7">
      <c r="A409" s="28">
        <v>27.9</v>
      </c>
      <c r="B409" s="29">
        <v>19.9549379221586</v>
      </c>
      <c r="C409" s="32">
        <f t="shared" si="19"/>
        <v>7.9450620778414</v>
      </c>
      <c r="D409" s="33">
        <f t="shared" si="20"/>
        <v>63.1240114207535</v>
      </c>
      <c r="E409" s="34">
        <f t="shared" si="21"/>
        <v>63.1240114207535</v>
      </c>
      <c r="F409" s="34"/>
      <c r="G409" s="34">
        <f>(A409-$F$2)^2</f>
        <v>28.8067679545061</v>
      </c>
    </row>
    <row r="410" spans="1:7">
      <c r="A410" s="28">
        <v>17.2</v>
      </c>
      <c r="B410" s="29">
        <v>13.5709397073136</v>
      </c>
      <c r="C410" s="32">
        <f t="shared" si="19"/>
        <v>3.6290602926864</v>
      </c>
      <c r="D410" s="33">
        <f t="shared" si="20"/>
        <v>13.1700786079531</v>
      </c>
      <c r="E410" s="34">
        <f t="shared" si="21"/>
        <v>13.1700786079531</v>
      </c>
      <c r="F410" s="34"/>
      <c r="G410" s="34">
        <f>(A410-$F$2)^2</f>
        <v>28.4388232904751</v>
      </c>
    </row>
    <row r="411" spans="1:7">
      <c r="A411" s="28">
        <v>27.5</v>
      </c>
      <c r="B411" s="29">
        <v>19.9716494393675</v>
      </c>
      <c r="C411" s="32">
        <f t="shared" si="19"/>
        <v>7.5283505606325</v>
      </c>
      <c r="D411" s="33">
        <f t="shared" si="20"/>
        <v>56.6760621637757</v>
      </c>
      <c r="E411" s="34">
        <f t="shared" si="21"/>
        <v>56.6760621637757</v>
      </c>
      <c r="F411" s="34"/>
      <c r="G411" s="34">
        <f>(A411-$F$2)^2</f>
        <v>24.6730130137947</v>
      </c>
    </row>
    <row r="412" spans="1:7">
      <c r="A412" s="28">
        <v>15</v>
      </c>
      <c r="B412" s="29">
        <v>13.408242911153</v>
      </c>
      <c r="C412" s="32">
        <f t="shared" si="19"/>
        <v>1.591757088847</v>
      </c>
      <c r="D412" s="33">
        <f t="shared" si="20"/>
        <v>2.53369062989468</v>
      </c>
      <c r="E412" s="34">
        <f t="shared" si="21"/>
        <v>2.53369062989468</v>
      </c>
      <c r="F412" s="34"/>
      <c r="G412" s="34">
        <f>(A412-$F$2)^2</f>
        <v>56.7431711165621</v>
      </c>
    </row>
    <row r="413" spans="1:7">
      <c r="A413" s="28">
        <v>17.2</v>
      </c>
      <c r="B413" s="29">
        <v>17.2234118694051</v>
      </c>
      <c r="C413" s="32">
        <f t="shared" si="19"/>
        <v>0.023411869405102</v>
      </c>
      <c r="D413" s="33">
        <f t="shared" si="20"/>
        <v>0.00054811562904155</v>
      </c>
      <c r="E413" s="34">
        <f t="shared" si="21"/>
        <v>0.00054811562904155</v>
      </c>
      <c r="F413" s="34"/>
      <c r="G413" s="34">
        <f>(A413-$F$2)^2</f>
        <v>28.4388232904751</v>
      </c>
    </row>
    <row r="414" spans="1:7">
      <c r="A414" s="28">
        <v>17.9</v>
      </c>
      <c r="B414" s="29">
        <v>1.30309591573091</v>
      </c>
      <c r="C414" s="32">
        <f t="shared" si="19"/>
        <v>16.5969040842691</v>
      </c>
      <c r="D414" s="33">
        <f t="shared" si="20"/>
        <v>275.457225182428</v>
      </c>
      <c r="E414" s="34">
        <f t="shared" si="21"/>
        <v>275.457225182428</v>
      </c>
      <c r="F414" s="34"/>
      <c r="G414" s="34">
        <f>(A414-$F$2)^2</f>
        <v>21.4628944367201</v>
      </c>
    </row>
    <row r="415" spans="1:7">
      <c r="A415" s="28">
        <v>16.3</v>
      </c>
      <c r="B415" s="29">
        <v>10.5663537584677</v>
      </c>
      <c r="C415" s="32">
        <f t="shared" si="19"/>
        <v>5.7336462415323</v>
      </c>
      <c r="D415" s="33">
        <f t="shared" si="20"/>
        <v>32.8746992230375</v>
      </c>
      <c r="E415" s="34">
        <f t="shared" si="21"/>
        <v>32.8746992230375</v>
      </c>
      <c r="F415" s="34"/>
      <c r="G415" s="34">
        <f>(A415-$F$2)^2</f>
        <v>38.8478746738743</v>
      </c>
    </row>
    <row r="416" spans="1:7">
      <c r="A416" s="28">
        <v>7</v>
      </c>
      <c r="B416" s="29">
        <v>-4.84649241420334</v>
      </c>
      <c r="C416" s="32">
        <f t="shared" si="19"/>
        <v>11.8464924142033</v>
      </c>
      <c r="D416" s="33">
        <f t="shared" si="20"/>
        <v>140.339382519777</v>
      </c>
      <c r="E416" s="34">
        <f t="shared" si="21"/>
        <v>140.339382519777</v>
      </c>
      <c r="F416" s="34"/>
      <c r="G416" s="34">
        <f>(A416-$F$2)^2</f>
        <v>241.268072302333</v>
      </c>
    </row>
    <row r="417" spans="1:7">
      <c r="A417" s="28">
        <v>7.2</v>
      </c>
      <c r="B417" s="29">
        <v>9.69056488146248</v>
      </c>
      <c r="C417" s="32">
        <f t="shared" si="19"/>
        <v>2.49056488146248</v>
      </c>
      <c r="D417" s="33">
        <f t="shared" si="20"/>
        <v>6.20291342877422</v>
      </c>
      <c r="E417" s="34">
        <f t="shared" si="21"/>
        <v>6.20291342877422</v>
      </c>
      <c r="F417" s="34"/>
      <c r="G417" s="34">
        <f>(A417-$F$2)^2</f>
        <v>235.094949772689</v>
      </c>
    </row>
    <row r="418" spans="1:7">
      <c r="A418" s="28">
        <v>7.5</v>
      </c>
      <c r="B418" s="29">
        <v>13.7056787999909</v>
      </c>
      <c r="C418" s="32">
        <f t="shared" si="19"/>
        <v>6.2056787999909</v>
      </c>
      <c r="D418" s="33">
        <f t="shared" si="20"/>
        <v>38.5104493686565</v>
      </c>
      <c r="E418" s="34">
        <f t="shared" si="21"/>
        <v>38.5104493686565</v>
      </c>
      <c r="F418" s="34"/>
      <c r="G418" s="34">
        <f>(A418-$F$2)^2</f>
        <v>225.985265978223</v>
      </c>
    </row>
    <row r="419" spans="1:7">
      <c r="A419" s="28">
        <v>10.4</v>
      </c>
      <c r="B419" s="29">
        <v>7.02793627649821</v>
      </c>
      <c r="C419" s="32">
        <f t="shared" si="19"/>
        <v>3.37206372350179</v>
      </c>
      <c r="D419" s="33">
        <f t="shared" si="20"/>
        <v>11.3708137553568</v>
      </c>
      <c r="E419" s="34">
        <f t="shared" si="21"/>
        <v>11.3708137553568</v>
      </c>
      <c r="F419" s="34"/>
      <c r="G419" s="34">
        <f>(A419-$F$2)^2</f>
        <v>147.204989298381</v>
      </c>
    </row>
    <row r="420" spans="1:7">
      <c r="A420" s="28">
        <v>8.8</v>
      </c>
      <c r="B420" s="29">
        <v>5.70303904983544</v>
      </c>
      <c r="C420" s="32">
        <f t="shared" si="19"/>
        <v>3.09696095016456</v>
      </c>
      <c r="D420" s="33">
        <f t="shared" si="20"/>
        <v>9.59116712684418</v>
      </c>
      <c r="E420" s="34">
        <f t="shared" si="21"/>
        <v>9.59116712684418</v>
      </c>
      <c r="F420" s="34"/>
      <c r="G420" s="34">
        <f>(A420-$F$2)^2</f>
        <v>188.589969535535</v>
      </c>
    </row>
    <row r="421" spans="1:7">
      <c r="A421" s="28">
        <v>8.4</v>
      </c>
      <c r="B421" s="29">
        <v>14.5401071441283</v>
      </c>
      <c r="C421" s="32">
        <f t="shared" si="19"/>
        <v>6.1401071441283</v>
      </c>
      <c r="D421" s="33">
        <f t="shared" si="20"/>
        <v>37.7009157413754</v>
      </c>
      <c r="E421" s="34">
        <f t="shared" si="21"/>
        <v>37.7009157413754</v>
      </c>
      <c r="F421" s="34"/>
      <c r="G421" s="34">
        <f>(A421-$F$2)^2</f>
        <v>199.736214594823</v>
      </c>
    </row>
    <row r="422" spans="1:7">
      <c r="A422" s="28">
        <v>16.7</v>
      </c>
      <c r="B422" s="29">
        <v>19.4804603500204</v>
      </c>
      <c r="C422" s="32">
        <f t="shared" si="19"/>
        <v>2.7804603500204</v>
      </c>
      <c r="D422" s="33">
        <f t="shared" si="20"/>
        <v>7.73095975803558</v>
      </c>
      <c r="E422" s="34">
        <f t="shared" si="21"/>
        <v>7.73095975803558</v>
      </c>
      <c r="F422" s="34"/>
      <c r="G422" s="34">
        <f>(A422-$F$2)^2</f>
        <v>34.0216296145858</v>
      </c>
    </row>
    <row r="423" spans="1:7">
      <c r="A423" s="28">
        <v>14.2</v>
      </c>
      <c r="B423" s="29">
        <v>18.3264916410871</v>
      </c>
      <c r="C423" s="32">
        <f t="shared" si="19"/>
        <v>4.1264916410871</v>
      </c>
      <c r="D423" s="33">
        <f t="shared" si="20"/>
        <v>17.0279332639617</v>
      </c>
      <c r="E423" s="34">
        <f t="shared" si="21"/>
        <v>17.0279332639617</v>
      </c>
      <c r="F423" s="34"/>
      <c r="G423" s="34">
        <f>(A423-$F$2)^2</f>
        <v>69.4356612351393</v>
      </c>
    </row>
    <row r="424" spans="1:7">
      <c r="A424" s="28">
        <v>20.8</v>
      </c>
      <c r="B424" s="29">
        <v>18.7335587275454</v>
      </c>
      <c r="C424" s="32">
        <f t="shared" si="19"/>
        <v>2.0664412724546</v>
      </c>
      <c r="D424" s="33">
        <f t="shared" si="20"/>
        <v>4.27017953250379</v>
      </c>
      <c r="E424" s="34">
        <f t="shared" si="21"/>
        <v>4.27017953250379</v>
      </c>
      <c r="F424" s="34"/>
      <c r="G424" s="34">
        <f>(A424-$F$2)^2</f>
        <v>3.00261775687803</v>
      </c>
    </row>
    <row r="425" spans="1:7">
      <c r="A425" s="28">
        <v>13.4</v>
      </c>
      <c r="B425" s="29">
        <v>13.2522214235242</v>
      </c>
      <c r="C425" s="32">
        <f t="shared" si="19"/>
        <v>0.147778576475801</v>
      </c>
      <c r="D425" s="33">
        <f t="shared" si="20"/>
        <v>0.0218385076652142</v>
      </c>
      <c r="E425" s="34">
        <f t="shared" si="21"/>
        <v>0.0218385076652142</v>
      </c>
      <c r="F425" s="34"/>
      <c r="G425" s="34">
        <f>(A425-$F$2)^2</f>
        <v>83.4081513537164</v>
      </c>
    </row>
    <row r="426" spans="1:7">
      <c r="A426" s="28">
        <v>11.7</v>
      </c>
      <c r="B426" s="29">
        <v>15.2808206617761</v>
      </c>
      <c r="C426" s="32">
        <f t="shared" si="19"/>
        <v>3.5808206617761</v>
      </c>
      <c r="D426" s="33">
        <f t="shared" si="20"/>
        <v>12.8222766118026</v>
      </c>
      <c r="E426" s="34">
        <f t="shared" si="21"/>
        <v>12.8222766118026</v>
      </c>
      <c r="F426" s="34"/>
      <c r="G426" s="34">
        <f>(A426-$F$2)^2</f>
        <v>117.349692855693</v>
      </c>
    </row>
    <row r="427" spans="1:7">
      <c r="A427" s="28">
        <v>8.3</v>
      </c>
      <c r="B427" s="29">
        <v>10.0214357834778</v>
      </c>
      <c r="C427" s="32">
        <f t="shared" si="19"/>
        <v>1.7214357834778</v>
      </c>
      <c r="D427" s="33">
        <f t="shared" si="20"/>
        <v>2.96334115663783</v>
      </c>
      <c r="E427" s="34">
        <f t="shared" si="21"/>
        <v>2.96334115663783</v>
      </c>
      <c r="F427" s="34"/>
      <c r="G427" s="34">
        <f>(A427-$F$2)^2</f>
        <v>202.572775859645</v>
      </c>
    </row>
    <row r="428" spans="1:7">
      <c r="A428" s="28">
        <v>10.2</v>
      </c>
      <c r="B428" s="29">
        <v>16.8507927078887</v>
      </c>
      <c r="C428" s="32">
        <f t="shared" si="19"/>
        <v>6.6507927078887</v>
      </c>
      <c r="D428" s="33">
        <f t="shared" si="20"/>
        <v>44.2330436433055</v>
      </c>
      <c r="E428" s="34">
        <f t="shared" si="21"/>
        <v>44.2330436433055</v>
      </c>
      <c r="F428" s="34"/>
      <c r="G428" s="34">
        <f>(A428-$F$2)^2</f>
        <v>152.098111828025</v>
      </c>
    </row>
    <row r="429" spans="1:7">
      <c r="A429" s="28">
        <v>10.9</v>
      </c>
      <c r="B429" s="29">
        <v>13.9586804300414</v>
      </c>
      <c r="C429" s="32">
        <f t="shared" si="19"/>
        <v>3.0586804300414</v>
      </c>
      <c r="D429" s="33">
        <f t="shared" si="20"/>
        <v>9.35552597311824</v>
      </c>
      <c r="E429" s="34">
        <f t="shared" si="21"/>
        <v>9.35552597311824</v>
      </c>
      <c r="F429" s="34"/>
      <c r="G429" s="34">
        <f>(A429-$F$2)^2</f>
        <v>135.32218297427</v>
      </c>
    </row>
    <row r="430" spans="1:7">
      <c r="A430" s="28">
        <v>11</v>
      </c>
      <c r="B430" s="29">
        <v>14.2942304106832</v>
      </c>
      <c r="C430" s="32">
        <f t="shared" si="19"/>
        <v>3.2942304106832</v>
      </c>
      <c r="D430" s="33">
        <f t="shared" si="20"/>
        <v>10.85195399867</v>
      </c>
      <c r="E430" s="34">
        <f t="shared" si="21"/>
        <v>10.85195399867</v>
      </c>
      <c r="F430" s="34"/>
      <c r="G430" s="34">
        <f>(A430-$F$2)^2</f>
        <v>133.005621709448</v>
      </c>
    </row>
    <row r="431" spans="1:7">
      <c r="A431" s="28">
        <v>9.5</v>
      </c>
      <c r="B431" s="29">
        <v>13.2272644783454</v>
      </c>
      <c r="C431" s="32">
        <f t="shared" si="19"/>
        <v>3.7272644783454</v>
      </c>
      <c r="D431" s="33">
        <f t="shared" si="20"/>
        <v>13.8925004915354</v>
      </c>
      <c r="E431" s="34">
        <f t="shared" si="21"/>
        <v>13.8925004915354</v>
      </c>
      <c r="F431" s="34"/>
      <c r="G431" s="34">
        <f>(A431-$F$2)^2</f>
        <v>169.85404068178</v>
      </c>
    </row>
    <row r="432" spans="1:7">
      <c r="A432" s="28">
        <v>14.5</v>
      </c>
      <c r="B432" s="29">
        <v>18.3805638246102</v>
      </c>
      <c r="C432" s="32">
        <f t="shared" si="19"/>
        <v>3.8805638246102</v>
      </c>
      <c r="D432" s="33">
        <f t="shared" si="20"/>
        <v>15.0587755968733</v>
      </c>
      <c r="E432" s="34">
        <f t="shared" si="21"/>
        <v>15.0587755968733</v>
      </c>
      <c r="F432" s="34"/>
      <c r="G432" s="34">
        <f>(A432-$F$2)^2</f>
        <v>64.5259774406728</v>
      </c>
    </row>
    <row r="433" spans="1:7">
      <c r="A433" s="28">
        <v>14.1</v>
      </c>
      <c r="B433" s="29">
        <v>18.5483883061272</v>
      </c>
      <c r="C433" s="32">
        <f t="shared" si="19"/>
        <v>4.4483883061272</v>
      </c>
      <c r="D433" s="33">
        <f t="shared" si="20"/>
        <v>19.7881585220892</v>
      </c>
      <c r="E433" s="34">
        <f t="shared" si="21"/>
        <v>19.7881585220892</v>
      </c>
      <c r="F433" s="34"/>
      <c r="G433" s="34">
        <f>(A433-$F$2)^2</f>
        <v>71.1122224999614</v>
      </c>
    </row>
    <row r="434" spans="1:7">
      <c r="A434" s="28">
        <v>16.1</v>
      </c>
      <c r="B434" s="29">
        <v>21.5797704497207</v>
      </c>
      <c r="C434" s="32">
        <f t="shared" si="19"/>
        <v>5.4797704497207</v>
      </c>
      <c r="D434" s="33">
        <f t="shared" si="20"/>
        <v>30.0278841816322</v>
      </c>
      <c r="E434" s="34">
        <f t="shared" si="21"/>
        <v>30.0278841816322</v>
      </c>
      <c r="F434" s="34"/>
      <c r="G434" s="34">
        <f>(A434-$F$2)^2</f>
        <v>41.3809972035186</v>
      </c>
    </row>
    <row r="435" spans="1:7">
      <c r="A435" s="28">
        <v>14.3</v>
      </c>
      <c r="B435" s="29">
        <v>16.7597698323138</v>
      </c>
      <c r="C435" s="32">
        <f t="shared" si="19"/>
        <v>2.4597698323138</v>
      </c>
      <c r="D435" s="33">
        <f t="shared" si="20"/>
        <v>6.05046762796106</v>
      </c>
      <c r="E435" s="34">
        <f t="shared" si="21"/>
        <v>6.05046762796106</v>
      </c>
      <c r="F435" s="34"/>
      <c r="G435" s="34">
        <f>(A435-$F$2)^2</f>
        <v>67.7790999703171</v>
      </c>
    </row>
    <row r="436" spans="1:7">
      <c r="A436" s="28">
        <v>11.7</v>
      </c>
      <c r="B436" s="29">
        <v>16.0617808432847</v>
      </c>
      <c r="C436" s="32">
        <f t="shared" si="19"/>
        <v>4.3617808432847</v>
      </c>
      <c r="D436" s="33">
        <f t="shared" si="20"/>
        <v>19.0251321248454</v>
      </c>
      <c r="E436" s="34">
        <f t="shared" si="21"/>
        <v>19.0251321248454</v>
      </c>
      <c r="F436" s="34"/>
      <c r="G436" s="34">
        <f>(A436-$F$2)^2</f>
        <v>117.349692855693</v>
      </c>
    </row>
    <row r="437" spans="1:7">
      <c r="A437" s="28">
        <v>13.4</v>
      </c>
      <c r="B437" s="29">
        <v>13.1717741390925</v>
      </c>
      <c r="C437" s="32">
        <f t="shared" si="19"/>
        <v>0.2282258609075</v>
      </c>
      <c r="D437" s="33">
        <f t="shared" si="20"/>
        <v>0.0520870435869696</v>
      </c>
      <c r="E437" s="34">
        <f t="shared" si="21"/>
        <v>0.0520870435869696</v>
      </c>
      <c r="F437" s="34"/>
      <c r="G437" s="34">
        <f>(A437-$F$2)^2</f>
        <v>83.4081513537164</v>
      </c>
    </row>
    <row r="438" spans="1:7">
      <c r="A438" s="28">
        <v>9.6</v>
      </c>
      <c r="B438" s="29">
        <v>14.7233315309638</v>
      </c>
      <c r="C438" s="32">
        <f t="shared" si="19"/>
        <v>5.1233315309638</v>
      </c>
      <c r="D438" s="33">
        <f t="shared" si="20"/>
        <v>26.2485259761679</v>
      </c>
      <c r="E438" s="34">
        <f t="shared" si="21"/>
        <v>26.2485259761679</v>
      </c>
      <c r="F438" s="34"/>
      <c r="G438" s="34">
        <f>(A438-$F$2)^2</f>
        <v>167.257479416958</v>
      </c>
    </row>
    <row r="439" spans="1:7">
      <c r="A439" s="28">
        <v>8.7</v>
      </c>
      <c r="B439" s="29">
        <v>8.88255025596944</v>
      </c>
      <c r="C439" s="32">
        <f t="shared" si="19"/>
        <v>0.18255025596944</v>
      </c>
      <c r="D439" s="33">
        <f t="shared" si="20"/>
        <v>0.0333245959545082</v>
      </c>
      <c r="E439" s="34">
        <f t="shared" si="21"/>
        <v>0.0333245959545082</v>
      </c>
      <c r="F439" s="34"/>
      <c r="G439" s="34">
        <f>(A439-$F$2)^2</f>
        <v>191.346530800357</v>
      </c>
    </row>
    <row r="440" spans="1:7">
      <c r="A440" s="28">
        <v>8.4</v>
      </c>
      <c r="B440" s="29">
        <v>4.41506850214064</v>
      </c>
      <c r="C440" s="32">
        <f t="shared" si="19"/>
        <v>3.98493149785936</v>
      </c>
      <c r="D440" s="33">
        <f t="shared" si="20"/>
        <v>15.8796790426316</v>
      </c>
      <c r="E440" s="34">
        <f t="shared" si="21"/>
        <v>15.8796790426316</v>
      </c>
      <c r="F440" s="34"/>
      <c r="G440" s="34">
        <f>(A440-$F$2)^2</f>
        <v>199.736214594823</v>
      </c>
    </row>
    <row r="441" spans="1:7">
      <c r="A441" s="28">
        <v>12.8</v>
      </c>
      <c r="B441" s="29">
        <v>12.9092122724776</v>
      </c>
      <c r="C441" s="32">
        <f t="shared" si="19"/>
        <v>0.109212272477599</v>
      </c>
      <c r="D441" s="33">
        <f t="shared" si="20"/>
        <v>0.0119273204597213</v>
      </c>
      <c r="E441" s="34">
        <f t="shared" si="21"/>
        <v>0.0119273204597213</v>
      </c>
      <c r="F441" s="34"/>
      <c r="G441" s="34">
        <f>(A441-$F$2)^2</f>
        <v>94.7275189426492</v>
      </c>
    </row>
    <row r="442" spans="1:7">
      <c r="A442" s="28">
        <v>10.5</v>
      </c>
      <c r="B442" s="29">
        <v>12.8343809178865</v>
      </c>
      <c r="C442" s="32">
        <f t="shared" si="19"/>
        <v>2.3343809178865</v>
      </c>
      <c r="D442" s="33">
        <f t="shared" si="20"/>
        <v>5.44933426979262</v>
      </c>
      <c r="E442" s="34">
        <f t="shared" si="21"/>
        <v>5.44933426979262</v>
      </c>
      <c r="F442" s="34"/>
      <c r="G442" s="34">
        <f>(A442-$F$2)^2</f>
        <v>144.788428033558</v>
      </c>
    </row>
    <row r="443" spans="1:7">
      <c r="A443" s="28">
        <v>17.1</v>
      </c>
      <c r="B443" s="29">
        <v>17.0141261855538</v>
      </c>
      <c r="C443" s="32">
        <f t="shared" si="19"/>
        <v>0.0858738144462023</v>
      </c>
      <c r="D443" s="33">
        <f t="shared" si="20"/>
        <v>0.00737431200754079</v>
      </c>
      <c r="E443" s="34">
        <f t="shared" si="21"/>
        <v>0.00737431200754079</v>
      </c>
      <c r="F443" s="34"/>
      <c r="G443" s="34">
        <f>(A443-$F$2)^2</f>
        <v>29.5153845552972</v>
      </c>
    </row>
    <row r="444" spans="1:7">
      <c r="A444" s="28">
        <v>18.4</v>
      </c>
      <c r="B444" s="29">
        <v>18.7688449273882</v>
      </c>
      <c r="C444" s="32">
        <f t="shared" si="19"/>
        <v>0.368844927388203</v>
      </c>
      <c r="D444" s="33">
        <f t="shared" si="20"/>
        <v>0.136046580460009</v>
      </c>
      <c r="E444" s="34">
        <f t="shared" si="21"/>
        <v>0.136046580460009</v>
      </c>
      <c r="F444" s="34"/>
      <c r="G444" s="34">
        <f>(A444-$F$2)^2</f>
        <v>17.0800881126094</v>
      </c>
    </row>
    <row r="445" spans="1:7">
      <c r="A445" s="28">
        <v>15.4</v>
      </c>
      <c r="B445" s="29">
        <v>18.0003962323627</v>
      </c>
      <c r="C445" s="32">
        <f t="shared" si="19"/>
        <v>2.6003962323627</v>
      </c>
      <c r="D445" s="33">
        <f t="shared" si="20"/>
        <v>6.76206056528612</v>
      </c>
      <c r="E445" s="34">
        <f t="shared" si="21"/>
        <v>6.76206056528612</v>
      </c>
      <c r="F445" s="34"/>
      <c r="G445" s="34">
        <f>(A445-$F$2)^2</f>
        <v>50.8769260572736</v>
      </c>
    </row>
    <row r="446" spans="1:7">
      <c r="A446" s="28">
        <v>10.8</v>
      </c>
      <c r="B446" s="29">
        <v>11.4765184083715</v>
      </c>
      <c r="C446" s="32">
        <f t="shared" si="19"/>
        <v>0.6765184083715</v>
      </c>
      <c r="D446" s="33">
        <f t="shared" si="20"/>
        <v>0.457677156865508</v>
      </c>
      <c r="E446" s="34">
        <f t="shared" si="21"/>
        <v>0.457677156865508</v>
      </c>
      <c r="F446" s="34"/>
      <c r="G446" s="34">
        <f>(A446-$F$2)^2</f>
        <v>137.658744239092</v>
      </c>
    </row>
    <row r="447" spans="1:7">
      <c r="A447" s="28">
        <v>11.8</v>
      </c>
      <c r="B447" s="29">
        <v>12.0183096939608</v>
      </c>
      <c r="C447" s="32">
        <f t="shared" si="19"/>
        <v>0.2183096939608</v>
      </c>
      <c r="D447" s="33">
        <f t="shared" si="20"/>
        <v>0.047659122477258</v>
      </c>
      <c r="E447" s="34">
        <f t="shared" si="21"/>
        <v>0.047659122477258</v>
      </c>
      <c r="F447" s="34"/>
      <c r="G447" s="34">
        <f>(A447-$F$2)^2</f>
        <v>115.193131590871</v>
      </c>
    </row>
    <row r="448" spans="1:7">
      <c r="A448" s="28">
        <v>14.9</v>
      </c>
      <c r="B448" s="29">
        <v>17.6986520715048</v>
      </c>
      <c r="C448" s="32">
        <f t="shared" si="19"/>
        <v>2.7986520715048</v>
      </c>
      <c r="D448" s="33">
        <f t="shared" si="20"/>
        <v>7.8324534173381</v>
      </c>
      <c r="E448" s="34">
        <f t="shared" si="21"/>
        <v>7.8324534173381</v>
      </c>
      <c r="F448" s="34"/>
      <c r="G448" s="34">
        <f>(A448-$F$2)^2</f>
        <v>58.2597323813843</v>
      </c>
    </row>
    <row r="449" spans="1:7">
      <c r="A449" s="28">
        <v>12.6</v>
      </c>
      <c r="B449" s="29">
        <v>18.3413729358227</v>
      </c>
      <c r="C449" s="32">
        <f t="shared" si="19"/>
        <v>5.7413729358227</v>
      </c>
      <c r="D449" s="33">
        <f t="shared" si="20"/>
        <v>32.9633631881974</v>
      </c>
      <c r="E449" s="34">
        <f t="shared" si="21"/>
        <v>32.9633631881974</v>
      </c>
      <c r="F449" s="34"/>
      <c r="G449" s="34">
        <f>(A449-$F$2)^2</f>
        <v>98.6606414722935</v>
      </c>
    </row>
    <row r="450" spans="1:7">
      <c r="A450" s="28">
        <v>14.1</v>
      </c>
      <c r="B450" s="29">
        <v>17.4010054609336</v>
      </c>
      <c r="C450" s="32">
        <f t="shared" ref="C450:C507" si="22">ABS(A450-B450)</f>
        <v>3.3010054609336</v>
      </c>
      <c r="D450" s="33">
        <f t="shared" ref="D450:D507" si="23">C450^2</f>
        <v>10.8966370531134</v>
      </c>
      <c r="E450" s="34">
        <f t="shared" ref="E450:E507" si="24">(A450-B450)^2</f>
        <v>10.8966370531135</v>
      </c>
      <c r="F450" s="34"/>
      <c r="G450" s="34">
        <f>(A450-$F$2)^2</f>
        <v>71.1122224999614</v>
      </c>
    </row>
    <row r="451" spans="1:7">
      <c r="A451" s="28">
        <v>13</v>
      </c>
      <c r="B451" s="29">
        <v>17.2904950431273</v>
      </c>
      <c r="C451" s="32">
        <f t="shared" si="22"/>
        <v>4.2904950431273</v>
      </c>
      <c r="D451" s="33">
        <f t="shared" si="23"/>
        <v>18.4083477150999</v>
      </c>
      <c r="E451" s="34">
        <f t="shared" si="24"/>
        <v>18.4083477150999</v>
      </c>
      <c r="F451" s="34"/>
      <c r="G451" s="34">
        <f>(A451-$F$2)^2</f>
        <v>90.8743964130049</v>
      </c>
    </row>
    <row r="452" spans="1:7">
      <c r="A452" s="28">
        <v>13.4</v>
      </c>
      <c r="B452" s="29">
        <v>16.6977880326473</v>
      </c>
      <c r="C452" s="32">
        <f t="shared" si="22"/>
        <v>3.2977880326473</v>
      </c>
      <c r="D452" s="33">
        <f t="shared" si="23"/>
        <v>10.8754059082717</v>
      </c>
      <c r="E452" s="34">
        <f t="shared" si="24"/>
        <v>10.8754059082717</v>
      </c>
      <c r="F452" s="34"/>
      <c r="G452" s="34">
        <f>(A452-$F$2)^2</f>
        <v>83.4081513537164</v>
      </c>
    </row>
    <row r="453" spans="1:7">
      <c r="A453" s="28">
        <v>15.2</v>
      </c>
      <c r="B453" s="29">
        <v>19.8979162312244</v>
      </c>
      <c r="C453" s="32">
        <f t="shared" si="22"/>
        <v>4.6979162312244</v>
      </c>
      <c r="D453" s="33">
        <f t="shared" si="23"/>
        <v>22.0704169156017</v>
      </c>
      <c r="E453" s="34">
        <f t="shared" si="24"/>
        <v>22.0704169156017</v>
      </c>
      <c r="F453" s="34"/>
      <c r="G453" s="34">
        <f>(A453-$F$2)^2</f>
        <v>53.7700485869179</v>
      </c>
    </row>
    <row r="454" spans="1:7">
      <c r="A454" s="28">
        <v>16.1</v>
      </c>
      <c r="B454" s="29">
        <v>18.2068499968861</v>
      </c>
      <c r="C454" s="32">
        <f t="shared" si="22"/>
        <v>2.1068499968861</v>
      </c>
      <c r="D454" s="33">
        <f t="shared" si="23"/>
        <v>4.43881690937896</v>
      </c>
      <c r="E454" s="34">
        <f t="shared" si="24"/>
        <v>4.43881690937895</v>
      </c>
      <c r="F454" s="34"/>
      <c r="G454" s="34">
        <f>(A454-$F$2)^2</f>
        <v>41.3809972035186</v>
      </c>
    </row>
    <row r="455" spans="1:7">
      <c r="A455" s="28">
        <v>17.8</v>
      </c>
      <c r="B455" s="29">
        <v>23.5618409580939</v>
      </c>
      <c r="C455" s="32">
        <f t="shared" si="22"/>
        <v>5.7618409580939</v>
      </c>
      <c r="D455" s="33">
        <f t="shared" si="23"/>
        <v>33.1988112263684</v>
      </c>
      <c r="E455" s="34">
        <f t="shared" si="24"/>
        <v>33.1988112263684</v>
      </c>
      <c r="F455" s="34"/>
      <c r="G455" s="34">
        <f>(A455-$F$2)^2</f>
        <v>22.3994557015422</v>
      </c>
    </row>
    <row r="456" spans="1:7">
      <c r="A456" s="28">
        <v>14.9</v>
      </c>
      <c r="B456" s="29">
        <v>15.3026882158772</v>
      </c>
      <c r="C456" s="32">
        <f t="shared" si="22"/>
        <v>0.4026882158772</v>
      </c>
      <c r="D456" s="33">
        <f t="shared" si="23"/>
        <v>0.162157799206362</v>
      </c>
      <c r="E456" s="34">
        <f t="shared" si="24"/>
        <v>0.162157799206362</v>
      </c>
      <c r="F456" s="34"/>
      <c r="G456" s="34">
        <f>(A456-$F$2)^2</f>
        <v>58.2597323813843</v>
      </c>
    </row>
    <row r="457" spans="1:7">
      <c r="A457" s="28">
        <v>14.1</v>
      </c>
      <c r="B457" s="29">
        <v>15.9524592658525</v>
      </c>
      <c r="C457" s="32">
        <f t="shared" si="22"/>
        <v>1.8524592658525</v>
      </c>
      <c r="D457" s="33">
        <f t="shared" si="23"/>
        <v>3.43160533164278</v>
      </c>
      <c r="E457" s="34">
        <f t="shared" si="24"/>
        <v>3.43160533164279</v>
      </c>
      <c r="F457" s="34"/>
      <c r="G457" s="34">
        <f>(A457-$F$2)^2</f>
        <v>71.1122224999614</v>
      </c>
    </row>
    <row r="458" spans="1:7">
      <c r="A458" s="28">
        <v>12.7</v>
      </c>
      <c r="B458" s="29">
        <v>12.3319519285691</v>
      </c>
      <c r="C458" s="32">
        <f t="shared" si="22"/>
        <v>0.368048071430898</v>
      </c>
      <c r="D458" s="33">
        <f t="shared" si="23"/>
        <v>0.135459382884003</v>
      </c>
      <c r="E458" s="34">
        <f t="shared" si="24"/>
        <v>0.135459382884004</v>
      </c>
      <c r="F458" s="34"/>
      <c r="G458" s="34">
        <f>(A458-$F$2)^2</f>
        <v>96.6840802074714</v>
      </c>
    </row>
    <row r="459" spans="1:7">
      <c r="A459" s="28">
        <v>13.5</v>
      </c>
      <c r="B459" s="29">
        <v>12.5179549165627</v>
      </c>
      <c r="C459" s="32">
        <f t="shared" si="22"/>
        <v>0.982045083437299</v>
      </c>
      <c r="D459" s="33">
        <f t="shared" si="23"/>
        <v>0.964412545903372</v>
      </c>
      <c r="E459" s="34">
        <f t="shared" si="24"/>
        <v>0.964412545903372</v>
      </c>
      <c r="F459" s="34"/>
      <c r="G459" s="34">
        <f>(A459-$F$2)^2</f>
        <v>81.5915900888942</v>
      </c>
    </row>
    <row r="460" spans="1:7">
      <c r="A460" s="28">
        <v>14.9</v>
      </c>
      <c r="B460" s="29">
        <v>17.2624342709599</v>
      </c>
      <c r="C460" s="32">
        <f t="shared" si="22"/>
        <v>2.3624342709599</v>
      </c>
      <c r="D460" s="33">
        <f t="shared" si="23"/>
        <v>5.58109568460584</v>
      </c>
      <c r="E460" s="34">
        <f t="shared" si="24"/>
        <v>5.58109568460584</v>
      </c>
      <c r="F460" s="34"/>
      <c r="G460" s="34">
        <f>(A460-$F$2)^2</f>
        <v>58.2597323813843</v>
      </c>
    </row>
    <row r="461" spans="1:7">
      <c r="A461" s="28">
        <v>20</v>
      </c>
      <c r="B461" s="29">
        <v>18.4659810502792</v>
      </c>
      <c r="C461" s="32">
        <f t="shared" si="22"/>
        <v>1.5340189497208</v>
      </c>
      <c r="D461" s="33">
        <f t="shared" si="23"/>
        <v>2.35321413810251</v>
      </c>
      <c r="E461" s="34">
        <f t="shared" si="24"/>
        <v>2.3532141381025</v>
      </c>
      <c r="F461" s="34"/>
      <c r="G461" s="34">
        <f>(A461-$F$2)^2</f>
        <v>6.41510787545515</v>
      </c>
    </row>
    <row r="462" spans="1:7">
      <c r="A462" s="28">
        <v>16.4</v>
      </c>
      <c r="B462" s="29">
        <v>18.9747912661292</v>
      </c>
      <c r="C462" s="32">
        <f t="shared" si="22"/>
        <v>2.5747912661292</v>
      </c>
      <c r="D462" s="33">
        <f t="shared" si="23"/>
        <v>6.62955006413521</v>
      </c>
      <c r="E462" s="34">
        <f t="shared" si="24"/>
        <v>6.62955006413521</v>
      </c>
      <c r="F462" s="34"/>
      <c r="G462" s="34">
        <f>(A462-$F$2)^2</f>
        <v>37.6113134090522</v>
      </c>
    </row>
    <row r="463" spans="1:7">
      <c r="A463" s="28">
        <v>17.7</v>
      </c>
      <c r="B463" s="29">
        <v>20.5590154700215</v>
      </c>
      <c r="C463" s="32">
        <f t="shared" si="22"/>
        <v>2.8590154700215</v>
      </c>
      <c r="D463" s="33">
        <f t="shared" si="23"/>
        <v>8.17396945782226</v>
      </c>
      <c r="E463" s="34">
        <f t="shared" si="24"/>
        <v>8.17396945782226</v>
      </c>
      <c r="F463" s="34"/>
      <c r="G463" s="34">
        <f>(A463-$F$2)^2</f>
        <v>23.3560169663644</v>
      </c>
    </row>
    <row r="464" spans="1:7">
      <c r="A464" s="28">
        <v>19.5</v>
      </c>
      <c r="B464" s="29">
        <v>20.2150279219124</v>
      </c>
      <c r="C464" s="32">
        <f t="shared" si="22"/>
        <v>0.715027921912402</v>
      </c>
      <c r="D464" s="33">
        <f t="shared" si="23"/>
        <v>0.511264929114368</v>
      </c>
      <c r="E464" s="34">
        <f t="shared" si="24"/>
        <v>0.511264929114367</v>
      </c>
      <c r="F464" s="34"/>
      <c r="G464" s="34">
        <f>(A464-$F$2)^2</f>
        <v>9.19791419956585</v>
      </c>
    </row>
    <row r="465" spans="1:7">
      <c r="A465" s="28">
        <v>20.2</v>
      </c>
      <c r="B465" s="29">
        <v>22.5313560849323</v>
      </c>
      <c r="C465" s="32">
        <f t="shared" si="22"/>
        <v>2.3313560849323</v>
      </c>
      <c r="D465" s="33">
        <f t="shared" si="23"/>
        <v>5.43522119475086</v>
      </c>
      <c r="E465" s="34">
        <f t="shared" si="24"/>
        <v>5.43522119475086</v>
      </c>
      <c r="F465" s="34"/>
      <c r="G465" s="34">
        <f>(A465-$F$2)^2</f>
        <v>5.44198534581087</v>
      </c>
    </row>
    <row r="466" spans="1:7">
      <c r="A466" s="28">
        <v>21.4</v>
      </c>
      <c r="B466" s="29">
        <v>20.2389810684101</v>
      </c>
      <c r="C466" s="32">
        <f t="shared" si="22"/>
        <v>1.1610189315899</v>
      </c>
      <c r="D466" s="33">
        <f t="shared" si="23"/>
        <v>1.34796495951015</v>
      </c>
      <c r="E466" s="34">
        <f t="shared" si="24"/>
        <v>1.34796495951015</v>
      </c>
      <c r="F466" s="34"/>
      <c r="G466" s="34">
        <f>(A466-$F$2)^2</f>
        <v>1.2832501679452</v>
      </c>
    </row>
    <row r="467" spans="1:7">
      <c r="A467" s="28">
        <v>19.9</v>
      </c>
      <c r="B467" s="29">
        <v>17.5636556660801</v>
      </c>
      <c r="C467" s="32">
        <f t="shared" si="22"/>
        <v>2.3363443339199</v>
      </c>
      <c r="D467" s="33">
        <f t="shared" si="23"/>
        <v>5.45850484663962</v>
      </c>
      <c r="E467" s="34">
        <f t="shared" si="24"/>
        <v>5.45850484663962</v>
      </c>
      <c r="F467" s="34"/>
      <c r="G467" s="34">
        <f>(A467-$F$2)^2</f>
        <v>6.93166914027729</v>
      </c>
    </row>
    <row r="468" spans="1:7">
      <c r="A468" s="28">
        <v>19</v>
      </c>
      <c r="B468" s="29">
        <v>14.3289200539107</v>
      </c>
      <c r="C468" s="32">
        <f t="shared" si="22"/>
        <v>4.6710799460893</v>
      </c>
      <c r="D468" s="33">
        <f t="shared" si="23"/>
        <v>21.8189878627576</v>
      </c>
      <c r="E468" s="34">
        <f t="shared" si="24"/>
        <v>21.8189878627576</v>
      </c>
      <c r="F468" s="34"/>
      <c r="G468" s="34">
        <f>(A468-$F$2)^2</f>
        <v>12.4807205236765</v>
      </c>
    </row>
    <row r="469" spans="1:7">
      <c r="A469" s="28">
        <v>19.1</v>
      </c>
      <c r="B469" s="29">
        <v>16.9532790724392</v>
      </c>
      <c r="C469" s="32">
        <f t="shared" si="22"/>
        <v>2.1467209275608</v>
      </c>
      <c r="D469" s="33">
        <f t="shared" si="23"/>
        <v>4.6084107408275</v>
      </c>
      <c r="E469" s="34">
        <f t="shared" si="24"/>
        <v>4.6084107408275</v>
      </c>
      <c r="F469" s="34"/>
      <c r="G469" s="34">
        <f>(A469-$F$2)^2</f>
        <v>11.7841592588544</v>
      </c>
    </row>
    <row r="470" spans="1:7">
      <c r="A470" s="28">
        <v>19.1</v>
      </c>
      <c r="B470" s="29">
        <v>17.1771672122013</v>
      </c>
      <c r="C470" s="32">
        <f t="shared" si="22"/>
        <v>1.9228327877987</v>
      </c>
      <c r="D470" s="33">
        <f t="shared" si="23"/>
        <v>3.69728592983372</v>
      </c>
      <c r="E470" s="34">
        <f t="shared" si="24"/>
        <v>3.69728592983372</v>
      </c>
      <c r="F470" s="34"/>
      <c r="G470" s="34">
        <f>(A470-$F$2)^2</f>
        <v>11.7841592588544</v>
      </c>
    </row>
    <row r="471" spans="1:7">
      <c r="A471" s="28">
        <v>20.1</v>
      </c>
      <c r="B471" s="29">
        <v>18.8666539115077</v>
      </c>
      <c r="C471" s="32">
        <f t="shared" si="22"/>
        <v>1.2333460884923</v>
      </c>
      <c r="D471" s="33">
        <f t="shared" si="23"/>
        <v>1.52114257399926</v>
      </c>
      <c r="E471" s="34">
        <f t="shared" si="24"/>
        <v>1.52114257399926</v>
      </c>
      <c r="F471" s="34"/>
      <c r="G471" s="34">
        <f>(A471-$F$2)^2</f>
        <v>5.918546610633</v>
      </c>
    </row>
    <row r="472" spans="1:7">
      <c r="A472" s="28">
        <v>19.9</v>
      </c>
      <c r="B472" s="29">
        <v>20.0006582616389</v>
      </c>
      <c r="C472" s="32">
        <f t="shared" si="22"/>
        <v>0.100658261638902</v>
      </c>
      <c r="D472" s="33">
        <f t="shared" si="23"/>
        <v>0.0101320856361657</v>
      </c>
      <c r="E472" s="34">
        <f t="shared" si="24"/>
        <v>0.0101320856361656</v>
      </c>
      <c r="F472" s="34"/>
      <c r="G472" s="34">
        <f>(A472-$F$2)^2</f>
        <v>6.93166914027729</v>
      </c>
    </row>
    <row r="473" spans="1:7">
      <c r="A473" s="28">
        <v>19.6</v>
      </c>
      <c r="B473" s="29">
        <v>22.3987500390609</v>
      </c>
      <c r="C473" s="32">
        <f t="shared" si="22"/>
        <v>2.7987500390609</v>
      </c>
      <c r="D473" s="33">
        <f t="shared" si="23"/>
        <v>7.83300178114339</v>
      </c>
      <c r="E473" s="34">
        <f t="shared" si="24"/>
        <v>7.83300178114338</v>
      </c>
      <c r="F473" s="34"/>
      <c r="G473" s="34">
        <f>(A473-$F$2)^2</f>
        <v>8.6013529347437</v>
      </c>
    </row>
    <row r="474" spans="1:7">
      <c r="A474" s="28">
        <v>23.2</v>
      </c>
      <c r="B474" s="29">
        <v>22.6279310870255</v>
      </c>
      <c r="C474" s="32">
        <f t="shared" si="22"/>
        <v>0.572068912974498</v>
      </c>
      <c r="D474" s="33">
        <f t="shared" si="23"/>
        <v>0.327262841191824</v>
      </c>
      <c r="E474" s="34">
        <f t="shared" si="24"/>
        <v>0.327262841191823</v>
      </c>
      <c r="F474" s="34"/>
      <c r="G474" s="34">
        <f>(A474-$F$2)^2</f>
        <v>0.445147401146678</v>
      </c>
    </row>
    <row r="475" spans="1:7">
      <c r="A475" s="28">
        <v>29.8</v>
      </c>
      <c r="B475" s="29">
        <v>25.3366058953585</v>
      </c>
      <c r="C475" s="32">
        <f t="shared" si="22"/>
        <v>4.4633941046415</v>
      </c>
      <c r="D475" s="33">
        <f t="shared" si="23"/>
        <v>19.9218869333485</v>
      </c>
      <c r="E475" s="34">
        <f t="shared" si="24"/>
        <v>19.9218869333485</v>
      </c>
      <c r="F475" s="34"/>
      <c r="G475" s="34">
        <f>(A475-$F$2)^2</f>
        <v>52.8121039228855</v>
      </c>
    </row>
    <row r="476" spans="1:7">
      <c r="A476" s="28">
        <v>13.8</v>
      </c>
      <c r="B476" s="29">
        <v>16.8503284922451</v>
      </c>
      <c r="C476" s="32">
        <f t="shared" si="22"/>
        <v>3.0503284922451</v>
      </c>
      <c r="D476" s="33">
        <f t="shared" si="23"/>
        <v>9.30450391060227</v>
      </c>
      <c r="E476" s="34">
        <f t="shared" si="24"/>
        <v>9.30450391060227</v>
      </c>
      <c r="F476" s="34"/>
      <c r="G476" s="34">
        <f>(A476-$F$2)^2</f>
        <v>76.2619062944278</v>
      </c>
    </row>
    <row r="477" spans="1:7">
      <c r="A477" s="28">
        <v>13.3</v>
      </c>
      <c r="B477" s="29">
        <v>16.3705093389913</v>
      </c>
      <c r="C477" s="32">
        <f t="shared" si="22"/>
        <v>3.0705093389913</v>
      </c>
      <c r="D477" s="33">
        <f t="shared" si="23"/>
        <v>9.42802760083279</v>
      </c>
      <c r="E477" s="34">
        <f t="shared" si="24"/>
        <v>9.42802760083279</v>
      </c>
      <c r="F477" s="34"/>
      <c r="G477" s="34">
        <f>(A477-$F$2)^2</f>
        <v>85.2447126185385</v>
      </c>
    </row>
    <row r="478" spans="1:7">
      <c r="A478" s="28">
        <v>16.7</v>
      </c>
      <c r="B478" s="29">
        <v>20.7734432841692</v>
      </c>
      <c r="C478" s="32">
        <f t="shared" si="22"/>
        <v>4.0734432841692</v>
      </c>
      <c r="D478" s="33">
        <f t="shared" si="23"/>
        <v>16.5929401893432</v>
      </c>
      <c r="E478" s="34">
        <f t="shared" si="24"/>
        <v>16.5929401893432</v>
      </c>
      <c r="F478" s="34"/>
      <c r="G478" s="34">
        <f>(A478-$F$2)^2</f>
        <v>34.0216296145858</v>
      </c>
    </row>
    <row r="479" spans="1:7">
      <c r="A479" s="28">
        <v>12</v>
      </c>
      <c r="B479" s="29">
        <v>11.4517508407079</v>
      </c>
      <c r="C479" s="32">
        <f t="shared" si="22"/>
        <v>0.5482491592921</v>
      </c>
      <c r="D479" s="33">
        <f t="shared" si="23"/>
        <v>0.300577140664494</v>
      </c>
      <c r="E479" s="34">
        <f t="shared" si="24"/>
        <v>0.300577140664494</v>
      </c>
      <c r="F479" s="34"/>
      <c r="G479" s="34">
        <f>(A479-$F$2)^2</f>
        <v>110.940009061226</v>
      </c>
    </row>
    <row r="480" spans="1:7">
      <c r="A480" s="28">
        <v>14.6</v>
      </c>
      <c r="B480" s="29">
        <v>19.3100733199754</v>
      </c>
      <c r="C480" s="32">
        <f t="shared" si="22"/>
        <v>4.7100733199754</v>
      </c>
      <c r="D480" s="33">
        <f t="shared" si="23"/>
        <v>22.1847906795441</v>
      </c>
      <c r="E480" s="34">
        <f t="shared" si="24"/>
        <v>22.1847906795441</v>
      </c>
      <c r="F480" s="34"/>
      <c r="G480" s="34">
        <f>(A480-$F$2)^2</f>
        <v>62.9294161758507</v>
      </c>
    </row>
    <row r="481" spans="1:7">
      <c r="A481" s="28">
        <v>21.4</v>
      </c>
      <c r="B481" s="29">
        <v>21.8549188261556</v>
      </c>
      <c r="C481" s="32">
        <f t="shared" si="22"/>
        <v>0.454918826155602</v>
      </c>
      <c r="D481" s="33">
        <f t="shared" si="23"/>
        <v>0.206951138390791</v>
      </c>
      <c r="E481" s="34">
        <f t="shared" si="24"/>
        <v>0.206951138390791</v>
      </c>
      <c r="F481" s="34"/>
      <c r="G481" s="34">
        <f>(A481-$F$2)^2</f>
        <v>1.2832501679452</v>
      </c>
    </row>
    <row r="482" spans="1:7">
      <c r="A482" s="28">
        <v>23</v>
      </c>
      <c r="B482" s="29">
        <v>22.9792295382491</v>
      </c>
      <c r="C482" s="32">
        <f t="shared" si="22"/>
        <v>0.0207704617508995</v>
      </c>
      <c r="D482" s="33">
        <f t="shared" si="23"/>
        <v>0.000431412081345579</v>
      </c>
      <c r="E482" s="34">
        <f t="shared" si="24"/>
        <v>0.000431412081345578</v>
      </c>
      <c r="F482" s="34"/>
      <c r="G482" s="34">
        <f>(A482-$F$2)^2</f>
        <v>0.218269930790958</v>
      </c>
    </row>
    <row r="483" spans="1:7">
      <c r="A483" s="28">
        <v>23.7</v>
      </c>
      <c r="B483" s="29">
        <v>27.44014830814</v>
      </c>
      <c r="C483" s="32">
        <f t="shared" si="22"/>
        <v>3.74014830814</v>
      </c>
      <c r="D483" s="33">
        <f t="shared" si="23"/>
        <v>13.9887093668825</v>
      </c>
      <c r="E483" s="34">
        <f t="shared" si="24"/>
        <v>13.9887093668825</v>
      </c>
      <c r="F483" s="34"/>
      <c r="G483" s="34">
        <f>(A483-$F$2)^2</f>
        <v>1.36234107703598</v>
      </c>
    </row>
    <row r="484" spans="1:7">
      <c r="A484" s="28">
        <v>25</v>
      </c>
      <c r="B484" s="29">
        <v>28.8675918341397</v>
      </c>
      <c r="C484" s="32">
        <f t="shared" si="22"/>
        <v>3.8675918341397</v>
      </c>
      <c r="D484" s="33">
        <f t="shared" si="23"/>
        <v>14.9582665955041</v>
      </c>
      <c r="E484" s="34">
        <f t="shared" si="24"/>
        <v>14.9582665955041</v>
      </c>
      <c r="F484" s="34"/>
      <c r="G484" s="34">
        <f>(A484-$F$2)^2</f>
        <v>6.08704463434817</v>
      </c>
    </row>
    <row r="485" spans="1:7">
      <c r="A485" s="28">
        <v>21.8</v>
      </c>
      <c r="B485" s="29">
        <v>21.502757249917</v>
      </c>
      <c r="C485" s="32">
        <f t="shared" si="22"/>
        <v>0.297242750083001</v>
      </c>
      <c r="D485" s="33">
        <f t="shared" si="23"/>
        <v>0.0883532524769054</v>
      </c>
      <c r="E485" s="34">
        <f t="shared" si="24"/>
        <v>0.0883532524769053</v>
      </c>
      <c r="F485" s="34"/>
      <c r="G485" s="34">
        <f>(A485-$F$2)^2</f>
        <v>0.537005108656633</v>
      </c>
    </row>
    <row r="486" spans="1:7">
      <c r="A486" s="28">
        <v>20.6</v>
      </c>
      <c r="B486" s="29">
        <v>19.7324841863838</v>
      </c>
      <c r="C486" s="32">
        <f t="shared" si="22"/>
        <v>0.867515813616201</v>
      </c>
      <c r="D486" s="33">
        <f t="shared" si="23"/>
        <v>0.752583686874179</v>
      </c>
      <c r="E486" s="34">
        <f t="shared" si="24"/>
        <v>0.752583686874179</v>
      </c>
      <c r="F486" s="34"/>
      <c r="G486" s="34">
        <f>(A486-$F$2)^2</f>
        <v>3.7357402865223</v>
      </c>
    </row>
    <row r="487" spans="1:7">
      <c r="A487" s="28">
        <v>21.2</v>
      </c>
      <c r="B487" s="29">
        <v>22.4773852753625</v>
      </c>
      <c r="C487" s="32">
        <f t="shared" si="22"/>
        <v>1.2773852753625</v>
      </c>
      <c r="D487" s="33">
        <f t="shared" si="23"/>
        <v>1.63171314171293</v>
      </c>
      <c r="E487" s="34">
        <f t="shared" si="24"/>
        <v>1.63171314171293</v>
      </c>
      <c r="F487" s="34"/>
      <c r="G487" s="34">
        <f>(A487-$F$2)^2</f>
        <v>1.77637269758947</v>
      </c>
    </row>
    <row r="488" spans="1:7">
      <c r="A488" s="28">
        <v>19.1</v>
      </c>
      <c r="B488" s="29">
        <v>19.4858135771454</v>
      </c>
      <c r="C488" s="32">
        <f t="shared" si="22"/>
        <v>0.385813577145399</v>
      </c>
      <c r="D488" s="33">
        <f t="shared" si="23"/>
        <v>0.148852116309729</v>
      </c>
      <c r="E488" s="34">
        <f t="shared" si="24"/>
        <v>0.148852116309729</v>
      </c>
      <c r="F488" s="34"/>
      <c r="G488" s="34">
        <f>(A488-$F$2)^2</f>
        <v>11.7841592588544</v>
      </c>
    </row>
    <row r="489" spans="1:7">
      <c r="A489" s="28">
        <v>20.6</v>
      </c>
      <c r="B489" s="29">
        <v>21.3940467104887</v>
      </c>
      <c r="C489" s="32">
        <f t="shared" si="22"/>
        <v>0.794046710488697</v>
      </c>
      <c r="D489" s="33">
        <f t="shared" si="23"/>
        <v>0.630510178437921</v>
      </c>
      <c r="E489" s="34">
        <f t="shared" si="24"/>
        <v>0.630510178437921</v>
      </c>
      <c r="F489" s="34"/>
      <c r="G489" s="34">
        <f>(A489-$F$2)^2</f>
        <v>3.7357402865223</v>
      </c>
    </row>
    <row r="490" spans="1:7">
      <c r="A490" s="28">
        <v>15.2</v>
      </c>
      <c r="B490" s="29">
        <v>11.4652809067073</v>
      </c>
      <c r="C490" s="32">
        <f t="shared" si="22"/>
        <v>3.7347190932927</v>
      </c>
      <c r="D490" s="33">
        <f t="shared" si="23"/>
        <v>13.948126705805</v>
      </c>
      <c r="E490" s="34">
        <f t="shared" si="24"/>
        <v>13.948126705805</v>
      </c>
      <c r="F490" s="34"/>
      <c r="G490" s="34">
        <f>(A490-$F$2)^2</f>
        <v>53.7700485869179</v>
      </c>
    </row>
    <row r="491" spans="1:7">
      <c r="A491" s="28">
        <v>7</v>
      </c>
      <c r="B491" s="29">
        <v>8.45813633316532</v>
      </c>
      <c r="C491" s="32">
        <f t="shared" si="22"/>
        <v>1.45813633316532</v>
      </c>
      <c r="D491" s="33">
        <f t="shared" si="23"/>
        <v>2.12616156609681</v>
      </c>
      <c r="E491" s="34">
        <f t="shared" si="24"/>
        <v>2.12616156609681</v>
      </c>
      <c r="F491" s="34"/>
      <c r="G491" s="34">
        <f>(A491-$F$2)^2</f>
        <v>241.268072302333</v>
      </c>
    </row>
    <row r="492" spans="1:7">
      <c r="A492" s="28">
        <v>8.1</v>
      </c>
      <c r="B492" s="29">
        <v>2.93493030303092</v>
      </c>
      <c r="C492" s="32">
        <f t="shared" si="22"/>
        <v>5.16506969696908</v>
      </c>
      <c r="D492" s="33">
        <f t="shared" si="23"/>
        <v>26.6779449745483</v>
      </c>
      <c r="E492" s="34">
        <f t="shared" si="24"/>
        <v>26.6779449745483</v>
      </c>
      <c r="F492" s="34"/>
      <c r="G492" s="34">
        <f>(A492-$F$2)^2</f>
        <v>208.30589838929</v>
      </c>
    </row>
    <row r="493" spans="1:7">
      <c r="A493" s="28">
        <v>13.6</v>
      </c>
      <c r="B493" s="29">
        <v>13.9181569261472</v>
      </c>
      <c r="C493" s="32">
        <f t="shared" si="22"/>
        <v>0.3181569261472</v>
      </c>
      <c r="D493" s="33">
        <f t="shared" si="23"/>
        <v>0.101223829655435</v>
      </c>
      <c r="E493" s="34">
        <f t="shared" si="24"/>
        <v>0.101223829655435</v>
      </c>
      <c r="F493" s="34"/>
      <c r="G493" s="34">
        <f>(A493-$F$2)^2</f>
        <v>79.7950288240721</v>
      </c>
    </row>
    <row r="494" spans="1:7">
      <c r="A494" s="28">
        <v>20.1</v>
      </c>
      <c r="B494" s="29">
        <v>15.5854458320727</v>
      </c>
      <c r="C494" s="32">
        <f t="shared" si="22"/>
        <v>4.5145541679273</v>
      </c>
      <c r="D494" s="33">
        <f t="shared" si="23"/>
        <v>20.3811993351498</v>
      </c>
      <c r="E494" s="34">
        <f t="shared" si="24"/>
        <v>20.3811993351498</v>
      </c>
      <c r="F494" s="34"/>
      <c r="G494" s="34">
        <f>(A494-$F$2)^2</f>
        <v>5.918546610633</v>
      </c>
    </row>
    <row r="495" spans="1:7">
      <c r="A495" s="28">
        <v>21.8</v>
      </c>
      <c r="B495" s="29">
        <v>20.4438837986696</v>
      </c>
      <c r="C495" s="32">
        <f t="shared" si="22"/>
        <v>1.3561162013304</v>
      </c>
      <c r="D495" s="33">
        <f t="shared" si="23"/>
        <v>1.83905115151079</v>
      </c>
      <c r="E495" s="34">
        <f t="shared" si="24"/>
        <v>1.8390511515108</v>
      </c>
      <c r="F495" s="34"/>
      <c r="G495" s="34">
        <f>(A495-$F$2)^2</f>
        <v>0.537005108656633</v>
      </c>
    </row>
    <row r="496" spans="1:7">
      <c r="A496" s="28">
        <v>24.5</v>
      </c>
      <c r="B496" s="29">
        <v>20.6316044156813</v>
      </c>
      <c r="C496" s="32">
        <f t="shared" si="22"/>
        <v>3.8683955843187</v>
      </c>
      <c r="D496" s="33">
        <f t="shared" si="23"/>
        <v>14.9644843967764</v>
      </c>
      <c r="E496" s="34">
        <f t="shared" si="24"/>
        <v>14.9644843967764</v>
      </c>
      <c r="F496" s="34"/>
      <c r="G496" s="34">
        <f>(A496-$F$2)^2</f>
        <v>3.86985095845886</v>
      </c>
    </row>
    <row r="497" spans="1:7">
      <c r="A497" s="28">
        <v>23.1</v>
      </c>
      <c r="B497" s="29">
        <v>15.9877966750176</v>
      </c>
      <c r="C497" s="32">
        <f t="shared" si="22"/>
        <v>7.1122033249824</v>
      </c>
      <c r="D497" s="33">
        <f t="shared" si="23"/>
        <v>50.5834361358907</v>
      </c>
      <c r="E497" s="34">
        <f t="shared" si="24"/>
        <v>50.5834361358907</v>
      </c>
      <c r="F497" s="34"/>
      <c r="G497" s="34">
        <f>(A497-$F$2)^2</f>
        <v>0.32170866596882</v>
      </c>
    </row>
    <row r="498" spans="1:7">
      <c r="A498" s="28">
        <v>19.7</v>
      </c>
      <c r="B498" s="29">
        <v>13.8883837746546</v>
      </c>
      <c r="C498" s="32">
        <f t="shared" si="22"/>
        <v>5.8116162253454</v>
      </c>
      <c r="D498" s="33">
        <f t="shared" si="23"/>
        <v>33.7748831506979</v>
      </c>
      <c r="E498" s="34">
        <f t="shared" si="24"/>
        <v>33.7748831506979</v>
      </c>
      <c r="F498" s="34"/>
      <c r="G498" s="34">
        <f>(A498-$F$2)^2</f>
        <v>8.02479166992157</v>
      </c>
    </row>
    <row r="499" spans="1:7">
      <c r="A499" s="28">
        <v>18.3</v>
      </c>
      <c r="B499" s="29">
        <v>19.0842021746211</v>
      </c>
      <c r="C499" s="32">
        <f t="shared" si="22"/>
        <v>0.7842021746211</v>
      </c>
      <c r="D499" s="33">
        <f t="shared" si="23"/>
        <v>0.614973050680462</v>
      </c>
      <c r="E499" s="34">
        <f t="shared" si="24"/>
        <v>0.614973050680463</v>
      </c>
      <c r="F499" s="34"/>
      <c r="G499" s="34">
        <f>(A499-$F$2)^2</f>
        <v>17.9166493774315</v>
      </c>
    </row>
    <row r="500" spans="1:7">
      <c r="A500" s="28">
        <v>21.2</v>
      </c>
      <c r="B500" s="29">
        <v>21.2572278612131</v>
      </c>
      <c r="C500" s="32">
        <f t="shared" si="22"/>
        <v>0.0572278612131001</v>
      </c>
      <c r="D500" s="33">
        <f t="shared" si="23"/>
        <v>0.00327502809902585</v>
      </c>
      <c r="E500" s="34">
        <f t="shared" si="24"/>
        <v>0.00327502809902584</v>
      </c>
      <c r="F500" s="34"/>
      <c r="G500" s="34">
        <f>(A500-$F$2)^2</f>
        <v>1.77637269758947</v>
      </c>
    </row>
    <row r="501" spans="1:7">
      <c r="A501" s="28">
        <v>17.5</v>
      </c>
      <c r="B501" s="29">
        <v>18.7405000047</v>
      </c>
      <c r="C501" s="32">
        <f t="shared" si="22"/>
        <v>1.2405000047</v>
      </c>
      <c r="D501" s="33">
        <f t="shared" si="23"/>
        <v>1.5388402616607</v>
      </c>
      <c r="E501" s="34">
        <f t="shared" si="24"/>
        <v>1.5388402616607</v>
      </c>
      <c r="F501" s="34"/>
      <c r="G501" s="34">
        <f>(A501-$F$2)^2</f>
        <v>25.3291394960086</v>
      </c>
    </row>
    <row r="502" spans="1:7">
      <c r="A502" s="28">
        <v>16.8</v>
      </c>
      <c r="B502" s="29">
        <v>20.6386347302579</v>
      </c>
      <c r="C502" s="32">
        <f t="shared" si="22"/>
        <v>3.8386347302579</v>
      </c>
      <c r="D502" s="33">
        <f t="shared" si="23"/>
        <v>14.7351165923421</v>
      </c>
      <c r="E502" s="34">
        <f t="shared" si="24"/>
        <v>14.7351165923421</v>
      </c>
      <c r="F502" s="34"/>
      <c r="G502" s="34">
        <f>(A502-$F$2)^2</f>
        <v>32.8650683497636</v>
      </c>
    </row>
    <row r="503" spans="1:7">
      <c r="A503" s="28">
        <v>22.4</v>
      </c>
      <c r="B503" s="29">
        <v>23.2944585190874</v>
      </c>
      <c r="C503" s="32">
        <f t="shared" si="22"/>
        <v>0.894458519087401</v>
      </c>
      <c r="D503" s="33">
        <f t="shared" si="23"/>
        <v>0.800056042368027</v>
      </c>
      <c r="E503" s="34">
        <f t="shared" si="24"/>
        <v>0.800056042368026</v>
      </c>
      <c r="F503" s="34"/>
      <c r="G503" s="34">
        <f>(A503-$F$2)^2</f>
        <v>0.0176375197237962</v>
      </c>
    </row>
    <row r="504" spans="1:7">
      <c r="A504" s="28">
        <v>20.6</v>
      </c>
      <c r="B504" s="29">
        <v>22.5347044499734</v>
      </c>
      <c r="C504" s="32">
        <f t="shared" si="22"/>
        <v>1.9347044499734</v>
      </c>
      <c r="D504" s="33">
        <f t="shared" si="23"/>
        <v>3.74308130874688</v>
      </c>
      <c r="E504" s="34">
        <f t="shared" si="24"/>
        <v>3.74308130874687</v>
      </c>
      <c r="F504" s="34"/>
      <c r="G504" s="34">
        <f>(A504-$F$2)^2</f>
        <v>3.7357402865223</v>
      </c>
    </row>
    <row r="505" spans="1:7">
      <c r="A505" s="28">
        <v>23.9</v>
      </c>
      <c r="B505" s="29">
        <v>27.856302877811</v>
      </c>
      <c r="C505" s="32">
        <f t="shared" si="22"/>
        <v>3.956302877811</v>
      </c>
      <c r="D505" s="33">
        <f t="shared" si="23"/>
        <v>15.6523324609756</v>
      </c>
      <c r="E505" s="34">
        <f t="shared" si="24"/>
        <v>15.6523324609756</v>
      </c>
      <c r="F505" s="34"/>
      <c r="G505" s="34">
        <f>(A505-$F$2)^2</f>
        <v>1.8692185473917</v>
      </c>
    </row>
    <row r="506" spans="1:7">
      <c r="A506" s="28">
        <v>22</v>
      </c>
      <c r="B506" s="29">
        <v>26.3076745469473</v>
      </c>
      <c r="C506" s="32">
        <f t="shared" si="22"/>
        <v>4.3076745469473</v>
      </c>
      <c r="D506" s="33">
        <f t="shared" si="23"/>
        <v>18.5560600024176</v>
      </c>
      <c r="E506" s="34">
        <f t="shared" si="24"/>
        <v>18.5560600024176</v>
      </c>
      <c r="F506" s="34"/>
      <c r="G506" s="34">
        <f>(A506-$F$2)^2</f>
        <v>0.283882579012354</v>
      </c>
    </row>
    <row r="507" spans="1:7">
      <c r="A507" s="28">
        <v>11.9</v>
      </c>
      <c r="B507" s="29">
        <v>22.7101643327546</v>
      </c>
      <c r="C507" s="32">
        <f t="shared" si="22"/>
        <v>10.8101643327546</v>
      </c>
      <c r="D507" s="33">
        <f t="shared" si="23"/>
        <v>116.85965290116</v>
      </c>
      <c r="E507" s="34">
        <f t="shared" si="24"/>
        <v>116.85965290116</v>
      </c>
      <c r="F507" s="34"/>
      <c r="G507" s="34">
        <f>(A507-$F$2)^2</f>
        <v>113.056570326048</v>
      </c>
    </row>
    <row r="509" spans="2:7">
      <c r="B509" s="36" t="s">
        <v>46</v>
      </c>
      <c r="C509" s="37">
        <f>-AVERAGE(C2:C507)</f>
        <v>-3.38799028430007</v>
      </c>
      <c r="D509" s="36"/>
      <c r="E509" s="36"/>
      <c r="F509" s="36"/>
      <c r="G509" s="36"/>
    </row>
    <row r="510" spans="2:7">
      <c r="B510" s="38" t="s">
        <v>47</v>
      </c>
      <c r="C510" s="38"/>
      <c r="D510" s="39">
        <f>-AVERAGE(D2:D507)</f>
        <v>-23.771687195394</v>
      </c>
      <c r="E510" s="38"/>
      <c r="F510" s="38"/>
      <c r="G510" s="38"/>
    </row>
    <row r="511" spans="2:7">
      <c r="B511" s="40" t="s">
        <v>48</v>
      </c>
      <c r="C511" s="40"/>
      <c r="D511" s="40"/>
      <c r="E511" s="40"/>
      <c r="F511" s="40"/>
      <c r="G511" s="40">
        <f>1-SUM(E2:E507)/SUM(G2:G507)</f>
        <v>0.718410185059261</v>
      </c>
    </row>
  </sheetData>
  <mergeCells count="1">
    <mergeCell ref="E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7"/>
  <sheetViews>
    <sheetView tabSelected="1" workbookViewId="0">
      <pane xSplit="14" ySplit="15" topLeftCell="O506" activePane="bottomRight" state="frozen"/>
      <selection/>
      <selection pane="topRight"/>
      <selection pane="bottomLeft"/>
      <selection pane="bottomRight" activeCell="B1" sqref="B1:G507"/>
    </sheetView>
  </sheetViews>
  <sheetFormatPr defaultColWidth="9" defaultRowHeight="13.5" outlineLevelCol="6"/>
  <cols>
    <col min="6" max="6" width="8" customWidth="1"/>
    <col min="7" max="7" width="8.375" customWidth="1"/>
    <col min="8" max="23" width="12.625"/>
  </cols>
  <sheetData>
    <row r="1" spans="1:7">
      <c r="A1" s="24"/>
      <c r="B1" s="25" t="s">
        <v>49</v>
      </c>
      <c r="C1" s="25" t="s">
        <v>50</v>
      </c>
      <c r="D1" s="25" t="s">
        <v>51</v>
      </c>
      <c r="E1" s="25" t="s">
        <v>52</v>
      </c>
      <c r="F1" s="26" t="s">
        <v>53</v>
      </c>
      <c r="G1" s="26" t="s">
        <v>39</v>
      </c>
    </row>
    <row r="2" spans="1:7">
      <c r="A2" s="24"/>
      <c r="B2" s="27"/>
      <c r="C2" s="27"/>
      <c r="D2" s="27"/>
      <c r="E2" s="27"/>
      <c r="F2" s="28">
        <v>24</v>
      </c>
      <c r="G2" s="29">
        <v>30.256204359595</v>
      </c>
    </row>
    <row r="3" spans="1:7">
      <c r="A3" s="24"/>
      <c r="B3" s="27"/>
      <c r="C3" s="27"/>
      <c r="D3" s="27"/>
      <c r="E3" s="27"/>
      <c r="F3" s="28">
        <v>21.6</v>
      </c>
      <c r="G3" s="29">
        <v>24.9328935331288</v>
      </c>
    </row>
    <row r="4" spans="1:7">
      <c r="A4" s="24"/>
      <c r="B4" s="27"/>
      <c r="C4" s="27"/>
      <c r="D4" s="27"/>
      <c r="E4" s="27"/>
      <c r="F4" s="28">
        <v>34.7</v>
      </c>
      <c r="G4" s="29">
        <v>30.9417818568129</v>
      </c>
    </row>
    <row r="5" spans="1:7">
      <c r="A5" s="24"/>
      <c r="B5" s="27"/>
      <c r="C5" s="27"/>
      <c r="D5" s="27"/>
      <c r="E5" s="27"/>
      <c r="F5" s="28">
        <v>33.4</v>
      </c>
      <c r="G5" s="29">
        <v>28.5048042523213</v>
      </c>
    </row>
    <row r="6" spans="1:7">
      <c r="A6" s="24"/>
      <c r="B6" s="27"/>
      <c r="C6" s="27"/>
      <c r="D6" s="27"/>
      <c r="E6" s="27"/>
      <c r="F6" s="28">
        <v>36.2</v>
      </c>
      <c r="G6" s="29">
        <v>27.6801234842556</v>
      </c>
    </row>
    <row r="7" spans="1:7">
      <c r="A7" s="24"/>
      <c r="B7" s="27"/>
      <c r="C7" s="27"/>
      <c r="D7" s="27"/>
      <c r="E7" s="27"/>
      <c r="F7" s="28">
        <v>28.7</v>
      </c>
      <c r="G7" s="29">
        <v>25.3750867921742</v>
      </c>
    </row>
    <row r="8" spans="1:7">
      <c r="A8" s="24"/>
      <c r="B8" s="27"/>
      <c r="C8" s="27"/>
      <c r="D8" s="27"/>
      <c r="E8" s="27"/>
      <c r="F8" s="28">
        <v>22.9</v>
      </c>
      <c r="G8" s="29">
        <v>23.0332236663477</v>
      </c>
    </row>
    <row r="9" spans="1:7">
      <c r="A9" s="24"/>
      <c r="B9" s="27"/>
      <c r="C9" s="27"/>
      <c r="D9" s="27"/>
      <c r="E9" s="27"/>
      <c r="F9" s="28">
        <v>27.1</v>
      </c>
      <c r="G9" s="29">
        <v>18.5820727071023</v>
      </c>
    </row>
    <row r="10" spans="1:7">
      <c r="A10" s="24"/>
      <c r="B10" s="27"/>
      <c r="C10" s="27"/>
      <c r="D10" s="27"/>
      <c r="E10" s="27"/>
      <c r="F10" s="28">
        <v>16.5</v>
      </c>
      <c r="G10" s="29">
        <v>10.3291995466333</v>
      </c>
    </row>
    <row r="11" spans="1:7">
      <c r="A11" s="24"/>
      <c r="B11" s="27"/>
      <c r="C11" s="27"/>
      <c r="D11" s="27"/>
      <c r="E11" s="27"/>
      <c r="F11" s="28">
        <v>18.9</v>
      </c>
      <c r="G11" s="29">
        <v>17.973769988913</v>
      </c>
    </row>
    <row r="12" spans="1:7">
      <c r="A12" s="24"/>
      <c r="B12" s="27"/>
      <c r="C12" s="27"/>
      <c r="D12" s="27"/>
      <c r="E12" s="27"/>
      <c r="F12" s="28">
        <v>15</v>
      </c>
      <c r="G12" s="29">
        <v>18.9456796002697</v>
      </c>
    </row>
    <row r="13" spans="1:7">
      <c r="A13" s="24"/>
      <c r="B13" s="27"/>
      <c r="C13" s="27"/>
      <c r="D13" s="27"/>
      <c r="E13" s="27"/>
      <c r="F13" s="28">
        <v>18.9</v>
      </c>
      <c r="G13" s="29">
        <v>20.8366301365167</v>
      </c>
    </row>
    <row r="14" spans="1:7">
      <c r="A14" s="24"/>
      <c r="B14" s="27"/>
      <c r="C14" s="27"/>
      <c r="D14" s="27"/>
      <c r="E14" s="27"/>
      <c r="F14" s="28">
        <v>21.7</v>
      </c>
      <c r="G14" s="29">
        <v>20.5378075744413</v>
      </c>
    </row>
    <row r="15" spans="1:7">
      <c r="A15" s="24"/>
      <c r="B15" s="27"/>
      <c r="C15" s="27"/>
      <c r="D15" s="27"/>
      <c r="E15" s="27"/>
      <c r="F15" s="28">
        <v>20.4</v>
      </c>
      <c r="G15" s="29">
        <v>19.4804711591958</v>
      </c>
    </row>
    <row r="16" spans="1:7">
      <c r="A16" s="24"/>
      <c r="B16" s="27"/>
      <c r="C16" s="27"/>
      <c r="D16" s="27"/>
      <c r="E16" s="27"/>
      <c r="F16" s="28">
        <v>18.2</v>
      </c>
      <c r="G16" s="29">
        <v>19.2559776475974</v>
      </c>
    </row>
    <row r="17" spans="1:7">
      <c r="A17" s="24"/>
      <c r="B17" s="27"/>
      <c r="C17" s="27"/>
      <c r="D17" s="27"/>
      <c r="E17" s="27"/>
      <c r="F17" s="28">
        <v>19.9</v>
      </c>
      <c r="G17" s="29">
        <v>19.350317931831</v>
      </c>
    </row>
    <row r="18" spans="1:7">
      <c r="A18" s="24"/>
      <c r="B18" s="27"/>
      <c r="C18" s="27"/>
      <c r="D18" s="27"/>
      <c r="E18" s="27"/>
      <c r="F18" s="28">
        <v>23.1</v>
      </c>
      <c r="G18" s="29">
        <v>20.4994503109478</v>
      </c>
    </row>
    <row r="19" spans="1:7">
      <c r="A19" s="24"/>
      <c r="B19" s="27"/>
      <c r="C19" s="27"/>
      <c r="D19" s="27"/>
      <c r="E19" s="27"/>
      <c r="F19" s="28">
        <v>17.5</v>
      </c>
      <c r="G19" s="29">
        <v>17.0655165897342</v>
      </c>
    </row>
    <row r="20" spans="1:7">
      <c r="A20" s="24"/>
      <c r="B20" s="27"/>
      <c r="C20" s="27"/>
      <c r="D20" s="27"/>
      <c r="E20" s="27"/>
      <c r="F20" s="28">
        <v>20.2</v>
      </c>
      <c r="G20" s="29">
        <v>16.2618771426086</v>
      </c>
    </row>
    <row r="21" spans="1:7">
      <c r="A21" s="24"/>
      <c r="B21" s="27"/>
      <c r="C21" s="27"/>
      <c r="D21" s="27"/>
      <c r="E21" s="27"/>
      <c r="F21" s="28">
        <v>18.2</v>
      </c>
      <c r="G21" s="29">
        <v>18.370385248886</v>
      </c>
    </row>
    <row r="22" spans="1:7">
      <c r="A22" s="24"/>
      <c r="B22" s="27"/>
      <c r="C22" s="27"/>
      <c r="D22" s="27"/>
      <c r="E22" s="27"/>
      <c r="F22" s="28">
        <v>13.6</v>
      </c>
      <c r="G22" s="29">
        <v>12.652749881358</v>
      </c>
    </row>
    <row r="23" spans="1:7">
      <c r="A23" s="24"/>
      <c r="B23" s="27"/>
      <c r="C23" s="27"/>
      <c r="D23" s="27"/>
      <c r="E23" s="27"/>
      <c r="F23" s="28">
        <v>19.6</v>
      </c>
      <c r="G23" s="29">
        <v>17.6463673693023</v>
      </c>
    </row>
    <row r="24" spans="1:7">
      <c r="A24" s="24"/>
      <c r="B24" s="27"/>
      <c r="C24" s="27"/>
      <c r="D24" s="27"/>
      <c r="E24" s="27"/>
      <c r="F24" s="28">
        <v>15.2</v>
      </c>
      <c r="G24" s="29">
        <v>16.3653771392693</v>
      </c>
    </row>
    <row r="25" spans="1:7">
      <c r="A25" s="24"/>
      <c r="B25" s="27"/>
      <c r="C25" s="27"/>
      <c r="D25" s="27"/>
      <c r="E25" s="27"/>
      <c r="F25" s="28">
        <v>14.5</v>
      </c>
      <c r="G25" s="29">
        <v>13.7469862471537</v>
      </c>
    </row>
    <row r="26" spans="1:7">
      <c r="A26" s="24"/>
      <c r="B26" s="27"/>
      <c r="C26" s="27"/>
      <c r="D26" s="27"/>
      <c r="E26" s="27"/>
      <c r="F26" s="28">
        <v>15.6</v>
      </c>
      <c r="G26" s="29">
        <v>15.2972814497404</v>
      </c>
    </row>
    <row r="27" spans="1:7">
      <c r="A27" s="24"/>
      <c r="B27" s="27"/>
      <c r="C27" s="27"/>
      <c r="D27" s="27"/>
      <c r="E27" s="27"/>
      <c r="F27" s="28">
        <v>13.9</v>
      </c>
      <c r="G27" s="29">
        <v>13.3878138468748</v>
      </c>
    </row>
    <row r="28" spans="1:7">
      <c r="A28" s="24"/>
      <c r="B28" s="27"/>
      <c r="C28" s="27"/>
      <c r="D28" s="27"/>
      <c r="E28" s="27"/>
      <c r="F28" s="28">
        <v>16.6</v>
      </c>
      <c r="G28" s="29">
        <v>15.4764878514124</v>
      </c>
    </row>
    <row r="29" spans="1:7">
      <c r="A29" s="24"/>
      <c r="B29" s="27"/>
      <c r="C29" s="27"/>
      <c r="D29" s="27"/>
      <c r="E29" s="27"/>
      <c r="F29" s="28">
        <v>14.8</v>
      </c>
      <c r="G29" s="29">
        <v>14.322121292704</v>
      </c>
    </row>
    <row r="30" spans="1:7">
      <c r="A30" s="24"/>
      <c r="B30" s="27"/>
      <c r="C30" s="27"/>
      <c r="D30" s="27"/>
      <c r="E30" s="27"/>
      <c r="F30" s="28">
        <v>18.4</v>
      </c>
      <c r="G30" s="29">
        <v>19.5246191157735</v>
      </c>
    </row>
    <row r="31" spans="1:7">
      <c r="A31" s="24"/>
      <c r="B31" s="27"/>
      <c r="C31" s="27"/>
      <c r="D31" s="27"/>
      <c r="E31" s="27"/>
      <c r="F31" s="28">
        <v>21</v>
      </c>
      <c r="G31" s="29">
        <v>20.8687716237995</v>
      </c>
    </row>
    <row r="32" spans="1:7">
      <c r="A32" s="24"/>
      <c r="B32" s="27"/>
      <c r="C32" s="27"/>
      <c r="D32" s="27"/>
      <c r="E32" s="27"/>
      <c r="F32" s="28">
        <v>12.7</v>
      </c>
      <c r="G32" s="29">
        <v>11.9740631510492</v>
      </c>
    </row>
    <row r="33" spans="1:7">
      <c r="A33" s="24"/>
      <c r="B33" s="27"/>
      <c r="C33" s="27"/>
      <c r="D33" s="27"/>
      <c r="E33" s="27"/>
      <c r="F33" s="28">
        <v>14.5</v>
      </c>
      <c r="G33" s="29">
        <v>17.9596817817491</v>
      </c>
    </row>
    <row r="34" spans="1:7">
      <c r="A34" s="24"/>
      <c r="B34" s="27"/>
      <c r="C34" s="27"/>
      <c r="D34" s="27"/>
      <c r="E34" s="27"/>
      <c r="F34" s="28">
        <v>13.2</v>
      </c>
      <c r="G34" s="29">
        <v>9.06368200302457</v>
      </c>
    </row>
    <row r="35" spans="1:7">
      <c r="A35" s="24"/>
      <c r="B35" s="27"/>
      <c r="C35" s="27"/>
      <c r="D35" s="27"/>
      <c r="E35" s="27"/>
      <c r="F35" s="28">
        <v>13.1</v>
      </c>
      <c r="G35" s="29">
        <v>14.286196596863</v>
      </c>
    </row>
    <row r="36" spans="1:7">
      <c r="A36" s="24"/>
      <c r="B36" s="27"/>
      <c r="C36" s="27"/>
      <c r="D36" s="27"/>
      <c r="E36" s="27"/>
      <c r="F36" s="28">
        <v>13.5</v>
      </c>
      <c r="G36" s="29">
        <v>13.9375691715329</v>
      </c>
    </row>
    <row r="37" spans="1:7">
      <c r="A37" s="24"/>
      <c r="B37" s="27"/>
      <c r="C37" s="27"/>
      <c r="D37" s="27"/>
      <c r="E37" s="27"/>
      <c r="F37" s="28">
        <v>18.9</v>
      </c>
      <c r="G37" s="29">
        <v>23.8099324248938</v>
      </c>
    </row>
    <row r="38" spans="1:7">
      <c r="A38" s="24"/>
      <c r="B38" s="27"/>
      <c r="C38" s="27"/>
      <c r="D38" s="27"/>
      <c r="E38" s="27"/>
      <c r="F38" s="28">
        <v>20</v>
      </c>
      <c r="G38" s="29">
        <v>22.5726868012817</v>
      </c>
    </row>
    <row r="39" spans="1:7">
      <c r="A39" s="24"/>
      <c r="B39" s="27"/>
      <c r="C39" s="27"/>
      <c r="D39" s="27"/>
      <c r="E39" s="27"/>
      <c r="F39" s="28">
        <v>21</v>
      </c>
      <c r="G39" s="29">
        <v>23.3350304524197</v>
      </c>
    </row>
    <row r="40" spans="1:7">
      <c r="A40" s="24"/>
      <c r="B40" s="27"/>
      <c r="C40" s="27"/>
      <c r="D40" s="27"/>
      <c r="E40" s="27"/>
      <c r="F40" s="28">
        <v>24.7</v>
      </c>
      <c r="G40" s="29">
        <v>22.9632446534736</v>
      </c>
    </row>
    <row r="41" spans="1:7">
      <c r="A41" s="24"/>
      <c r="B41" s="27"/>
      <c r="C41" s="27"/>
      <c r="D41" s="27"/>
      <c r="E41" s="27"/>
      <c r="F41" s="28">
        <v>30.8</v>
      </c>
      <c r="G41" s="29">
        <v>31.2765103974849</v>
      </c>
    </row>
    <row r="42" spans="1:7">
      <c r="A42" s="24"/>
      <c r="B42" s="27"/>
      <c r="C42" s="27"/>
      <c r="D42" s="27"/>
      <c r="E42" s="27"/>
      <c r="F42" s="28">
        <v>34.9</v>
      </c>
      <c r="G42" s="29">
        <v>34.1727783133683</v>
      </c>
    </row>
    <row r="43" spans="1:7">
      <c r="A43" s="24"/>
      <c r="B43" s="27"/>
      <c r="C43" s="27"/>
      <c r="D43" s="27"/>
      <c r="E43" s="27"/>
      <c r="F43" s="28">
        <v>26.6</v>
      </c>
      <c r="G43" s="29">
        <v>27.8708358974508</v>
      </c>
    </row>
    <row r="44" spans="1:7">
      <c r="A44" s="24"/>
      <c r="B44" s="27"/>
      <c r="C44" s="27"/>
      <c r="D44" s="27"/>
      <c r="E44" s="27"/>
      <c r="F44" s="28">
        <v>25.3</v>
      </c>
      <c r="G44" s="29">
        <v>25.2420829324503</v>
      </c>
    </row>
    <row r="45" spans="1:7">
      <c r="A45" s="24"/>
      <c r="B45" s="27"/>
      <c r="C45" s="27"/>
      <c r="D45" s="27"/>
      <c r="E45" s="27"/>
      <c r="F45" s="28">
        <v>24.7</v>
      </c>
      <c r="G45" s="29">
        <v>24.1651942871705</v>
      </c>
    </row>
    <row r="46" spans="1:7">
      <c r="A46" s="24"/>
      <c r="B46" s="27"/>
      <c r="C46" s="27"/>
      <c r="D46" s="27"/>
      <c r="E46" s="27"/>
      <c r="F46" s="28">
        <v>21.2</v>
      </c>
      <c r="G46" s="29">
        <v>22.9113794453362</v>
      </c>
    </row>
    <row r="47" spans="1:7">
      <c r="A47" s="24"/>
      <c r="B47" s="27"/>
      <c r="C47" s="27"/>
      <c r="D47" s="27"/>
      <c r="E47" s="27"/>
      <c r="F47" s="28">
        <v>19.3</v>
      </c>
      <c r="G47" s="29">
        <v>22.3109134026916</v>
      </c>
    </row>
    <row r="48" spans="1:7">
      <c r="A48" s="24"/>
      <c r="B48" s="27"/>
      <c r="C48" s="27"/>
      <c r="D48" s="27"/>
      <c r="E48" s="27"/>
      <c r="F48" s="28">
        <v>20</v>
      </c>
      <c r="G48" s="29">
        <v>20.3834714985614</v>
      </c>
    </row>
    <row r="49" spans="1:7">
      <c r="A49" s="24"/>
      <c r="B49" s="27"/>
      <c r="C49" s="27"/>
      <c r="D49" s="27"/>
      <c r="E49" s="27"/>
      <c r="F49" s="28">
        <v>16.6</v>
      </c>
      <c r="G49" s="29">
        <v>18.119520838705</v>
      </c>
    </row>
    <row r="50" spans="1:7">
      <c r="A50" s="24"/>
      <c r="B50" s="27"/>
      <c r="C50" s="27"/>
      <c r="D50" s="27"/>
      <c r="E50" s="27"/>
      <c r="F50" s="28">
        <v>14.4</v>
      </c>
      <c r="G50" s="29">
        <v>8.05292529254793</v>
      </c>
    </row>
    <row r="51" spans="1:7">
      <c r="A51" s="24"/>
      <c r="B51" s="27"/>
      <c r="C51" s="27"/>
      <c r="D51" s="27"/>
      <c r="E51" s="27"/>
      <c r="F51" s="28">
        <v>19.4</v>
      </c>
      <c r="G51" s="29">
        <v>17.2600485554138</v>
      </c>
    </row>
    <row r="52" spans="1:7">
      <c r="A52" s="24"/>
      <c r="B52" s="27"/>
      <c r="C52" s="27"/>
      <c r="D52" s="27"/>
      <c r="E52" s="27"/>
      <c r="F52" s="28">
        <v>19.7</v>
      </c>
      <c r="G52" s="29">
        <v>21.2528102453933</v>
      </c>
    </row>
    <row r="53" spans="1:7">
      <c r="A53" s="24"/>
      <c r="B53" s="27"/>
      <c r="C53" s="27"/>
      <c r="D53" s="27"/>
      <c r="E53" s="27"/>
      <c r="F53" s="28">
        <v>20.5</v>
      </c>
      <c r="G53" s="29">
        <v>23.8158314525337</v>
      </c>
    </row>
    <row r="54" spans="1:7">
      <c r="A54" s="24"/>
      <c r="B54" s="27"/>
      <c r="C54" s="27"/>
      <c r="D54" s="27"/>
      <c r="E54" s="27"/>
      <c r="F54" s="28">
        <v>25</v>
      </c>
      <c r="G54" s="29">
        <v>27.8207341383243</v>
      </c>
    </row>
    <row r="55" spans="1:7">
      <c r="A55" s="24"/>
      <c r="B55" s="27"/>
      <c r="C55" s="27"/>
      <c r="D55" s="27"/>
      <c r="E55" s="27"/>
      <c r="F55" s="28">
        <v>23.4</v>
      </c>
      <c r="G55" s="29">
        <v>24.038847513048</v>
      </c>
    </row>
    <row r="56" spans="1:7">
      <c r="A56" s="24"/>
      <c r="B56" s="27"/>
      <c r="C56" s="27"/>
      <c r="D56" s="27"/>
      <c r="E56" s="27"/>
      <c r="F56" s="28">
        <v>18.9</v>
      </c>
      <c r="G56" s="29">
        <v>15.237274913915</v>
      </c>
    </row>
    <row r="57" spans="1:7">
      <c r="A57" s="24"/>
      <c r="B57" s="27"/>
      <c r="C57" s="27"/>
      <c r="D57" s="27"/>
      <c r="E57" s="27"/>
      <c r="F57" s="28">
        <v>35.4</v>
      </c>
      <c r="G57" s="29">
        <v>31.1167912157732</v>
      </c>
    </row>
    <row r="58" spans="1:7">
      <c r="A58" s="24"/>
      <c r="B58" s="27"/>
      <c r="C58" s="27"/>
      <c r="D58" s="27"/>
      <c r="E58" s="27"/>
      <c r="F58" s="28">
        <v>24.7</v>
      </c>
      <c r="G58" s="29">
        <v>24.4951950884879</v>
      </c>
    </row>
    <row r="59" spans="1:7">
      <c r="A59" s="24"/>
      <c r="B59" s="27"/>
      <c r="C59" s="27"/>
      <c r="D59" s="27"/>
      <c r="E59" s="27"/>
      <c r="F59" s="28">
        <v>31.6</v>
      </c>
      <c r="G59" s="29">
        <v>33.1208928713293</v>
      </c>
    </row>
    <row r="60" spans="1:7">
      <c r="A60" s="24"/>
      <c r="B60" s="27"/>
      <c r="C60" s="27"/>
      <c r="D60" s="27"/>
      <c r="E60" s="27"/>
      <c r="F60" s="28">
        <v>23.3</v>
      </c>
      <c r="G60" s="29">
        <v>21.8039578980159</v>
      </c>
    </row>
    <row r="61" spans="1:7">
      <c r="A61" s="24"/>
      <c r="B61" s="27"/>
      <c r="C61" s="27"/>
      <c r="D61" s="27"/>
      <c r="E61" s="27"/>
      <c r="F61" s="28">
        <v>19.6</v>
      </c>
      <c r="G61" s="29">
        <v>20.9794830460708</v>
      </c>
    </row>
    <row r="62" spans="1:7">
      <c r="A62" s="24"/>
      <c r="B62" s="27"/>
      <c r="C62" s="27"/>
      <c r="D62" s="27"/>
      <c r="E62" s="27"/>
      <c r="F62" s="28">
        <v>18.7</v>
      </c>
      <c r="G62" s="29">
        <v>17.7007818055799</v>
      </c>
    </row>
    <row r="63" spans="1:7">
      <c r="A63" s="24"/>
      <c r="B63" s="27"/>
      <c r="C63" s="27"/>
      <c r="D63" s="27"/>
      <c r="E63" s="27"/>
      <c r="F63" s="28">
        <v>16</v>
      </c>
      <c r="G63" s="29">
        <v>18.3661790434929</v>
      </c>
    </row>
    <row r="64" spans="1:7">
      <c r="A64" s="24"/>
      <c r="B64" s="27"/>
      <c r="C64" s="27"/>
      <c r="D64" s="27"/>
      <c r="E64" s="27"/>
      <c r="F64" s="28">
        <v>22.2</v>
      </c>
      <c r="G64" s="29">
        <v>23.8980619638201</v>
      </c>
    </row>
    <row r="65" spans="1:7">
      <c r="A65" s="24"/>
      <c r="B65" s="27"/>
      <c r="C65" s="27"/>
      <c r="D65" s="27"/>
      <c r="E65" s="27"/>
      <c r="F65" s="28">
        <v>25</v>
      </c>
      <c r="G65" s="29">
        <v>22.6603255154994</v>
      </c>
    </row>
    <row r="66" spans="1:7">
      <c r="A66" s="24"/>
      <c r="B66" s="27"/>
      <c r="C66" s="27"/>
      <c r="D66" s="27"/>
      <c r="E66" s="27"/>
      <c r="F66" s="28">
        <v>33</v>
      </c>
      <c r="G66" s="29">
        <v>22.2724381615453</v>
      </c>
    </row>
    <row r="67" spans="1:7">
      <c r="A67" s="24"/>
      <c r="B67" s="27"/>
      <c r="C67" s="27"/>
      <c r="D67" s="27"/>
      <c r="E67" s="27"/>
      <c r="F67" s="28">
        <v>23.5</v>
      </c>
      <c r="G67" s="29">
        <v>30.2399797387387</v>
      </c>
    </row>
    <row r="68" spans="1:7">
      <c r="A68" s="24"/>
      <c r="B68" s="27"/>
      <c r="C68" s="27"/>
      <c r="D68" s="27"/>
      <c r="E68" s="27"/>
      <c r="F68" s="28">
        <v>19.4</v>
      </c>
      <c r="G68" s="29">
        <v>25.9117747321663</v>
      </c>
    </row>
    <row r="69" spans="1:7">
      <c r="A69" s="24"/>
      <c r="B69" s="27"/>
      <c r="C69" s="27"/>
      <c r="D69" s="27"/>
      <c r="E69" s="27"/>
      <c r="F69" s="28">
        <v>22</v>
      </c>
      <c r="G69" s="29">
        <v>21.1924873929464</v>
      </c>
    </row>
    <row r="70" spans="1:7">
      <c r="A70" s="24"/>
      <c r="B70" s="27"/>
      <c r="C70" s="27"/>
      <c r="D70" s="27"/>
      <c r="E70" s="27"/>
      <c r="F70" s="28">
        <v>17.4</v>
      </c>
      <c r="G70" s="29">
        <v>17.4526385231157</v>
      </c>
    </row>
    <row r="71" spans="1:7">
      <c r="A71" s="24"/>
      <c r="B71" s="27"/>
      <c r="C71" s="27"/>
      <c r="D71" s="27"/>
      <c r="E71" s="27"/>
      <c r="F71" s="28">
        <v>20.9</v>
      </c>
      <c r="G71" s="29">
        <v>20.70909966511</v>
      </c>
    </row>
    <row r="72" spans="1:7">
      <c r="A72" s="24"/>
      <c r="B72" s="27"/>
      <c r="C72" s="27"/>
      <c r="D72" s="27"/>
      <c r="E72" s="27"/>
      <c r="F72" s="28">
        <v>24.2</v>
      </c>
      <c r="G72" s="29">
        <v>25.188796146701</v>
      </c>
    </row>
    <row r="73" spans="1:7">
      <c r="A73" s="24"/>
      <c r="B73" s="27"/>
      <c r="C73" s="27"/>
      <c r="D73" s="27"/>
      <c r="E73" s="27"/>
      <c r="F73" s="28">
        <v>21.7</v>
      </c>
      <c r="G73" s="29">
        <v>21.8459729194905</v>
      </c>
    </row>
    <row r="74" spans="1:7">
      <c r="A74" s="24"/>
      <c r="B74" s="27"/>
      <c r="C74" s="27"/>
      <c r="D74" s="27"/>
      <c r="E74" s="27"/>
      <c r="F74" s="28">
        <v>22.8</v>
      </c>
      <c r="G74" s="29">
        <v>24.6258912195869</v>
      </c>
    </row>
    <row r="75" spans="1:7">
      <c r="A75" s="24"/>
      <c r="B75" s="27"/>
      <c r="C75" s="27"/>
      <c r="D75" s="27"/>
      <c r="E75" s="27"/>
      <c r="F75" s="28">
        <v>23.4</v>
      </c>
      <c r="G75" s="29">
        <v>23.9922815094788</v>
      </c>
    </row>
    <row r="76" spans="1:7">
      <c r="A76" s="24"/>
      <c r="B76" s="27"/>
      <c r="C76" s="27"/>
      <c r="D76" s="27"/>
      <c r="E76" s="27"/>
      <c r="F76" s="28">
        <v>24.1</v>
      </c>
      <c r="G76" s="29">
        <v>25.534514705195</v>
      </c>
    </row>
    <row r="77" spans="1:7">
      <c r="A77" s="24"/>
      <c r="B77" s="27"/>
      <c r="C77" s="27"/>
      <c r="D77" s="27"/>
      <c r="E77" s="27"/>
      <c r="F77" s="28">
        <v>21.4</v>
      </c>
      <c r="G77" s="29">
        <v>24.0572845416637</v>
      </c>
    </row>
    <row r="78" spans="1:7">
      <c r="A78" s="24"/>
      <c r="B78" s="27"/>
      <c r="C78" s="27"/>
      <c r="D78" s="27"/>
      <c r="E78" s="27"/>
      <c r="F78" s="28">
        <v>20</v>
      </c>
      <c r="G78" s="29">
        <v>22.6050970608202</v>
      </c>
    </row>
    <row r="79" spans="1:7">
      <c r="A79" s="24"/>
      <c r="B79" s="27"/>
      <c r="C79" s="27"/>
      <c r="D79" s="27"/>
      <c r="E79" s="27"/>
      <c r="F79" s="28">
        <v>20.8</v>
      </c>
      <c r="G79" s="29">
        <v>23.1612747497952</v>
      </c>
    </row>
    <row r="80" spans="1:7">
      <c r="A80" s="24"/>
      <c r="B80" s="27"/>
      <c r="C80" s="27"/>
      <c r="D80" s="27"/>
      <c r="E80" s="27"/>
      <c r="F80" s="28">
        <v>21.2</v>
      </c>
      <c r="G80" s="29">
        <v>21.2196901867659</v>
      </c>
    </row>
    <row r="81" spans="1:7">
      <c r="A81" s="24"/>
      <c r="B81" s="27"/>
      <c r="C81" s="27"/>
      <c r="D81" s="27"/>
      <c r="E81" s="27"/>
      <c r="F81" s="28">
        <v>20.3</v>
      </c>
      <c r="G81" s="29">
        <v>22.497163653061</v>
      </c>
    </row>
    <row r="82" spans="1:7">
      <c r="A82" s="24"/>
      <c r="B82" s="27"/>
      <c r="C82" s="27"/>
      <c r="D82" s="27"/>
      <c r="E82" s="27"/>
      <c r="F82" s="28">
        <v>28</v>
      </c>
      <c r="G82" s="29">
        <v>28.3442717867001</v>
      </c>
    </row>
    <row r="83" spans="1:7">
      <c r="A83" s="24"/>
      <c r="B83" s="27"/>
      <c r="C83" s="27"/>
      <c r="D83" s="27"/>
      <c r="E83" s="27"/>
      <c r="F83" s="28">
        <v>23.9</v>
      </c>
      <c r="G83" s="29">
        <v>27.3242073097078</v>
      </c>
    </row>
    <row r="84" spans="1:7">
      <c r="A84" s="24"/>
      <c r="B84" s="27"/>
      <c r="C84" s="27"/>
      <c r="D84" s="27"/>
      <c r="E84" s="27"/>
      <c r="F84" s="28">
        <v>24.8</v>
      </c>
      <c r="G84" s="29">
        <v>25.7337345426666</v>
      </c>
    </row>
    <row r="85" spans="1:7">
      <c r="A85" s="24"/>
      <c r="B85" s="27"/>
      <c r="C85" s="27"/>
      <c r="D85" s="27"/>
      <c r="E85" s="27"/>
      <c r="F85" s="28">
        <v>22.9</v>
      </c>
      <c r="G85" s="29">
        <v>24.9478085196979</v>
      </c>
    </row>
    <row r="86" spans="1:7">
      <c r="A86" s="24"/>
      <c r="B86" s="27"/>
      <c r="C86" s="27"/>
      <c r="D86" s="27"/>
      <c r="E86" s="27"/>
      <c r="F86" s="28">
        <v>23.9</v>
      </c>
      <c r="G86" s="29">
        <v>24.7714629377476</v>
      </c>
    </row>
    <row r="87" spans="1:7">
      <c r="A87" s="24"/>
      <c r="B87" s="27"/>
      <c r="C87" s="27"/>
      <c r="D87" s="27"/>
      <c r="E87" s="27"/>
      <c r="F87" s="28">
        <v>26.6</v>
      </c>
      <c r="G87" s="29">
        <v>27.7332261264317</v>
      </c>
    </row>
    <row r="88" spans="1:7">
      <c r="A88" s="24"/>
      <c r="B88" s="27"/>
      <c r="C88" s="27"/>
      <c r="D88" s="27"/>
      <c r="E88" s="27"/>
      <c r="F88" s="28">
        <v>22.5</v>
      </c>
      <c r="G88" s="29">
        <v>22.3279699283358</v>
      </c>
    </row>
    <row r="89" spans="1:7">
      <c r="A89" s="24"/>
      <c r="B89" s="27"/>
      <c r="C89" s="27"/>
      <c r="D89" s="27"/>
      <c r="E89" s="27"/>
      <c r="F89" s="28">
        <v>22.2</v>
      </c>
      <c r="G89" s="29">
        <v>25.993656108542</v>
      </c>
    </row>
    <row r="90" spans="1:7">
      <c r="A90" s="24"/>
      <c r="B90" s="27"/>
      <c r="C90" s="27"/>
      <c r="D90" s="27"/>
      <c r="E90" s="27"/>
      <c r="F90" s="28">
        <v>23.6</v>
      </c>
      <c r="G90" s="29">
        <v>31.027313575956</v>
      </c>
    </row>
    <row r="91" spans="1:7">
      <c r="A91" s="24"/>
      <c r="B91" s="27"/>
      <c r="C91" s="27"/>
      <c r="D91" s="27"/>
      <c r="E91" s="27"/>
      <c r="F91" s="28">
        <v>28.7</v>
      </c>
      <c r="G91" s="29">
        <v>31.1146905097852</v>
      </c>
    </row>
    <row r="92" spans="1:7">
      <c r="A92" s="24"/>
      <c r="B92" s="27"/>
      <c r="C92" s="27"/>
      <c r="D92" s="27"/>
      <c r="E92" s="27"/>
      <c r="F92" s="28">
        <v>22.6</v>
      </c>
      <c r="G92" s="29">
        <v>27.2354790040257</v>
      </c>
    </row>
    <row r="93" spans="1:7">
      <c r="A93" s="24"/>
      <c r="B93" s="27"/>
      <c r="C93" s="27"/>
      <c r="D93" s="27"/>
      <c r="E93" s="27"/>
      <c r="F93" s="28">
        <v>22</v>
      </c>
      <c r="G93" s="29">
        <v>27.8108734378251</v>
      </c>
    </row>
    <row r="94" spans="1:7">
      <c r="A94" s="24"/>
      <c r="B94" s="27"/>
      <c r="C94" s="27"/>
      <c r="D94" s="27"/>
      <c r="E94" s="27"/>
      <c r="F94" s="28">
        <v>22.9</v>
      </c>
      <c r="G94" s="29">
        <v>28.9469527575098</v>
      </c>
    </row>
    <row r="95" spans="1:7">
      <c r="A95" s="24"/>
      <c r="B95" s="27"/>
      <c r="C95" s="27"/>
      <c r="D95" s="27"/>
      <c r="E95" s="27"/>
      <c r="F95" s="28">
        <v>25</v>
      </c>
      <c r="G95" s="29">
        <v>29.709391513456</v>
      </c>
    </row>
    <row r="96" spans="1:7">
      <c r="A96" s="24"/>
      <c r="B96" s="27"/>
      <c r="C96" s="27"/>
      <c r="D96" s="27"/>
      <c r="E96" s="27"/>
      <c r="F96" s="28">
        <v>20.6</v>
      </c>
      <c r="G96" s="29">
        <v>26.764292956091</v>
      </c>
    </row>
    <row r="97" spans="1:7">
      <c r="A97" s="24"/>
      <c r="B97" s="27"/>
      <c r="C97" s="27"/>
      <c r="D97" s="27"/>
      <c r="E97" s="27"/>
      <c r="F97" s="28">
        <v>28.4</v>
      </c>
      <c r="G97" s="29">
        <v>28.3830501150604</v>
      </c>
    </row>
    <row r="98" spans="1:7">
      <c r="A98" s="24"/>
      <c r="B98" s="27"/>
      <c r="C98" s="27"/>
      <c r="D98" s="27"/>
      <c r="E98" s="27"/>
      <c r="F98" s="28">
        <v>21.4</v>
      </c>
      <c r="G98" s="29">
        <v>24.8486553482986</v>
      </c>
    </row>
    <row r="99" spans="1:7">
      <c r="A99" s="24"/>
      <c r="B99" s="27"/>
      <c r="C99" s="27"/>
      <c r="D99" s="27"/>
      <c r="E99" s="27"/>
      <c r="F99" s="28">
        <v>38.7</v>
      </c>
      <c r="G99" s="29">
        <v>35.5289655505707</v>
      </c>
    </row>
    <row r="100" spans="1:7">
      <c r="A100" s="24"/>
      <c r="B100" s="27"/>
      <c r="C100" s="27"/>
      <c r="D100" s="27"/>
      <c r="E100" s="27"/>
      <c r="F100" s="28">
        <v>43.8</v>
      </c>
      <c r="G100" s="29">
        <v>35.1163424703466</v>
      </c>
    </row>
    <row r="101" spans="1:7">
      <c r="A101" s="24"/>
      <c r="B101" s="27"/>
      <c r="C101" s="27"/>
      <c r="D101" s="27"/>
      <c r="E101" s="27"/>
      <c r="F101" s="28">
        <v>33.2</v>
      </c>
      <c r="G101" s="29">
        <v>32.5087118412383</v>
      </c>
    </row>
    <row r="102" spans="1:7">
      <c r="A102" s="24"/>
      <c r="B102" s="27"/>
      <c r="C102" s="27"/>
      <c r="D102" s="27"/>
      <c r="E102" s="27"/>
      <c r="F102" s="28">
        <v>27.5</v>
      </c>
      <c r="G102" s="29">
        <v>24.3957818623802</v>
      </c>
    </row>
    <row r="103" spans="1:7">
      <c r="A103" s="24"/>
      <c r="B103" s="27"/>
      <c r="C103" s="27"/>
      <c r="D103" s="27"/>
      <c r="E103" s="27"/>
      <c r="F103" s="28">
        <v>26.5</v>
      </c>
      <c r="G103" s="29">
        <v>25.8545695212595</v>
      </c>
    </row>
    <row r="104" spans="1:7">
      <c r="A104" s="24"/>
      <c r="B104" s="27"/>
      <c r="C104" s="27"/>
      <c r="D104" s="27"/>
      <c r="E104" s="27"/>
      <c r="F104" s="28">
        <v>18.6</v>
      </c>
      <c r="G104" s="29">
        <v>19.6878692039811</v>
      </c>
    </row>
    <row r="105" spans="1:7">
      <c r="A105" s="24"/>
      <c r="B105" s="27"/>
      <c r="C105" s="27"/>
      <c r="D105" s="27"/>
      <c r="E105" s="27"/>
      <c r="F105" s="28">
        <v>19.3</v>
      </c>
      <c r="G105" s="29">
        <v>20.3876524700913</v>
      </c>
    </row>
    <row r="106" spans="1:7">
      <c r="A106" s="24"/>
      <c r="B106" s="27"/>
      <c r="C106" s="27"/>
      <c r="D106" s="27"/>
      <c r="E106" s="27"/>
      <c r="F106" s="28">
        <v>20.1</v>
      </c>
      <c r="G106" s="29">
        <v>21.7445531639026</v>
      </c>
    </row>
    <row r="107" spans="1:7">
      <c r="A107" s="24"/>
      <c r="B107" s="27"/>
      <c r="C107" s="27"/>
      <c r="D107" s="27"/>
      <c r="E107" s="27"/>
      <c r="F107" s="28">
        <v>19.5</v>
      </c>
      <c r="G107" s="29">
        <v>18.5867510740482</v>
      </c>
    </row>
    <row r="108" spans="1:7">
      <c r="A108" s="24"/>
      <c r="B108" s="27"/>
      <c r="C108" s="27"/>
      <c r="D108" s="27"/>
      <c r="E108" s="27"/>
      <c r="F108" s="28">
        <v>19.5</v>
      </c>
      <c r="G108" s="29">
        <v>16.7978521871983</v>
      </c>
    </row>
    <row r="109" spans="1:7">
      <c r="A109" s="24"/>
      <c r="B109" s="27"/>
      <c r="C109" s="27"/>
      <c r="D109" s="27"/>
      <c r="E109" s="27"/>
      <c r="F109" s="28">
        <v>20.4</v>
      </c>
      <c r="G109" s="29">
        <v>20.4585384060584</v>
      </c>
    </row>
    <row r="110" spans="1:7">
      <c r="A110" s="24"/>
      <c r="B110" s="27"/>
      <c r="C110" s="27"/>
      <c r="D110" s="27"/>
      <c r="E110" s="27"/>
      <c r="F110" s="28">
        <v>19.8</v>
      </c>
      <c r="G110" s="29">
        <v>22.3215305783183</v>
      </c>
    </row>
    <row r="111" spans="1:7">
      <c r="A111" s="24"/>
      <c r="B111" s="27"/>
      <c r="C111" s="27"/>
      <c r="D111" s="27"/>
      <c r="E111" s="27"/>
      <c r="F111" s="28">
        <v>19.4</v>
      </c>
      <c r="G111" s="29">
        <v>19.9846557327006</v>
      </c>
    </row>
    <row r="112" spans="1:7">
      <c r="A112" s="24"/>
      <c r="B112" s="27"/>
      <c r="C112" s="27"/>
      <c r="D112" s="27"/>
      <c r="E112" s="27"/>
      <c r="F112" s="28">
        <v>21.7</v>
      </c>
      <c r="G112" s="29">
        <v>20.09951316386</v>
      </c>
    </row>
    <row r="113" spans="1:7">
      <c r="A113" s="24"/>
      <c r="B113" s="27"/>
      <c r="C113" s="27"/>
      <c r="D113" s="27"/>
      <c r="E113" s="27"/>
      <c r="F113" s="28">
        <v>22.8</v>
      </c>
      <c r="G113" s="29">
        <v>26.7022620661548</v>
      </c>
    </row>
    <row r="114" spans="1:7">
      <c r="A114" s="24"/>
      <c r="B114" s="27"/>
      <c r="C114" s="27"/>
      <c r="D114" s="27"/>
      <c r="E114" s="27"/>
      <c r="F114" s="28">
        <v>18.8</v>
      </c>
      <c r="G114" s="29">
        <v>20.8711526689184</v>
      </c>
    </row>
    <row r="115" spans="1:7">
      <c r="A115" s="24"/>
      <c r="B115" s="27"/>
      <c r="C115" s="27"/>
      <c r="D115" s="27"/>
      <c r="E115" s="27"/>
      <c r="F115" s="28">
        <v>18.7</v>
      </c>
      <c r="G115" s="29">
        <v>20.7244359353822</v>
      </c>
    </row>
    <row r="116" spans="1:7">
      <c r="A116" s="24"/>
      <c r="B116" s="27"/>
      <c r="C116" s="27"/>
      <c r="D116" s="27"/>
      <c r="E116" s="27"/>
      <c r="F116" s="28">
        <v>18.5</v>
      </c>
      <c r="G116" s="29">
        <v>25.3842099209649</v>
      </c>
    </row>
    <row r="117" spans="1:7">
      <c r="A117" s="24"/>
      <c r="B117" s="27"/>
      <c r="C117" s="27"/>
      <c r="D117" s="27"/>
      <c r="E117" s="27"/>
      <c r="F117" s="28">
        <v>18.3</v>
      </c>
      <c r="G117" s="29">
        <v>20.161359438946</v>
      </c>
    </row>
    <row r="118" spans="1:7">
      <c r="A118" s="24"/>
      <c r="B118" s="27"/>
      <c r="C118" s="27"/>
      <c r="D118" s="27"/>
      <c r="E118" s="27"/>
      <c r="F118" s="28">
        <v>21.2</v>
      </c>
      <c r="G118" s="29">
        <v>23.2585679878937</v>
      </c>
    </row>
    <row r="119" spans="1:7">
      <c r="A119" s="24"/>
      <c r="B119" s="27"/>
      <c r="C119" s="27"/>
      <c r="D119" s="27"/>
      <c r="E119" s="27"/>
      <c r="F119" s="28">
        <v>19.2</v>
      </c>
      <c r="G119" s="29">
        <v>23.6762141446142</v>
      </c>
    </row>
    <row r="120" spans="1:7">
      <c r="A120" s="24"/>
      <c r="B120" s="27"/>
      <c r="C120" s="27"/>
      <c r="D120" s="27"/>
      <c r="E120" s="27"/>
      <c r="F120" s="28">
        <v>20.4</v>
      </c>
      <c r="G120" s="29">
        <v>20.3880810149337</v>
      </c>
    </row>
    <row r="121" spans="1:7">
      <c r="A121" s="24"/>
      <c r="B121" s="27"/>
      <c r="C121" s="27"/>
      <c r="D121" s="27"/>
      <c r="E121" s="27"/>
      <c r="F121" s="28">
        <v>19.3</v>
      </c>
      <c r="G121" s="29">
        <v>20.7260745580045</v>
      </c>
    </row>
    <row r="122" spans="1:7">
      <c r="A122" s="24"/>
      <c r="B122" s="27"/>
      <c r="C122" s="27"/>
      <c r="D122" s="27"/>
      <c r="E122" s="27"/>
      <c r="F122" s="28">
        <v>22</v>
      </c>
      <c r="G122" s="29">
        <v>21.938887926847</v>
      </c>
    </row>
    <row r="123" spans="1:7">
      <c r="A123" s="24"/>
      <c r="B123" s="27"/>
      <c r="C123" s="27"/>
      <c r="D123" s="27"/>
      <c r="E123" s="27"/>
      <c r="F123" s="28">
        <v>20.3</v>
      </c>
      <c r="G123" s="29">
        <v>22.7149506864058</v>
      </c>
    </row>
    <row r="124" spans="1:7">
      <c r="A124" s="24"/>
      <c r="B124" s="27"/>
      <c r="C124" s="27"/>
      <c r="D124" s="27"/>
      <c r="E124" s="27"/>
      <c r="F124" s="28">
        <v>20.5</v>
      </c>
      <c r="G124" s="29">
        <v>20.5766517751767</v>
      </c>
    </row>
    <row r="125" spans="1:7">
      <c r="A125" s="24"/>
      <c r="B125" s="27"/>
      <c r="C125" s="27"/>
      <c r="D125" s="27"/>
      <c r="E125" s="27"/>
      <c r="F125" s="28">
        <v>17.3</v>
      </c>
      <c r="G125" s="29">
        <v>16.626939971396</v>
      </c>
    </row>
    <row r="126" spans="1:7">
      <c r="A126" s="24"/>
      <c r="B126" s="27"/>
      <c r="C126" s="27"/>
      <c r="D126" s="27"/>
      <c r="E126" s="27"/>
      <c r="F126" s="28">
        <v>18.8</v>
      </c>
      <c r="G126" s="29">
        <v>20.4912857025951</v>
      </c>
    </row>
    <row r="127" spans="1:7">
      <c r="A127" s="24"/>
      <c r="B127" s="27"/>
      <c r="C127" s="27"/>
      <c r="D127" s="27"/>
      <c r="E127" s="27"/>
      <c r="F127" s="28">
        <v>21.4</v>
      </c>
      <c r="G127" s="29">
        <v>22.6158494618476</v>
      </c>
    </row>
    <row r="128" spans="1:7">
      <c r="A128" s="24"/>
      <c r="B128" s="27"/>
      <c r="C128" s="27"/>
      <c r="D128" s="27"/>
      <c r="E128" s="27"/>
      <c r="F128" s="28">
        <v>15.7</v>
      </c>
      <c r="G128" s="29">
        <v>14.5085439359422</v>
      </c>
    </row>
    <row r="129" spans="1:7">
      <c r="A129" s="24"/>
      <c r="B129" s="27"/>
      <c r="C129" s="27"/>
      <c r="D129" s="27"/>
      <c r="E129" s="27"/>
      <c r="F129" s="28">
        <v>16.2</v>
      </c>
      <c r="G129" s="29">
        <v>15.3850122291123</v>
      </c>
    </row>
    <row r="130" spans="1:7">
      <c r="A130" s="24"/>
      <c r="B130" s="27"/>
      <c r="C130" s="27"/>
      <c r="D130" s="27"/>
      <c r="E130" s="27"/>
      <c r="F130" s="28">
        <v>18</v>
      </c>
      <c r="G130" s="29">
        <v>19.0667146156689</v>
      </c>
    </row>
    <row r="131" spans="1:7">
      <c r="A131" s="24"/>
      <c r="B131" s="27"/>
      <c r="C131" s="27"/>
      <c r="D131" s="27"/>
      <c r="E131" s="27"/>
      <c r="F131" s="28">
        <v>14.3</v>
      </c>
      <c r="G131" s="29">
        <v>14.1837930981247</v>
      </c>
    </row>
    <row r="132" spans="1:7">
      <c r="A132" s="24"/>
      <c r="B132" s="27"/>
      <c r="C132" s="27"/>
      <c r="D132" s="27"/>
      <c r="E132" s="27"/>
      <c r="F132" s="28">
        <v>19.2</v>
      </c>
      <c r="G132" s="29">
        <v>20.1522720922694</v>
      </c>
    </row>
    <row r="133" spans="1:7">
      <c r="A133" s="24"/>
      <c r="B133" s="27"/>
      <c r="C133" s="27"/>
      <c r="D133" s="27"/>
      <c r="E133" s="27"/>
      <c r="F133" s="28">
        <v>19.6</v>
      </c>
      <c r="G133" s="29">
        <v>19.4437707348398</v>
      </c>
    </row>
    <row r="134" spans="1:7">
      <c r="A134" s="24"/>
      <c r="B134" s="27"/>
      <c r="C134" s="27"/>
      <c r="D134" s="27"/>
      <c r="E134" s="27"/>
      <c r="F134" s="28">
        <v>23</v>
      </c>
      <c r="G134" s="29">
        <v>20.0176059961459</v>
      </c>
    </row>
    <row r="135" spans="1:7">
      <c r="A135" s="24"/>
      <c r="B135" s="27"/>
      <c r="C135" s="27"/>
      <c r="D135" s="27"/>
      <c r="E135" s="27"/>
      <c r="F135" s="28">
        <v>18.4</v>
      </c>
      <c r="G135" s="29">
        <v>15.5152503097459</v>
      </c>
    </row>
    <row r="136" spans="1:7">
      <c r="A136" s="24"/>
      <c r="B136" s="27"/>
      <c r="C136" s="27"/>
      <c r="D136" s="27"/>
      <c r="E136" s="27"/>
      <c r="F136" s="28">
        <v>15.6</v>
      </c>
      <c r="G136" s="29">
        <v>13.2640711174828</v>
      </c>
    </row>
    <row r="137" spans="1:7">
      <c r="A137" s="24"/>
      <c r="B137" s="27"/>
      <c r="C137" s="27"/>
      <c r="D137" s="27"/>
      <c r="E137" s="27"/>
      <c r="F137" s="28">
        <v>18.1</v>
      </c>
      <c r="G137" s="29">
        <v>17.0028754474371</v>
      </c>
    </row>
    <row r="138" spans="1:7">
      <c r="A138" s="24"/>
      <c r="B138" s="27"/>
      <c r="C138" s="27"/>
      <c r="D138" s="27"/>
      <c r="E138" s="27"/>
      <c r="F138" s="28">
        <v>17.4</v>
      </c>
      <c r="G138" s="29">
        <v>15.6683567257119</v>
      </c>
    </row>
    <row r="139" spans="1:7">
      <c r="A139" s="24"/>
      <c r="B139" s="27"/>
      <c r="C139" s="27"/>
      <c r="D139" s="27"/>
      <c r="E139" s="27"/>
      <c r="F139" s="28">
        <v>17.1</v>
      </c>
      <c r="G139" s="29">
        <v>19.5505372511745</v>
      </c>
    </row>
    <row r="140" spans="1:7">
      <c r="A140" s="24"/>
      <c r="B140" s="27"/>
      <c r="C140" s="27"/>
      <c r="D140" s="27"/>
      <c r="E140" s="27"/>
      <c r="F140" s="28">
        <v>13.3</v>
      </c>
      <c r="G140" s="29">
        <v>13.9644776996118</v>
      </c>
    </row>
    <row r="141" spans="1:7">
      <c r="A141" s="24"/>
      <c r="B141" s="27"/>
      <c r="C141" s="27"/>
      <c r="D141" s="27"/>
      <c r="E141" s="27"/>
      <c r="F141" s="28">
        <v>17.8</v>
      </c>
      <c r="G141" s="29">
        <v>15.9210913768612</v>
      </c>
    </row>
    <row r="142" spans="1:7">
      <c r="A142" s="24"/>
      <c r="B142" s="27"/>
      <c r="C142" s="27"/>
      <c r="D142" s="27"/>
      <c r="E142" s="27"/>
      <c r="F142" s="28">
        <v>14</v>
      </c>
      <c r="G142" s="29">
        <v>12.864489858161</v>
      </c>
    </row>
    <row r="143" spans="1:7">
      <c r="A143" s="24"/>
      <c r="B143" s="27"/>
      <c r="C143" s="27"/>
      <c r="D143" s="27"/>
      <c r="E143" s="27"/>
      <c r="F143" s="28">
        <v>14.4</v>
      </c>
      <c r="G143" s="29">
        <v>3.25367462293346</v>
      </c>
    </row>
    <row r="144" spans="1:7">
      <c r="A144" s="24"/>
      <c r="B144" s="27"/>
      <c r="C144" s="27"/>
      <c r="D144" s="27"/>
      <c r="E144" s="27"/>
      <c r="F144" s="28">
        <v>13.4</v>
      </c>
      <c r="G144" s="29">
        <v>14.0528009514753</v>
      </c>
    </row>
    <row r="145" spans="1:7">
      <c r="A145" s="24"/>
      <c r="B145" s="27"/>
      <c r="C145" s="27"/>
      <c r="D145" s="27"/>
      <c r="E145" s="27"/>
      <c r="F145" s="28">
        <v>15.6</v>
      </c>
      <c r="G145" s="29">
        <v>11.8994867112419</v>
      </c>
    </row>
    <row r="146" spans="1:7">
      <c r="A146" s="24"/>
      <c r="B146" s="27"/>
      <c r="C146" s="27"/>
      <c r="D146" s="27"/>
      <c r="E146" s="27"/>
      <c r="F146" s="28">
        <v>11.8</v>
      </c>
      <c r="G146" s="29">
        <v>8.51817038594671</v>
      </c>
    </row>
    <row r="147" spans="1:7">
      <c r="A147" s="24"/>
      <c r="B147" s="27"/>
      <c r="C147" s="27"/>
      <c r="D147" s="27"/>
      <c r="E147" s="27"/>
      <c r="F147" s="28">
        <v>13.8</v>
      </c>
      <c r="G147" s="29">
        <v>11.9111926195943</v>
      </c>
    </row>
    <row r="148" spans="1:7">
      <c r="A148" s="24"/>
      <c r="B148" s="27"/>
      <c r="C148" s="27"/>
      <c r="D148" s="27"/>
      <c r="E148" s="27"/>
      <c r="F148" s="28">
        <v>15.6</v>
      </c>
      <c r="G148" s="29">
        <v>15.7519350085271</v>
      </c>
    </row>
    <row r="149" spans="1:7">
      <c r="A149" s="24"/>
      <c r="B149" s="27"/>
      <c r="C149" s="27"/>
      <c r="D149" s="27"/>
      <c r="E149" s="27"/>
      <c r="F149" s="28">
        <v>14.6</v>
      </c>
      <c r="G149" s="29">
        <v>8.24197605565579</v>
      </c>
    </row>
    <row r="150" spans="1:7">
      <c r="A150" s="24"/>
      <c r="B150" s="27"/>
      <c r="C150" s="27"/>
      <c r="D150" s="27"/>
      <c r="E150" s="27"/>
      <c r="F150" s="28">
        <v>17.8</v>
      </c>
      <c r="G150" s="29">
        <v>8.55961846734378</v>
      </c>
    </row>
    <row r="151" spans="1:7">
      <c r="A151" s="24"/>
      <c r="B151" s="27"/>
      <c r="C151" s="27"/>
      <c r="D151" s="27"/>
      <c r="E151" s="27"/>
      <c r="F151" s="28">
        <v>15.4</v>
      </c>
      <c r="G151" s="29">
        <v>14.521566258726</v>
      </c>
    </row>
    <row r="152" spans="1:7">
      <c r="A152" s="24"/>
      <c r="B152" s="27"/>
      <c r="C152" s="27"/>
      <c r="D152" s="27"/>
      <c r="E152" s="27"/>
      <c r="F152" s="28">
        <v>21.5</v>
      </c>
      <c r="G152" s="29">
        <v>21.1198898481395</v>
      </c>
    </row>
    <row r="153" spans="1:7">
      <c r="A153" s="24"/>
      <c r="B153" s="27"/>
      <c r="C153" s="27"/>
      <c r="D153" s="27"/>
      <c r="E153" s="27"/>
      <c r="F153" s="28">
        <v>19.6</v>
      </c>
      <c r="G153" s="29">
        <v>18.1796353201444</v>
      </c>
    </row>
    <row r="154" spans="1:7">
      <c r="A154" s="24"/>
      <c r="B154" s="27"/>
      <c r="C154" s="27"/>
      <c r="D154" s="27"/>
      <c r="E154" s="27"/>
      <c r="F154" s="28">
        <v>15.3</v>
      </c>
      <c r="G154" s="29">
        <v>20.493811387444</v>
      </c>
    </row>
    <row r="155" spans="1:7">
      <c r="A155" s="24"/>
      <c r="B155" s="27"/>
      <c r="C155" s="27"/>
      <c r="D155" s="27"/>
      <c r="E155" s="27"/>
      <c r="F155" s="28">
        <v>19.4</v>
      </c>
      <c r="G155" s="29">
        <v>17.2032694047744</v>
      </c>
    </row>
    <row r="156" spans="1:7">
      <c r="A156" s="24"/>
      <c r="B156" s="27"/>
      <c r="C156" s="27"/>
      <c r="D156" s="27"/>
      <c r="E156" s="27"/>
      <c r="F156" s="28">
        <v>17</v>
      </c>
      <c r="G156" s="29">
        <v>22.6354436364636</v>
      </c>
    </row>
    <row r="157" spans="1:7">
      <c r="A157" s="24"/>
      <c r="B157" s="27"/>
      <c r="C157" s="27"/>
      <c r="D157" s="27"/>
      <c r="E157" s="27"/>
      <c r="F157" s="28">
        <v>15.6</v>
      </c>
      <c r="G157" s="29">
        <v>20.0106746883791</v>
      </c>
    </row>
    <row r="158" spans="1:7">
      <c r="A158" s="24"/>
      <c r="B158" s="27"/>
      <c r="C158" s="27"/>
      <c r="D158" s="27"/>
      <c r="E158" s="27"/>
      <c r="F158" s="28">
        <v>13.1</v>
      </c>
      <c r="G158" s="29">
        <v>13.5888857172366</v>
      </c>
    </row>
    <row r="159" spans="1:7">
      <c r="A159" s="24"/>
      <c r="B159" s="27"/>
      <c r="C159" s="27"/>
      <c r="D159" s="27"/>
      <c r="E159" s="27"/>
      <c r="F159" s="28">
        <v>41.3</v>
      </c>
      <c r="G159" s="29">
        <v>32.8755255494284</v>
      </c>
    </row>
    <row r="160" spans="1:7">
      <c r="A160" s="24"/>
      <c r="B160" s="27"/>
      <c r="C160" s="27"/>
      <c r="D160" s="27"/>
      <c r="E160" s="27"/>
      <c r="F160" s="28">
        <v>24.3</v>
      </c>
      <c r="G160" s="29">
        <v>28.9576396498975</v>
      </c>
    </row>
    <row r="161" spans="1:7">
      <c r="A161" s="24"/>
      <c r="B161" s="27"/>
      <c r="C161" s="27"/>
      <c r="D161" s="27"/>
      <c r="E161" s="27"/>
      <c r="F161" s="28">
        <v>23.3</v>
      </c>
      <c r="G161" s="29">
        <v>25.7334391240962</v>
      </c>
    </row>
    <row r="162" spans="1:7">
      <c r="A162" s="24"/>
      <c r="B162" s="27"/>
      <c r="C162" s="27"/>
      <c r="D162" s="27"/>
      <c r="E162" s="27"/>
      <c r="F162" s="28">
        <v>27</v>
      </c>
      <c r="G162" s="29">
        <v>32.5772664666912</v>
      </c>
    </row>
    <row r="163" spans="1:7">
      <c r="A163" s="24"/>
      <c r="B163" s="27"/>
      <c r="C163" s="27"/>
      <c r="D163" s="27"/>
      <c r="E163" s="27"/>
      <c r="F163" s="28">
        <v>50</v>
      </c>
      <c r="G163" s="29">
        <v>36.3225002098406</v>
      </c>
    </row>
    <row r="164" spans="1:7">
      <c r="A164" s="24"/>
      <c r="B164" s="27"/>
      <c r="C164" s="27"/>
      <c r="D164" s="27"/>
      <c r="E164" s="27"/>
      <c r="F164" s="28">
        <v>50</v>
      </c>
      <c r="G164" s="29">
        <v>40.0853752164336</v>
      </c>
    </row>
    <row r="165" spans="1:7">
      <c r="A165" s="24"/>
      <c r="B165" s="27"/>
      <c r="C165" s="27"/>
      <c r="D165" s="27"/>
      <c r="E165" s="27"/>
      <c r="F165" s="28">
        <v>50</v>
      </c>
      <c r="G165" s="29">
        <v>41.1680490021335</v>
      </c>
    </row>
    <row r="166" spans="1:7">
      <c r="A166" s="24"/>
      <c r="B166" s="27"/>
      <c r="C166" s="27"/>
      <c r="D166" s="27"/>
      <c r="E166" s="27"/>
      <c r="F166" s="28">
        <v>22.7</v>
      </c>
      <c r="G166" s="29">
        <v>24.205124866975</v>
      </c>
    </row>
    <row r="167" spans="1:7">
      <c r="A167" s="24"/>
      <c r="B167" s="27"/>
      <c r="C167" s="27"/>
      <c r="D167" s="27"/>
      <c r="E167" s="27"/>
      <c r="F167" s="28">
        <v>25</v>
      </c>
      <c r="G167" s="29">
        <v>25.5183713406472</v>
      </c>
    </row>
    <row r="168" spans="1:7">
      <c r="A168" s="24"/>
      <c r="B168" s="27"/>
      <c r="C168" s="27"/>
      <c r="D168" s="27"/>
      <c r="E168" s="27"/>
      <c r="F168" s="28">
        <v>50</v>
      </c>
      <c r="G168" s="29">
        <v>37.3476770303064</v>
      </c>
    </row>
    <row r="169" spans="1:7">
      <c r="A169" s="24"/>
      <c r="B169" s="27"/>
      <c r="C169" s="27"/>
      <c r="D169" s="27"/>
      <c r="E169" s="27"/>
      <c r="F169" s="28">
        <v>23.8</v>
      </c>
      <c r="G169" s="29">
        <v>23.3402529777063</v>
      </c>
    </row>
    <row r="170" spans="1:7">
      <c r="A170" s="24"/>
      <c r="B170" s="27"/>
      <c r="C170" s="27"/>
      <c r="D170" s="27"/>
      <c r="E170" s="27"/>
      <c r="F170" s="28">
        <v>23.8</v>
      </c>
      <c r="G170" s="29">
        <v>26.0452005924671</v>
      </c>
    </row>
    <row r="171" spans="1:7">
      <c r="A171" s="24"/>
      <c r="B171" s="27"/>
      <c r="C171" s="27"/>
      <c r="D171" s="27"/>
      <c r="E171" s="27"/>
      <c r="F171" s="28">
        <v>22.3</v>
      </c>
      <c r="G171" s="29">
        <v>26.8299544091523</v>
      </c>
    </row>
    <row r="172" spans="1:7">
      <c r="A172" s="24"/>
      <c r="B172" s="27"/>
      <c r="C172" s="27"/>
      <c r="D172" s="27"/>
      <c r="E172" s="27"/>
      <c r="F172" s="28">
        <v>17.4</v>
      </c>
      <c r="G172" s="29">
        <v>22.6403162131802</v>
      </c>
    </row>
    <row r="173" spans="1:7">
      <c r="A173" s="24"/>
      <c r="B173" s="27"/>
      <c r="C173" s="27"/>
      <c r="D173" s="27"/>
      <c r="E173" s="27"/>
      <c r="F173" s="28">
        <v>19.1</v>
      </c>
      <c r="G173" s="29">
        <v>24.2062932000337</v>
      </c>
    </row>
    <row r="174" spans="1:7">
      <c r="A174" s="24"/>
      <c r="B174" s="27"/>
      <c r="C174" s="27"/>
      <c r="D174" s="27"/>
      <c r="E174" s="27"/>
      <c r="F174" s="28">
        <v>23.1</v>
      </c>
      <c r="G174" s="29">
        <v>23.4725673002536</v>
      </c>
    </row>
    <row r="175" spans="1:7">
      <c r="A175" s="24"/>
      <c r="B175" s="27"/>
      <c r="C175" s="27"/>
      <c r="D175" s="27"/>
      <c r="E175" s="27"/>
      <c r="F175" s="28">
        <v>23.6</v>
      </c>
      <c r="G175" s="29">
        <v>29.155707729934</v>
      </c>
    </row>
    <row r="176" spans="1:7">
      <c r="A176" s="24"/>
      <c r="B176" s="27"/>
      <c r="C176" s="27"/>
      <c r="D176" s="27"/>
      <c r="E176" s="27"/>
      <c r="F176" s="28">
        <v>22.6</v>
      </c>
      <c r="G176" s="29">
        <v>26.4399901395034</v>
      </c>
    </row>
    <row r="177" spans="1:7">
      <c r="A177" s="24"/>
      <c r="B177" s="27"/>
      <c r="C177" s="27"/>
      <c r="D177" s="27"/>
      <c r="E177" s="27"/>
      <c r="F177" s="28">
        <v>29.4</v>
      </c>
      <c r="G177" s="29">
        <v>30.8501454194593</v>
      </c>
    </row>
    <row r="178" spans="1:7">
      <c r="A178" s="24"/>
      <c r="B178" s="27"/>
      <c r="C178" s="27"/>
      <c r="D178" s="27"/>
      <c r="E178" s="27"/>
      <c r="F178" s="28">
        <v>23.2</v>
      </c>
      <c r="G178" s="29">
        <v>25.8664874211458</v>
      </c>
    </row>
    <row r="179" spans="1:7">
      <c r="A179" s="24"/>
      <c r="B179" s="27"/>
      <c r="C179" s="27"/>
      <c r="D179" s="27"/>
      <c r="E179" s="27"/>
      <c r="F179" s="28">
        <v>24.6</v>
      </c>
      <c r="G179" s="29">
        <v>28.925719753074</v>
      </c>
    </row>
    <row r="180" spans="1:7">
      <c r="A180" s="24"/>
      <c r="B180" s="27"/>
      <c r="C180" s="27"/>
      <c r="D180" s="27"/>
      <c r="E180" s="27"/>
      <c r="F180" s="28">
        <v>29.9</v>
      </c>
      <c r="G180" s="29">
        <v>31.5611826823654</v>
      </c>
    </row>
    <row r="181" spans="1:7">
      <c r="A181" s="24"/>
      <c r="B181" s="27"/>
      <c r="C181" s="27"/>
      <c r="D181" s="27"/>
      <c r="E181" s="27"/>
      <c r="F181" s="28">
        <v>37.2</v>
      </c>
      <c r="G181" s="29">
        <v>33.2579276383299</v>
      </c>
    </row>
    <row r="182" spans="1:7">
      <c r="A182" s="24"/>
      <c r="B182" s="27"/>
      <c r="C182" s="27"/>
      <c r="D182" s="27"/>
      <c r="E182" s="27"/>
      <c r="F182" s="28">
        <v>39.8</v>
      </c>
      <c r="G182" s="29">
        <v>34.4455946328607</v>
      </c>
    </row>
    <row r="183" spans="1:7">
      <c r="A183" s="24"/>
      <c r="B183" s="27"/>
      <c r="C183" s="27"/>
      <c r="D183" s="27"/>
      <c r="E183" s="27"/>
      <c r="F183" s="28">
        <v>36.2</v>
      </c>
      <c r="G183" s="29">
        <v>27.7239663954328</v>
      </c>
    </row>
    <row r="184" spans="1:7">
      <c r="A184" s="24"/>
      <c r="B184" s="27"/>
      <c r="C184" s="27"/>
      <c r="D184" s="27"/>
      <c r="E184" s="27"/>
      <c r="F184" s="28">
        <v>37.9</v>
      </c>
      <c r="G184" s="29">
        <v>33.8076547595964</v>
      </c>
    </row>
    <row r="185" spans="1:7">
      <c r="A185" s="24"/>
      <c r="B185" s="27"/>
      <c r="C185" s="27"/>
      <c r="D185" s="27"/>
      <c r="E185" s="27"/>
      <c r="F185" s="28">
        <v>32.5</v>
      </c>
      <c r="G185" s="29">
        <v>31.0049474181463</v>
      </c>
    </row>
    <row r="186" spans="1:7">
      <c r="A186" s="24"/>
      <c r="B186" s="27"/>
      <c r="C186" s="27"/>
      <c r="D186" s="27"/>
      <c r="E186" s="27"/>
      <c r="F186" s="28">
        <v>26.4</v>
      </c>
      <c r="G186" s="29">
        <v>22.717460175173</v>
      </c>
    </row>
    <row r="187" spans="1:7">
      <c r="A187" s="24"/>
      <c r="B187" s="27"/>
      <c r="C187" s="27"/>
      <c r="D187" s="27"/>
      <c r="E187" s="27"/>
      <c r="F187" s="28">
        <v>29.6</v>
      </c>
      <c r="G187" s="29">
        <v>24.76331436014</v>
      </c>
    </row>
    <row r="188" spans="1:7">
      <c r="A188" s="24"/>
      <c r="B188" s="27"/>
      <c r="C188" s="27"/>
      <c r="D188" s="27"/>
      <c r="E188" s="27"/>
      <c r="F188" s="28">
        <v>50</v>
      </c>
      <c r="G188" s="29">
        <v>35.5664815814164</v>
      </c>
    </row>
    <row r="189" spans="1:7">
      <c r="A189" s="24"/>
      <c r="B189" s="27"/>
      <c r="C189" s="27"/>
      <c r="D189" s="27"/>
      <c r="E189" s="27"/>
      <c r="F189" s="28">
        <v>32</v>
      </c>
      <c r="G189" s="29">
        <v>33.8862979113769</v>
      </c>
    </row>
    <row r="190" spans="1:7">
      <c r="A190" s="24"/>
      <c r="B190" s="27"/>
      <c r="C190" s="27"/>
      <c r="D190" s="27"/>
      <c r="E190" s="27"/>
      <c r="F190" s="28">
        <v>29.8</v>
      </c>
      <c r="G190" s="29">
        <v>32.5698715602866</v>
      </c>
    </row>
    <row r="191" spans="1:7">
      <c r="A191" s="24"/>
      <c r="B191" s="27"/>
      <c r="C191" s="27"/>
      <c r="D191" s="27"/>
      <c r="E191" s="27"/>
      <c r="F191" s="28">
        <v>34.9</v>
      </c>
      <c r="G191" s="29">
        <v>34.9022194259904</v>
      </c>
    </row>
    <row r="192" spans="1:7">
      <c r="A192" s="24"/>
      <c r="B192" s="27"/>
      <c r="C192" s="27"/>
      <c r="D192" s="27"/>
      <c r="E192" s="27"/>
      <c r="F192" s="28">
        <v>37</v>
      </c>
      <c r="G192" s="29">
        <v>30.5756999935135</v>
      </c>
    </row>
    <row r="193" spans="1:7">
      <c r="A193" s="24"/>
      <c r="B193" s="27"/>
      <c r="C193" s="27"/>
      <c r="D193" s="27"/>
      <c r="E193" s="27"/>
      <c r="F193" s="28">
        <v>30.5</v>
      </c>
      <c r="G193" s="29">
        <v>30.6076253386387</v>
      </c>
    </row>
    <row r="194" spans="1:7">
      <c r="A194" s="24"/>
      <c r="B194" s="27"/>
      <c r="C194" s="27"/>
      <c r="D194" s="27"/>
      <c r="E194" s="27"/>
      <c r="F194" s="28">
        <v>36.4</v>
      </c>
      <c r="G194" s="29">
        <v>32.5020907314954</v>
      </c>
    </row>
    <row r="195" spans="1:7">
      <c r="A195" s="24"/>
      <c r="B195" s="27"/>
      <c r="C195" s="27"/>
      <c r="D195" s="27"/>
      <c r="E195" s="27"/>
      <c r="F195" s="28">
        <v>31.1</v>
      </c>
      <c r="G195" s="29">
        <v>32.1269671305294</v>
      </c>
    </row>
    <row r="196" spans="1:7">
      <c r="A196" s="24"/>
      <c r="B196" s="27"/>
      <c r="C196" s="27"/>
      <c r="D196" s="27"/>
      <c r="E196" s="27"/>
      <c r="F196" s="28">
        <v>29.1</v>
      </c>
      <c r="G196" s="29">
        <v>31.611511811193</v>
      </c>
    </row>
    <row r="197" spans="1:7">
      <c r="A197" s="24"/>
      <c r="B197" s="27"/>
      <c r="C197" s="27"/>
      <c r="D197" s="27"/>
      <c r="E197" s="27"/>
      <c r="F197" s="28">
        <v>50</v>
      </c>
      <c r="G197" s="29">
        <v>40.0332983427222</v>
      </c>
    </row>
    <row r="198" spans="1:7">
      <c r="A198" s="24"/>
      <c r="B198" s="27"/>
      <c r="C198" s="27"/>
      <c r="D198" s="27"/>
      <c r="E198" s="27"/>
      <c r="F198" s="28">
        <v>33.3</v>
      </c>
      <c r="G198" s="29">
        <v>36.6413110723909</v>
      </c>
    </row>
    <row r="199" spans="1:7">
      <c r="A199" s="24"/>
      <c r="B199" s="27"/>
      <c r="C199" s="27"/>
      <c r="D199" s="27"/>
      <c r="E199" s="27"/>
      <c r="F199" s="28">
        <v>30.3</v>
      </c>
      <c r="G199" s="29">
        <v>32.6091309933905</v>
      </c>
    </row>
    <row r="200" spans="1:7">
      <c r="A200" s="24"/>
      <c r="B200" s="27"/>
      <c r="C200" s="27"/>
      <c r="D200" s="27"/>
      <c r="E200" s="27"/>
      <c r="F200" s="28">
        <v>34.6</v>
      </c>
      <c r="G200" s="29">
        <v>34.7074253149462</v>
      </c>
    </row>
    <row r="201" spans="1:7">
      <c r="A201" s="24"/>
      <c r="B201" s="27"/>
      <c r="C201" s="27"/>
      <c r="D201" s="27"/>
      <c r="E201" s="27"/>
      <c r="F201" s="28">
        <v>34.9</v>
      </c>
      <c r="G201" s="29">
        <v>29.9971783782371</v>
      </c>
    </row>
    <row r="202" spans="1:7">
      <c r="A202" s="24"/>
      <c r="B202" s="27"/>
      <c r="C202" s="27"/>
      <c r="D202" s="27"/>
      <c r="E202" s="27"/>
      <c r="F202" s="28">
        <v>32.9</v>
      </c>
      <c r="G202" s="29">
        <v>30.6170512611516</v>
      </c>
    </row>
    <row r="203" spans="1:7">
      <c r="A203" s="24"/>
      <c r="B203" s="27"/>
      <c r="C203" s="27"/>
      <c r="D203" s="27"/>
      <c r="E203" s="27"/>
      <c r="F203" s="28">
        <v>24.1</v>
      </c>
      <c r="G203" s="29">
        <v>29.835602243275</v>
      </c>
    </row>
    <row r="204" spans="1:7">
      <c r="A204" s="24"/>
      <c r="B204" s="27"/>
      <c r="C204" s="27"/>
      <c r="D204" s="27"/>
      <c r="E204" s="27"/>
      <c r="F204" s="28">
        <v>42.3</v>
      </c>
      <c r="G204" s="29">
        <v>37.369314355122</v>
      </c>
    </row>
    <row r="205" spans="1:7">
      <c r="A205" s="24"/>
      <c r="B205" s="27"/>
      <c r="C205" s="27"/>
      <c r="D205" s="27"/>
      <c r="E205" s="27"/>
      <c r="F205" s="28">
        <v>48.5</v>
      </c>
      <c r="G205" s="29">
        <v>41.2069004058046</v>
      </c>
    </row>
    <row r="206" spans="1:7">
      <c r="A206" s="24"/>
      <c r="B206" s="27"/>
      <c r="C206" s="27"/>
      <c r="D206" s="27"/>
      <c r="E206" s="27"/>
      <c r="F206" s="28">
        <v>50</v>
      </c>
      <c r="G206" s="29">
        <v>43.0675903433655</v>
      </c>
    </row>
    <row r="207" spans="1:7">
      <c r="A207" s="24"/>
      <c r="B207" s="27"/>
      <c r="C207" s="27"/>
      <c r="D207" s="27"/>
      <c r="E207" s="27"/>
      <c r="F207" s="28">
        <v>22.6</v>
      </c>
      <c r="G207" s="29">
        <v>22.6641454097156</v>
      </c>
    </row>
    <row r="208" spans="1:7">
      <c r="A208" s="24"/>
      <c r="B208" s="27"/>
      <c r="C208" s="27"/>
      <c r="D208" s="27"/>
      <c r="E208" s="27"/>
      <c r="F208" s="28">
        <v>24.4</v>
      </c>
      <c r="G208" s="29">
        <v>23.9044016983538</v>
      </c>
    </row>
    <row r="209" spans="1:7">
      <c r="A209" s="24"/>
      <c r="B209" s="27"/>
      <c r="C209" s="27"/>
      <c r="D209" s="27"/>
      <c r="E209" s="27"/>
      <c r="F209" s="28">
        <v>22.5</v>
      </c>
      <c r="G209" s="29">
        <v>18.048897011899</v>
      </c>
    </row>
    <row r="210" spans="1:7">
      <c r="A210" s="24"/>
      <c r="B210" s="27"/>
      <c r="C210" s="27"/>
      <c r="D210" s="27"/>
      <c r="E210" s="27"/>
      <c r="F210" s="28">
        <v>24.4</v>
      </c>
      <c r="G210" s="29">
        <v>23.0598827536047</v>
      </c>
    </row>
    <row r="211" spans="1:7">
      <c r="A211" s="24"/>
      <c r="B211" s="27"/>
      <c r="C211" s="27"/>
      <c r="D211" s="27"/>
      <c r="E211" s="27"/>
      <c r="F211" s="28">
        <v>20</v>
      </c>
      <c r="G211" s="29">
        <v>16.6688262770157</v>
      </c>
    </row>
    <row r="212" spans="1:7">
      <c r="A212" s="24"/>
      <c r="B212" s="27"/>
      <c r="C212" s="27"/>
      <c r="D212" s="27"/>
      <c r="E212" s="27"/>
      <c r="F212" s="28">
        <v>21.7</v>
      </c>
      <c r="G212" s="29">
        <v>21.7016027012712</v>
      </c>
    </row>
    <row r="213" spans="1:7">
      <c r="A213" s="24"/>
      <c r="B213" s="27"/>
      <c r="C213" s="27"/>
      <c r="D213" s="27"/>
      <c r="E213" s="27"/>
      <c r="F213" s="28">
        <v>19.3</v>
      </c>
      <c r="G213" s="29">
        <v>17.0925509042461</v>
      </c>
    </row>
    <row r="214" spans="1:7">
      <c r="A214" s="24"/>
      <c r="B214" s="27"/>
      <c r="C214" s="27"/>
      <c r="D214" s="27"/>
      <c r="E214" s="27"/>
      <c r="F214" s="28">
        <v>22.4</v>
      </c>
      <c r="G214" s="29">
        <v>22.5379410996339</v>
      </c>
    </row>
    <row r="215" spans="1:7">
      <c r="A215" s="24"/>
      <c r="B215" s="27"/>
      <c r="C215" s="27"/>
      <c r="D215" s="27"/>
      <c r="E215" s="27"/>
      <c r="F215" s="28">
        <v>28.1</v>
      </c>
      <c r="G215" s="29">
        <v>25.3113495487309</v>
      </c>
    </row>
    <row r="216" spans="1:7">
      <c r="A216" s="24"/>
      <c r="B216" s="27"/>
      <c r="C216" s="27"/>
      <c r="D216" s="27"/>
      <c r="E216" s="27"/>
      <c r="F216" s="28">
        <v>23.7</v>
      </c>
      <c r="G216" s="29">
        <v>9.47879064154049</v>
      </c>
    </row>
    <row r="217" spans="1:7">
      <c r="A217" s="24"/>
      <c r="B217" s="27"/>
      <c r="C217" s="27"/>
      <c r="D217" s="27"/>
      <c r="E217" s="27"/>
      <c r="F217" s="28">
        <v>25</v>
      </c>
      <c r="G217" s="29">
        <v>24.2220463034658</v>
      </c>
    </row>
    <row r="218" spans="1:7">
      <c r="A218" s="24"/>
      <c r="B218" s="27"/>
      <c r="C218" s="27"/>
      <c r="D218" s="27"/>
      <c r="E218" s="27"/>
      <c r="F218" s="28">
        <v>23.3</v>
      </c>
      <c r="G218" s="29">
        <v>26.2623593293795</v>
      </c>
    </row>
    <row r="219" spans="1:7">
      <c r="A219" s="24"/>
      <c r="B219" s="27"/>
      <c r="C219" s="27"/>
      <c r="D219" s="27"/>
      <c r="E219" s="27"/>
      <c r="F219" s="28">
        <v>28.7</v>
      </c>
      <c r="G219" s="29">
        <v>28.4811950698996</v>
      </c>
    </row>
    <row r="220" spans="1:7">
      <c r="A220" s="24"/>
      <c r="B220" s="27"/>
      <c r="C220" s="27"/>
      <c r="D220" s="27"/>
      <c r="E220" s="27"/>
      <c r="F220" s="28">
        <v>21.5</v>
      </c>
      <c r="G220" s="29">
        <v>25.0061470318562</v>
      </c>
    </row>
    <row r="221" spans="1:7">
      <c r="A221" s="24"/>
      <c r="B221" s="27"/>
      <c r="C221" s="27"/>
      <c r="D221" s="27"/>
      <c r="E221" s="27"/>
      <c r="F221" s="28">
        <v>23</v>
      </c>
      <c r="G221" s="29">
        <v>30.1535340292061</v>
      </c>
    </row>
    <row r="222" spans="1:7">
      <c r="A222" s="24"/>
      <c r="B222" s="27"/>
      <c r="C222" s="27"/>
      <c r="D222" s="27"/>
      <c r="E222" s="27"/>
      <c r="F222" s="28">
        <v>26.7</v>
      </c>
      <c r="G222" s="29">
        <v>33.3313641881067</v>
      </c>
    </row>
    <row r="223" spans="1:7">
      <c r="A223" s="24"/>
      <c r="B223" s="27"/>
      <c r="C223" s="27"/>
      <c r="D223" s="27"/>
      <c r="E223" s="27"/>
      <c r="F223" s="28">
        <v>21.7</v>
      </c>
      <c r="G223" s="29">
        <v>23.8626870449909</v>
      </c>
    </row>
    <row r="224" spans="1:7">
      <c r="A224" s="24"/>
      <c r="B224" s="27"/>
      <c r="C224" s="27"/>
      <c r="D224" s="27"/>
      <c r="E224" s="27"/>
      <c r="F224" s="28">
        <v>27.5</v>
      </c>
      <c r="G224" s="29">
        <v>31.8836705418932</v>
      </c>
    </row>
    <row r="225" spans="1:7">
      <c r="A225" s="24"/>
      <c r="B225" s="27"/>
      <c r="C225" s="27"/>
      <c r="D225" s="27"/>
      <c r="E225" s="27"/>
      <c r="F225" s="28">
        <v>30.1</v>
      </c>
      <c r="G225" s="29">
        <v>29.7772224733741</v>
      </c>
    </row>
    <row r="226" spans="1:7">
      <c r="A226" s="24"/>
      <c r="B226" s="27"/>
      <c r="C226" s="27"/>
      <c r="D226" s="27"/>
      <c r="E226" s="27"/>
      <c r="F226" s="28">
        <v>44.8</v>
      </c>
      <c r="G226" s="29">
        <v>37.9314882397711</v>
      </c>
    </row>
    <row r="227" spans="1:7">
      <c r="A227" s="24"/>
      <c r="B227" s="27"/>
      <c r="C227" s="27"/>
      <c r="D227" s="27"/>
      <c r="E227" s="27"/>
      <c r="F227" s="28">
        <v>50</v>
      </c>
      <c r="G227" s="29">
        <v>39.0908716641922</v>
      </c>
    </row>
    <row r="228" spans="1:7">
      <c r="A228" s="24"/>
      <c r="B228" s="27"/>
      <c r="C228" s="27"/>
      <c r="D228" s="27"/>
      <c r="E228" s="27"/>
      <c r="F228" s="28">
        <v>37.6</v>
      </c>
      <c r="G228" s="29">
        <v>37.637384659628</v>
      </c>
    </row>
    <row r="229" spans="1:7">
      <c r="A229" s="24"/>
      <c r="B229" s="27"/>
      <c r="C229" s="27"/>
      <c r="D229" s="27"/>
      <c r="E229" s="27"/>
      <c r="F229" s="28">
        <v>31.6</v>
      </c>
      <c r="G229" s="29">
        <v>32.6677546297461</v>
      </c>
    </row>
    <row r="230" spans="1:7">
      <c r="A230" s="24"/>
      <c r="B230" s="27"/>
      <c r="C230" s="27"/>
      <c r="D230" s="27"/>
      <c r="E230" s="27"/>
      <c r="F230" s="28">
        <v>46.7</v>
      </c>
      <c r="G230" s="29">
        <v>36.2452738610798</v>
      </c>
    </row>
    <row r="231" spans="1:7">
      <c r="A231" s="24"/>
      <c r="B231" s="27"/>
      <c r="C231" s="27"/>
      <c r="D231" s="27"/>
      <c r="E231" s="27"/>
      <c r="F231" s="28">
        <v>31.5</v>
      </c>
      <c r="G231" s="29">
        <v>30.9531075024758</v>
      </c>
    </row>
    <row r="232" spans="1:7">
      <c r="A232" s="24"/>
      <c r="B232" s="27"/>
      <c r="C232" s="27"/>
      <c r="D232" s="27"/>
      <c r="E232" s="27"/>
      <c r="F232" s="28">
        <v>24.3</v>
      </c>
      <c r="G232" s="29">
        <v>24.6296450831974</v>
      </c>
    </row>
    <row r="233" spans="1:7">
      <c r="A233" s="24"/>
      <c r="B233" s="27"/>
      <c r="C233" s="27"/>
      <c r="D233" s="27"/>
      <c r="E233" s="27"/>
      <c r="F233" s="28">
        <v>31.7</v>
      </c>
      <c r="G233" s="29">
        <v>33.2207207333282</v>
      </c>
    </row>
    <row r="234" spans="1:7">
      <c r="A234" s="24"/>
      <c r="B234" s="27"/>
      <c r="C234" s="27"/>
      <c r="D234" s="27"/>
      <c r="E234" s="27"/>
      <c r="F234" s="28">
        <v>41.7</v>
      </c>
      <c r="G234" s="29">
        <v>37.7025459453047</v>
      </c>
    </row>
    <row r="235" spans="1:7">
      <c r="A235" s="24"/>
      <c r="B235" s="27"/>
      <c r="C235" s="27"/>
      <c r="D235" s="27"/>
      <c r="E235" s="27"/>
      <c r="F235" s="28">
        <v>48.3</v>
      </c>
      <c r="G235" s="29">
        <v>36.7381119414865</v>
      </c>
    </row>
    <row r="236" spans="1:7">
      <c r="A236" s="24"/>
      <c r="B236" s="27"/>
      <c r="C236" s="27"/>
      <c r="D236" s="27"/>
      <c r="E236" s="27"/>
      <c r="F236" s="28">
        <v>29</v>
      </c>
      <c r="G236" s="29">
        <v>31.8410784953079</v>
      </c>
    </row>
    <row r="237" spans="1:7">
      <c r="A237" s="24"/>
      <c r="B237" s="27"/>
      <c r="C237" s="27"/>
      <c r="D237" s="27"/>
      <c r="E237" s="27"/>
      <c r="F237" s="28">
        <v>24</v>
      </c>
      <c r="G237" s="29">
        <v>25.2196460411923</v>
      </c>
    </row>
    <row r="238" spans="1:7">
      <c r="A238" s="24"/>
      <c r="B238" s="27"/>
      <c r="C238" s="27"/>
      <c r="D238" s="27"/>
      <c r="E238" s="27"/>
      <c r="F238" s="28">
        <v>25.1</v>
      </c>
      <c r="G238" s="29">
        <v>30.1176955285992</v>
      </c>
    </row>
    <row r="239" spans="1:7">
      <c r="A239" s="24"/>
      <c r="B239" s="27"/>
      <c r="C239" s="27"/>
      <c r="D239" s="27"/>
      <c r="E239" s="27"/>
      <c r="F239" s="28">
        <v>31.5</v>
      </c>
      <c r="G239" s="29">
        <v>32.9975132665224</v>
      </c>
    </row>
    <row r="240" spans="1:7">
      <c r="A240" s="24"/>
      <c r="B240" s="27"/>
      <c r="C240" s="27"/>
      <c r="D240" s="27"/>
      <c r="E240" s="27"/>
      <c r="F240" s="28">
        <v>23.7</v>
      </c>
      <c r="G240" s="29">
        <v>28.5730929200264</v>
      </c>
    </row>
    <row r="241" spans="1:7">
      <c r="A241" s="24"/>
      <c r="B241" s="27"/>
      <c r="C241" s="27"/>
      <c r="D241" s="27"/>
      <c r="E241" s="27"/>
      <c r="F241" s="28">
        <v>23.3</v>
      </c>
      <c r="G241" s="29">
        <v>28.3958501301268</v>
      </c>
    </row>
    <row r="242" spans="1:7">
      <c r="A242" s="24"/>
      <c r="B242" s="27"/>
      <c r="C242" s="27"/>
      <c r="D242" s="27"/>
      <c r="E242" s="27"/>
      <c r="F242" s="28">
        <v>22</v>
      </c>
      <c r="G242" s="29">
        <v>27.5395195320349</v>
      </c>
    </row>
    <row r="243" spans="1:7">
      <c r="A243" s="24"/>
      <c r="B243" s="27"/>
      <c r="C243" s="27"/>
      <c r="D243" s="27"/>
      <c r="E243" s="27"/>
      <c r="F243" s="28">
        <v>20.1</v>
      </c>
      <c r="G243" s="29">
        <v>23.30109518526</v>
      </c>
    </row>
    <row r="244" spans="1:7">
      <c r="A244" s="24"/>
      <c r="B244" s="27"/>
      <c r="C244" s="27"/>
      <c r="D244" s="27"/>
      <c r="E244" s="27"/>
      <c r="F244" s="28">
        <v>22.2</v>
      </c>
      <c r="G244" s="29">
        <v>24.0948200961014</v>
      </c>
    </row>
    <row r="245" spans="1:7">
      <c r="A245" s="24"/>
      <c r="B245" s="27"/>
      <c r="C245" s="27"/>
      <c r="D245" s="27"/>
      <c r="E245" s="27"/>
      <c r="F245" s="28">
        <v>23.7</v>
      </c>
      <c r="G245" s="29">
        <v>27.407666940076</v>
      </c>
    </row>
    <row r="246" spans="1:7">
      <c r="A246" s="24"/>
      <c r="B246" s="27"/>
      <c r="C246" s="27"/>
      <c r="D246" s="27"/>
      <c r="E246" s="27"/>
      <c r="F246" s="28">
        <v>17.6</v>
      </c>
      <c r="G246" s="29">
        <v>16.2727628364852</v>
      </c>
    </row>
    <row r="247" spans="1:7">
      <c r="A247" s="24"/>
      <c r="B247" s="27"/>
      <c r="C247" s="27"/>
      <c r="D247" s="27"/>
      <c r="E247" s="27"/>
      <c r="F247" s="28">
        <v>18.5</v>
      </c>
      <c r="G247" s="29">
        <v>13.3607968750631</v>
      </c>
    </row>
    <row r="248" spans="1:7">
      <c r="A248" s="24"/>
      <c r="B248" s="27"/>
      <c r="C248" s="27"/>
      <c r="D248" s="27"/>
      <c r="E248" s="27"/>
      <c r="F248" s="28">
        <v>24.3</v>
      </c>
      <c r="G248" s="29">
        <v>19.9997180272852</v>
      </c>
    </row>
    <row r="249" spans="1:7">
      <c r="A249" s="24"/>
      <c r="B249" s="27"/>
      <c r="C249" s="27"/>
      <c r="D249" s="27"/>
      <c r="E249" s="27"/>
      <c r="F249" s="28">
        <v>20.5</v>
      </c>
      <c r="G249" s="29">
        <v>20.0593344839457</v>
      </c>
    </row>
    <row r="250" spans="1:7">
      <c r="A250" s="24"/>
      <c r="B250" s="27"/>
      <c r="C250" s="27"/>
      <c r="D250" s="27"/>
      <c r="E250" s="27"/>
      <c r="F250" s="28">
        <v>24.5</v>
      </c>
      <c r="G250" s="29">
        <v>21.1517450046515</v>
      </c>
    </row>
    <row r="251" spans="1:7">
      <c r="A251" s="24"/>
      <c r="B251" s="27"/>
      <c r="C251" s="27"/>
      <c r="D251" s="27"/>
      <c r="E251" s="27"/>
      <c r="F251" s="28">
        <v>26.2</v>
      </c>
      <c r="G251" s="29">
        <v>23.8988791460302</v>
      </c>
    </row>
    <row r="252" spans="1:7">
      <c r="A252" s="24"/>
      <c r="B252" s="27"/>
      <c r="C252" s="27"/>
      <c r="D252" s="27"/>
      <c r="E252" s="27"/>
      <c r="F252" s="28">
        <v>24.4</v>
      </c>
      <c r="G252" s="29">
        <v>24.2524854455875</v>
      </c>
    </row>
    <row r="253" spans="1:7">
      <c r="A253" s="24"/>
      <c r="B253" s="27"/>
      <c r="C253" s="27"/>
      <c r="D253" s="27"/>
      <c r="E253" s="27"/>
      <c r="F253" s="28">
        <v>24.8</v>
      </c>
      <c r="G253" s="29">
        <v>25.1136196494155</v>
      </c>
    </row>
    <row r="254" spans="1:7">
      <c r="A254" s="24"/>
      <c r="B254" s="27"/>
      <c r="C254" s="27"/>
      <c r="D254" s="27"/>
      <c r="E254" s="27"/>
      <c r="F254" s="28">
        <v>29.6</v>
      </c>
      <c r="G254" s="29">
        <v>24.7996089594439</v>
      </c>
    </row>
    <row r="255" spans="1:7">
      <c r="A255" s="24"/>
      <c r="B255" s="27"/>
      <c r="C255" s="27"/>
      <c r="D255" s="27"/>
      <c r="E255" s="27"/>
      <c r="F255" s="28">
        <v>42.8</v>
      </c>
      <c r="G255" s="29">
        <v>29.3748131638359</v>
      </c>
    </row>
    <row r="256" spans="1:7">
      <c r="A256" s="24"/>
      <c r="B256" s="27"/>
      <c r="C256" s="27"/>
      <c r="D256" s="27"/>
      <c r="E256" s="27"/>
      <c r="F256" s="28">
        <v>21.9</v>
      </c>
      <c r="G256" s="29">
        <v>23.505816623769</v>
      </c>
    </row>
    <row r="257" spans="1:7">
      <c r="A257" s="24"/>
      <c r="B257" s="27"/>
      <c r="C257" s="27"/>
      <c r="D257" s="27"/>
      <c r="E257" s="27"/>
      <c r="F257" s="28">
        <v>20.9</v>
      </c>
      <c r="G257" s="29">
        <v>21.3131305229535</v>
      </c>
    </row>
    <row r="258" spans="1:7">
      <c r="A258" s="24"/>
      <c r="B258" s="27"/>
      <c r="C258" s="27"/>
      <c r="D258" s="27"/>
      <c r="E258" s="27"/>
      <c r="F258" s="28">
        <v>44</v>
      </c>
      <c r="G258" s="29">
        <v>37.6931417739749</v>
      </c>
    </row>
    <row r="259" spans="1:7">
      <c r="A259" s="24"/>
      <c r="B259" s="27"/>
      <c r="C259" s="27"/>
      <c r="D259" s="27"/>
      <c r="E259" s="27"/>
      <c r="F259" s="28">
        <v>50</v>
      </c>
      <c r="G259" s="29">
        <v>42.3228694867303</v>
      </c>
    </row>
    <row r="260" spans="1:7">
      <c r="A260" s="24"/>
      <c r="B260" s="27"/>
      <c r="C260" s="27"/>
      <c r="D260" s="27"/>
      <c r="E260" s="27"/>
      <c r="F260" s="28">
        <v>36</v>
      </c>
      <c r="G260" s="29">
        <v>36.5153660524877</v>
      </c>
    </row>
    <row r="261" spans="1:7">
      <c r="A261" s="24"/>
      <c r="B261" s="27"/>
      <c r="C261" s="27"/>
      <c r="D261" s="27"/>
      <c r="E261" s="27"/>
      <c r="F261" s="28">
        <v>30.1</v>
      </c>
      <c r="G261" s="29">
        <v>35.1845801088044</v>
      </c>
    </row>
    <row r="262" spans="1:7">
      <c r="A262" s="24"/>
      <c r="B262" s="27"/>
      <c r="C262" s="27"/>
      <c r="D262" s="27"/>
      <c r="E262" s="27"/>
      <c r="F262" s="28">
        <v>33.8</v>
      </c>
      <c r="G262" s="29">
        <v>35.0426987121221</v>
      </c>
    </row>
    <row r="263" spans="1:7">
      <c r="A263" s="24"/>
      <c r="B263" s="27"/>
      <c r="C263" s="27"/>
      <c r="D263" s="27"/>
      <c r="E263" s="27"/>
      <c r="F263" s="28">
        <v>43.1</v>
      </c>
      <c r="G263" s="29">
        <v>37.3929882255822</v>
      </c>
    </row>
    <row r="264" spans="1:7">
      <c r="A264" s="24"/>
      <c r="B264" s="27"/>
      <c r="C264" s="27"/>
      <c r="D264" s="27"/>
      <c r="E264" s="27"/>
      <c r="F264" s="28">
        <v>48.8</v>
      </c>
      <c r="G264" s="29">
        <v>40.4584382767246</v>
      </c>
    </row>
    <row r="265" spans="1:7">
      <c r="A265" s="24"/>
      <c r="B265" s="27"/>
      <c r="C265" s="27"/>
      <c r="D265" s="27"/>
      <c r="E265" s="27"/>
      <c r="F265" s="28">
        <v>31</v>
      </c>
      <c r="G265" s="29">
        <v>34.8171544213802</v>
      </c>
    </row>
    <row r="266" spans="1:7">
      <c r="A266" s="24"/>
      <c r="B266" s="27"/>
      <c r="C266" s="27"/>
      <c r="D266" s="27"/>
      <c r="E266" s="27"/>
      <c r="F266" s="28">
        <v>36.5</v>
      </c>
      <c r="G266" s="29">
        <v>36.0759917152359</v>
      </c>
    </row>
    <row r="267" spans="1:7">
      <c r="A267" s="24"/>
      <c r="B267" s="27"/>
      <c r="C267" s="27"/>
      <c r="D267" s="27"/>
      <c r="E267" s="27"/>
      <c r="F267" s="28">
        <v>22.8</v>
      </c>
      <c r="G267" s="29">
        <v>28.7265459968209</v>
      </c>
    </row>
    <row r="268" spans="1:7">
      <c r="A268" s="24"/>
      <c r="B268" s="27"/>
      <c r="C268" s="27"/>
      <c r="D268" s="27"/>
      <c r="E268" s="27"/>
      <c r="F268" s="28">
        <v>30.7</v>
      </c>
      <c r="G268" s="29">
        <v>31.1469821399114</v>
      </c>
    </row>
    <row r="269" spans="1:7">
      <c r="A269" s="24"/>
      <c r="B269" s="27"/>
      <c r="C269" s="27"/>
      <c r="D269" s="27"/>
      <c r="E269" s="27"/>
      <c r="F269" s="28">
        <v>50</v>
      </c>
      <c r="G269" s="29">
        <v>40.6814528879161</v>
      </c>
    </row>
    <row r="270" spans="1:7">
      <c r="A270" s="24"/>
      <c r="B270" s="27"/>
      <c r="C270" s="27"/>
      <c r="D270" s="27"/>
      <c r="E270" s="27"/>
      <c r="F270" s="28">
        <v>43.5</v>
      </c>
      <c r="G270" s="29">
        <v>39.5201157189829</v>
      </c>
    </row>
    <row r="271" spans="1:7">
      <c r="A271" s="24"/>
      <c r="B271" s="27"/>
      <c r="C271" s="27"/>
      <c r="D271" s="27"/>
      <c r="E271" s="27"/>
      <c r="F271" s="28">
        <v>20.7</v>
      </c>
      <c r="G271" s="29">
        <v>26.1070361849308</v>
      </c>
    </row>
    <row r="272" spans="1:7">
      <c r="A272" s="24"/>
      <c r="B272" s="27"/>
      <c r="C272" s="27"/>
      <c r="D272" s="27"/>
      <c r="E272" s="27"/>
      <c r="F272" s="28">
        <v>21.1</v>
      </c>
      <c r="G272" s="29">
        <v>22.0787431914464</v>
      </c>
    </row>
    <row r="273" spans="1:7">
      <c r="A273" s="24"/>
      <c r="B273" s="27"/>
      <c r="C273" s="27"/>
      <c r="D273" s="27"/>
      <c r="E273" s="27"/>
      <c r="F273" s="28">
        <v>25.2</v>
      </c>
      <c r="G273" s="29">
        <v>26.9483457212957</v>
      </c>
    </row>
    <row r="274" spans="1:7">
      <c r="A274" s="24"/>
      <c r="B274" s="27"/>
      <c r="C274" s="27"/>
      <c r="D274" s="27"/>
      <c r="E274" s="27"/>
      <c r="F274" s="28">
        <v>24.4</v>
      </c>
      <c r="G274" s="29">
        <v>28.3033260133505</v>
      </c>
    </row>
    <row r="275" spans="1:7">
      <c r="A275" s="24"/>
      <c r="B275" s="27"/>
      <c r="C275" s="27"/>
      <c r="D275" s="27"/>
      <c r="E275" s="27"/>
      <c r="F275" s="28">
        <v>35.2</v>
      </c>
      <c r="G275" s="29">
        <v>35.1467490232319</v>
      </c>
    </row>
    <row r="276" spans="1:7">
      <c r="A276" s="24"/>
      <c r="B276" s="27"/>
      <c r="C276" s="27"/>
      <c r="D276" s="27"/>
      <c r="E276" s="27"/>
      <c r="F276" s="28">
        <v>32.4</v>
      </c>
      <c r="G276" s="29">
        <v>36.2437573092105</v>
      </c>
    </row>
    <row r="277" spans="1:7">
      <c r="A277" s="24"/>
      <c r="B277" s="27"/>
      <c r="C277" s="27"/>
      <c r="D277" s="27"/>
      <c r="E277" s="27"/>
      <c r="F277" s="28">
        <v>32</v>
      </c>
      <c r="G277" s="29">
        <v>34.0863710638502</v>
      </c>
    </row>
    <row r="278" spans="1:7">
      <c r="A278" s="24"/>
      <c r="B278" s="27"/>
      <c r="C278" s="27"/>
      <c r="D278" s="27"/>
      <c r="E278" s="27"/>
      <c r="F278" s="28">
        <v>33.2</v>
      </c>
      <c r="G278" s="29">
        <v>35.2869876246196</v>
      </c>
    </row>
    <row r="279" spans="1:7">
      <c r="A279" s="24"/>
      <c r="B279" s="27"/>
      <c r="C279" s="27"/>
      <c r="D279" s="27"/>
      <c r="E279" s="27"/>
      <c r="F279" s="28">
        <v>33.1</v>
      </c>
      <c r="G279" s="29">
        <v>34.8421945156434</v>
      </c>
    </row>
    <row r="280" spans="1:7">
      <c r="A280" s="24"/>
      <c r="B280" s="27"/>
      <c r="C280" s="27"/>
      <c r="D280" s="27"/>
      <c r="E280" s="27"/>
      <c r="F280" s="28">
        <v>29.1</v>
      </c>
      <c r="G280" s="29">
        <v>30.5747689328425</v>
      </c>
    </row>
    <row r="281" spans="1:7">
      <c r="A281" s="24"/>
      <c r="B281" s="27"/>
      <c r="C281" s="27"/>
      <c r="D281" s="27"/>
      <c r="E281" s="27"/>
      <c r="F281" s="28">
        <v>35.1</v>
      </c>
      <c r="G281" s="29">
        <v>34.9314412294928</v>
      </c>
    </row>
    <row r="282" spans="1:7">
      <c r="A282" s="24"/>
      <c r="B282" s="27"/>
      <c r="C282" s="27"/>
      <c r="D282" s="27"/>
      <c r="E282" s="27"/>
      <c r="F282" s="28">
        <v>45.4</v>
      </c>
      <c r="G282" s="29">
        <v>38.6696731481381</v>
      </c>
    </row>
    <row r="283" spans="1:7">
      <c r="A283" s="24"/>
      <c r="B283" s="27"/>
      <c r="C283" s="27"/>
      <c r="D283" s="27"/>
      <c r="E283" s="27"/>
      <c r="F283" s="28">
        <v>35.4</v>
      </c>
      <c r="G283" s="29">
        <v>34.3697598410204</v>
      </c>
    </row>
    <row r="284" spans="1:7">
      <c r="A284" s="24"/>
      <c r="B284" s="27"/>
      <c r="C284" s="27"/>
      <c r="D284" s="27"/>
      <c r="E284" s="27"/>
      <c r="F284" s="28">
        <v>46</v>
      </c>
      <c r="G284" s="29">
        <v>40.1419898381428</v>
      </c>
    </row>
    <row r="285" spans="1:7">
      <c r="A285" s="24"/>
      <c r="B285" s="27"/>
      <c r="C285" s="27"/>
      <c r="D285" s="27"/>
      <c r="E285" s="27"/>
      <c r="F285" s="28">
        <v>50</v>
      </c>
      <c r="G285" s="29">
        <v>44.6324019859696</v>
      </c>
    </row>
    <row r="286" spans="1:7">
      <c r="A286" s="24"/>
      <c r="B286" s="27"/>
      <c r="C286" s="27"/>
      <c r="D286" s="27"/>
      <c r="E286" s="27"/>
      <c r="F286" s="28">
        <v>32.2</v>
      </c>
      <c r="G286" s="29">
        <v>31.8163443021253</v>
      </c>
    </row>
    <row r="287" spans="1:7">
      <c r="A287" s="24"/>
      <c r="B287" s="27"/>
      <c r="C287" s="27"/>
      <c r="D287" s="27"/>
      <c r="E287" s="27"/>
      <c r="F287" s="28">
        <v>22</v>
      </c>
      <c r="G287" s="29">
        <v>27.3188771915574</v>
      </c>
    </row>
    <row r="288" spans="1:7">
      <c r="A288" s="24"/>
      <c r="B288" s="27"/>
      <c r="C288" s="27"/>
      <c r="D288" s="27"/>
      <c r="E288" s="27"/>
      <c r="F288" s="28">
        <v>20.1</v>
      </c>
      <c r="G288" s="29">
        <v>19.7819098620236</v>
      </c>
    </row>
    <row r="289" spans="1:7">
      <c r="A289" s="24"/>
      <c r="B289" s="27"/>
      <c r="C289" s="27"/>
      <c r="D289" s="27"/>
      <c r="E289" s="27"/>
      <c r="F289" s="28">
        <v>23.2</v>
      </c>
      <c r="G289" s="29">
        <v>26.88407675188</v>
      </c>
    </row>
    <row r="290" spans="1:7">
      <c r="A290" s="24"/>
      <c r="B290" s="27"/>
      <c r="C290" s="27"/>
      <c r="D290" s="27"/>
      <c r="E290" s="27"/>
      <c r="F290" s="28">
        <v>22.3</v>
      </c>
      <c r="G290" s="29">
        <v>27.3515001608244</v>
      </c>
    </row>
    <row r="291" spans="1:7">
      <c r="A291" s="24"/>
      <c r="B291" s="27"/>
      <c r="C291" s="27"/>
      <c r="D291" s="27"/>
      <c r="E291" s="27"/>
      <c r="F291" s="28">
        <v>24.8</v>
      </c>
      <c r="G291" s="29">
        <v>26.9730822198123</v>
      </c>
    </row>
    <row r="292" spans="1:7">
      <c r="A292" s="24"/>
      <c r="B292" s="27"/>
      <c r="C292" s="27"/>
      <c r="D292" s="27"/>
      <c r="E292" s="27"/>
      <c r="F292" s="28">
        <v>28.5</v>
      </c>
      <c r="G292" s="29">
        <v>33.9204101371206</v>
      </c>
    </row>
    <row r="293" spans="1:7">
      <c r="A293" s="24"/>
      <c r="B293" s="27"/>
      <c r="C293" s="27"/>
      <c r="D293" s="27"/>
      <c r="E293" s="27"/>
      <c r="F293" s="28">
        <v>37.3</v>
      </c>
      <c r="G293" s="29">
        <v>33.8373241886026</v>
      </c>
    </row>
    <row r="294" spans="1:7">
      <c r="A294" s="24"/>
      <c r="B294" s="27"/>
      <c r="C294" s="27"/>
      <c r="D294" s="27"/>
      <c r="E294" s="27"/>
      <c r="F294" s="28">
        <v>27.9</v>
      </c>
      <c r="G294" s="29">
        <v>31.5623046628508</v>
      </c>
    </row>
    <row r="295" spans="1:7">
      <c r="A295" s="24"/>
      <c r="B295" s="27"/>
      <c r="C295" s="27"/>
      <c r="D295" s="27"/>
      <c r="E295" s="27"/>
      <c r="F295" s="28">
        <v>23.9</v>
      </c>
      <c r="G295" s="29">
        <v>25.83516701321</v>
      </c>
    </row>
    <row r="296" spans="1:7">
      <c r="A296" s="24"/>
      <c r="B296" s="27"/>
      <c r="C296" s="27"/>
      <c r="D296" s="27"/>
      <c r="E296" s="27"/>
      <c r="F296" s="28">
        <v>21.7</v>
      </c>
      <c r="G296" s="29">
        <v>24.4098478941929</v>
      </c>
    </row>
    <row r="297" spans="1:7">
      <c r="A297" s="24"/>
      <c r="B297" s="27"/>
      <c r="C297" s="27"/>
      <c r="D297" s="27"/>
      <c r="E297" s="27"/>
      <c r="F297" s="28">
        <v>28.6</v>
      </c>
      <c r="G297" s="29">
        <v>28.4692321619295</v>
      </c>
    </row>
    <row r="298" spans="1:7">
      <c r="A298" s="24"/>
      <c r="B298" s="27"/>
      <c r="C298" s="27"/>
      <c r="D298" s="27"/>
      <c r="E298" s="27"/>
      <c r="F298" s="28">
        <v>27.1</v>
      </c>
      <c r="G298" s="29">
        <v>27.4660597502378</v>
      </c>
    </row>
    <row r="299" spans="1:7">
      <c r="A299" s="24"/>
      <c r="B299" s="27"/>
      <c r="C299" s="27"/>
      <c r="D299" s="27"/>
      <c r="E299" s="27"/>
      <c r="F299" s="28">
        <v>20.3</v>
      </c>
      <c r="G299" s="29">
        <v>19.3335920881269</v>
      </c>
    </row>
    <row r="300" spans="1:7">
      <c r="A300" s="24"/>
      <c r="B300" s="27"/>
      <c r="C300" s="27"/>
      <c r="D300" s="27"/>
      <c r="E300" s="27"/>
      <c r="F300" s="28">
        <v>22.5</v>
      </c>
      <c r="G300" s="29">
        <v>29.4343717727209</v>
      </c>
    </row>
    <row r="301" spans="1:7">
      <c r="A301" s="24"/>
      <c r="B301" s="27"/>
      <c r="C301" s="27"/>
      <c r="D301" s="27"/>
      <c r="E301" s="27"/>
      <c r="F301" s="28">
        <v>29</v>
      </c>
      <c r="G301" s="29">
        <v>31.7998381430467</v>
      </c>
    </row>
    <row r="302" spans="1:7">
      <c r="A302" s="24"/>
      <c r="B302" s="27"/>
      <c r="C302" s="27"/>
      <c r="D302" s="27"/>
      <c r="E302" s="27"/>
      <c r="F302" s="28">
        <v>24.8</v>
      </c>
      <c r="G302" s="29">
        <v>30.8665292850741</v>
      </c>
    </row>
    <row r="303" spans="1:7">
      <c r="A303" s="24"/>
      <c r="B303" s="27"/>
      <c r="C303" s="27"/>
      <c r="D303" s="27"/>
      <c r="E303" s="27"/>
      <c r="F303" s="28">
        <v>22</v>
      </c>
      <c r="G303" s="29">
        <v>29.0505360193736</v>
      </c>
    </row>
    <row r="304" spans="1:7">
      <c r="A304" s="24"/>
      <c r="B304" s="27"/>
      <c r="C304" s="27"/>
      <c r="D304" s="27"/>
      <c r="E304" s="27"/>
      <c r="F304" s="28">
        <v>26.4</v>
      </c>
      <c r="G304" s="29">
        <v>28.8567753596352</v>
      </c>
    </row>
    <row r="305" spans="1:7">
      <c r="A305" s="24"/>
      <c r="B305" s="27"/>
      <c r="C305" s="27"/>
      <c r="D305" s="27"/>
      <c r="E305" s="27"/>
      <c r="F305" s="28">
        <v>33.1</v>
      </c>
      <c r="G305" s="29">
        <v>32.9588999077375</v>
      </c>
    </row>
    <row r="306" spans="1:7">
      <c r="A306" s="24"/>
      <c r="B306" s="27"/>
      <c r="C306" s="27"/>
      <c r="D306" s="27"/>
      <c r="E306" s="27"/>
      <c r="F306" s="28">
        <v>36.1</v>
      </c>
      <c r="G306" s="29">
        <v>32.8641822751782</v>
      </c>
    </row>
    <row r="307" spans="1:7">
      <c r="A307" s="24"/>
      <c r="B307" s="27"/>
      <c r="C307" s="27"/>
      <c r="D307" s="27"/>
      <c r="E307" s="27"/>
      <c r="F307" s="28">
        <v>28.4</v>
      </c>
      <c r="G307" s="29">
        <v>30.8047630874055</v>
      </c>
    </row>
    <row r="308" spans="1:7">
      <c r="A308" s="24"/>
      <c r="B308" s="27"/>
      <c r="C308" s="27"/>
      <c r="D308" s="27"/>
      <c r="E308" s="27"/>
      <c r="F308" s="28">
        <v>33.4</v>
      </c>
      <c r="G308" s="29">
        <v>35.8618019549933</v>
      </c>
    </row>
    <row r="309" spans="1:7">
      <c r="A309" s="24"/>
      <c r="B309" s="27"/>
      <c r="C309" s="27"/>
      <c r="D309" s="27"/>
      <c r="E309" s="27"/>
      <c r="F309" s="28">
        <v>28.2</v>
      </c>
      <c r="G309" s="29">
        <v>32.9571226787574</v>
      </c>
    </row>
    <row r="310" spans="1:7">
      <c r="A310" s="24"/>
      <c r="B310" s="27"/>
      <c r="C310" s="27"/>
      <c r="D310" s="27"/>
      <c r="E310" s="27"/>
      <c r="F310" s="28">
        <v>22.8</v>
      </c>
      <c r="G310" s="29">
        <v>28.2328492690107</v>
      </c>
    </row>
    <row r="311" spans="1:7">
      <c r="A311" s="24"/>
      <c r="B311" s="27"/>
      <c r="C311" s="27"/>
      <c r="D311" s="27"/>
      <c r="E311" s="27"/>
      <c r="F311" s="28">
        <v>20.3</v>
      </c>
      <c r="G311" s="29">
        <v>23.6671502972616</v>
      </c>
    </row>
    <row r="312" spans="1:7">
      <c r="A312" s="24"/>
      <c r="B312" s="27"/>
      <c r="C312" s="27"/>
      <c r="D312" s="27"/>
      <c r="E312" s="27"/>
      <c r="F312" s="28">
        <v>16.1</v>
      </c>
      <c r="G312" s="29">
        <v>18.7433154156326</v>
      </c>
    </row>
    <row r="313" spans="1:7">
      <c r="A313" s="24"/>
      <c r="B313" s="27"/>
      <c r="C313" s="27"/>
      <c r="D313" s="27"/>
      <c r="E313" s="27"/>
      <c r="F313" s="28">
        <v>22.1</v>
      </c>
      <c r="G313" s="29">
        <v>27.026361000015</v>
      </c>
    </row>
    <row r="314" spans="1:7">
      <c r="A314" s="24"/>
      <c r="B314" s="27"/>
      <c r="C314" s="27"/>
      <c r="D314" s="27"/>
      <c r="E314" s="27"/>
      <c r="F314" s="28">
        <v>19.4</v>
      </c>
      <c r="G314" s="29">
        <v>23.3383489904671</v>
      </c>
    </row>
    <row r="315" spans="1:7">
      <c r="A315" s="24"/>
      <c r="B315" s="27"/>
      <c r="C315" s="27"/>
      <c r="D315" s="27"/>
      <c r="E315" s="27"/>
      <c r="F315" s="28">
        <v>21.6</v>
      </c>
      <c r="G315" s="29">
        <v>25.5511008384615</v>
      </c>
    </row>
    <row r="316" spans="1:7">
      <c r="A316" s="24"/>
      <c r="B316" s="27"/>
      <c r="C316" s="27"/>
      <c r="D316" s="27"/>
      <c r="E316" s="27"/>
      <c r="F316" s="28">
        <v>23.8</v>
      </c>
      <c r="G316" s="29">
        <v>25.4813285696272</v>
      </c>
    </row>
    <row r="317" spans="1:7">
      <c r="A317" s="24"/>
      <c r="B317" s="27"/>
      <c r="C317" s="27"/>
      <c r="D317" s="27"/>
      <c r="E317" s="27"/>
      <c r="F317" s="28">
        <v>16.2</v>
      </c>
      <c r="G317" s="29">
        <v>20.7086341120619</v>
      </c>
    </row>
    <row r="318" spans="1:7">
      <c r="A318" s="24"/>
      <c r="B318" s="27"/>
      <c r="C318" s="27"/>
      <c r="D318" s="27"/>
      <c r="E318" s="27"/>
      <c r="F318" s="28">
        <v>17.8</v>
      </c>
      <c r="G318" s="29">
        <v>17.5848081056287</v>
      </c>
    </row>
    <row r="319" spans="1:7">
      <c r="A319" s="24"/>
      <c r="B319" s="27"/>
      <c r="C319" s="27"/>
      <c r="D319" s="27"/>
      <c r="E319" s="27"/>
      <c r="F319" s="28">
        <v>19.8</v>
      </c>
      <c r="G319" s="29">
        <v>18.3452197481539</v>
      </c>
    </row>
    <row r="320" spans="1:7">
      <c r="A320" s="24"/>
      <c r="B320" s="27"/>
      <c r="C320" s="27"/>
      <c r="D320" s="27"/>
      <c r="E320" s="27"/>
      <c r="F320" s="28">
        <v>23.1</v>
      </c>
      <c r="G320" s="29">
        <v>24.3470509324076</v>
      </c>
    </row>
    <row r="321" spans="1:7">
      <c r="A321" s="24"/>
      <c r="B321" s="27"/>
      <c r="C321" s="27"/>
      <c r="D321" s="27"/>
      <c r="E321" s="27"/>
      <c r="F321" s="28">
        <v>21</v>
      </c>
      <c r="G321" s="29">
        <v>21.3623666701603</v>
      </c>
    </row>
    <row r="322" spans="1:7">
      <c r="A322" s="24"/>
      <c r="B322" s="27"/>
      <c r="C322" s="27"/>
      <c r="D322" s="27"/>
      <c r="E322" s="27"/>
      <c r="F322" s="28">
        <v>23.8</v>
      </c>
      <c r="G322" s="29">
        <v>24.8258674027626</v>
      </c>
    </row>
    <row r="323" spans="1:7">
      <c r="A323" s="24"/>
      <c r="B323" s="27"/>
      <c r="C323" s="27"/>
      <c r="D323" s="27"/>
      <c r="E323" s="27"/>
      <c r="F323" s="28">
        <v>23.1</v>
      </c>
      <c r="G323" s="29">
        <v>24.9484768358677</v>
      </c>
    </row>
    <row r="324" spans="1:7">
      <c r="A324" s="24"/>
      <c r="B324" s="27"/>
      <c r="C324" s="27"/>
      <c r="D324" s="27"/>
      <c r="E324" s="27"/>
      <c r="F324" s="28">
        <v>20.4</v>
      </c>
      <c r="G324" s="29">
        <v>22.6098995643832</v>
      </c>
    </row>
    <row r="325" spans="1:7">
      <c r="A325" s="24"/>
      <c r="B325" s="27"/>
      <c r="C325" s="27"/>
      <c r="D325" s="27"/>
      <c r="E325" s="27"/>
      <c r="F325" s="28">
        <v>18.5</v>
      </c>
      <c r="G325" s="29">
        <v>19.6200768292973</v>
      </c>
    </row>
    <row r="326" spans="1:7">
      <c r="A326" s="24"/>
      <c r="B326" s="27"/>
      <c r="C326" s="27"/>
      <c r="D326" s="27"/>
      <c r="E326" s="27"/>
      <c r="F326" s="28">
        <v>25</v>
      </c>
      <c r="G326" s="29">
        <v>25.1678973649264</v>
      </c>
    </row>
    <row r="327" spans="1:7">
      <c r="A327" s="24"/>
      <c r="B327" s="27"/>
      <c r="C327" s="27"/>
      <c r="D327" s="27"/>
      <c r="E327" s="27"/>
      <c r="F327" s="28">
        <v>24.6</v>
      </c>
      <c r="G327" s="29">
        <v>24.702545107427</v>
      </c>
    </row>
    <row r="328" spans="1:7">
      <c r="A328" s="24"/>
      <c r="B328" s="27"/>
      <c r="C328" s="27"/>
      <c r="D328" s="27"/>
      <c r="E328" s="27"/>
      <c r="F328" s="28">
        <v>23</v>
      </c>
      <c r="G328" s="29">
        <v>23.9069549625134</v>
      </c>
    </row>
    <row r="329" spans="1:7">
      <c r="A329" s="24"/>
      <c r="B329" s="27"/>
      <c r="C329" s="27"/>
      <c r="D329" s="27"/>
      <c r="E329" s="27"/>
      <c r="F329" s="28">
        <v>22.2</v>
      </c>
      <c r="G329" s="29">
        <v>19.3911249761917</v>
      </c>
    </row>
    <row r="330" spans="1:7">
      <c r="A330" s="24"/>
      <c r="B330" s="27"/>
      <c r="C330" s="27"/>
      <c r="D330" s="27"/>
      <c r="E330" s="27"/>
      <c r="F330" s="28">
        <v>19.3</v>
      </c>
      <c r="G330" s="29">
        <v>21.2323701599721</v>
      </c>
    </row>
    <row r="331" spans="1:7">
      <c r="A331" s="24"/>
      <c r="B331" s="27"/>
      <c r="C331" s="27"/>
      <c r="D331" s="27"/>
      <c r="E331" s="27"/>
      <c r="F331" s="28">
        <v>22.6</v>
      </c>
      <c r="G331" s="29">
        <v>23.991436687761</v>
      </c>
    </row>
    <row r="332" spans="1:7">
      <c r="A332" s="24"/>
      <c r="B332" s="27"/>
      <c r="C332" s="27"/>
      <c r="D332" s="27"/>
      <c r="E332" s="27"/>
      <c r="F332" s="28">
        <v>19.8</v>
      </c>
      <c r="G332" s="29">
        <v>21.7779415537416</v>
      </c>
    </row>
    <row r="333" spans="1:7">
      <c r="A333" s="24"/>
      <c r="B333" s="27"/>
      <c r="C333" s="27"/>
      <c r="D333" s="27"/>
      <c r="E333" s="27"/>
      <c r="F333" s="28">
        <v>17.1</v>
      </c>
      <c r="G333" s="29">
        <v>20.0110050545066</v>
      </c>
    </row>
    <row r="334" spans="1:7">
      <c r="A334" s="24"/>
      <c r="B334" s="27"/>
      <c r="C334" s="27"/>
      <c r="D334" s="27"/>
      <c r="E334" s="27"/>
      <c r="F334" s="28">
        <v>19.4</v>
      </c>
      <c r="G334" s="29">
        <v>23.2696241942207</v>
      </c>
    </row>
    <row r="335" spans="1:7">
      <c r="A335" s="24"/>
      <c r="B335" s="27"/>
      <c r="C335" s="27"/>
      <c r="D335" s="27"/>
      <c r="E335" s="27"/>
      <c r="F335" s="28">
        <v>22.2</v>
      </c>
      <c r="G335" s="29">
        <v>22.5367056619004</v>
      </c>
    </row>
    <row r="336" spans="1:7">
      <c r="A336" s="24"/>
      <c r="B336" s="27"/>
      <c r="C336" s="27"/>
      <c r="D336" s="27"/>
      <c r="E336" s="27"/>
      <c r="F336" s="28">
        <v>20.7</v>
      </c>
      <c r="G336" s="29">
        <v>21.3297461474218</v>
      </c>
    </row>
    <row r="337" spans="1:7">
      <c r="A337" s="24"/>
      <c r="B337" s="27"/>
      <c r="C337" s="27"/>
      <c r="D337" s="27"/>
      <c r="E337" s="27"/>
      <c r="F337" s="28">
        <v>21.1</v>
      </c>
      <c r="G337" s="29">
        <v>20.5960111369399</v>
      </c>
    </row>
    <row r="338" spans="1:7">
      <c r="A338" s="24"/>
      <c r="B338" s="27"/>
      <c r="C338" s="27"/>
      <c r="D338" s="27"/>
      <c r="E338" s="27"/>
      <c r="F338" s="28">
        <v>19.5</v>
      </c>
      <c r="G338" s="29">
        <v>20.1437525710525</v>
      </c>
    </row>
    <row r="339" spans="1:7">
      <c r="A339" s="24"/>
      <c r="B339" s="27"/>
      <c r="C339" s="27"/>
      <c r="D339" s="27"/>
      <c r="E339" s="27"/>
      <c r="F339" s="28">
        <v>18.5</v>
      </c>
      <c r="G339" s="29">
        <v>19.1892644437874</v>
      </c>
    </row>
    <row r="340" spans="1:7">
      <c r="A340" s="24"/>
      <c r="B340" s="27"/>
      <c r="C340" s="27"/>
      <c r="D340" s="27"/>
      <c r="E340" s="27"/>
      <c r="F340" s="28">
        <v>20.6</v>
      </c>
      <c r="G340" s="29">
        <v>22.6155650323749</v>
      </c>
    </row>
    <row r="341" spans="1:7">
      <c r="A341" s="24"/>
      <c r="B341" s="27"/>
      <c r="C341" s="27"/>
      <c r="D341" s="27"/>
      <c r="E341" s="27"/>
      <c r="F341" s="28">
        <v>19</v>
      </c>
      <c r="G341" s="29">
        <v>21.0945387019931</v>
      </c>
    </row>
    <row r="342" spans="1:7">
      <c r="A342" s="24"/>
      <c r="B342" s="27"/>
      <c r="C342" s="27"/>
      <c r="D342" s="27"/>
      <c r="E342" s="27"/>
      <c r="F342" s="28">
        <v>18.7</v>
      </c>
      <c r="G342" s="29">
        <v>21.2399580487593</v>
      </c>
    </row>
    <row r="343" spans="1:7">
      <c r="A343" s="24"/>
      <c r="B343" s="27"/>
      <c r="C343" s="27"/>
      <c r="D343" s="27"/>
      <c r="E343" s="27"/>
      <c r="F343" s="28">
        <v>32.7</v>
      </c>
      <c r="G343" s="29">
        <v>30.4294322740662</v>
      </c>
    </row>
    <row r="344" spans="1:7">
      <c r="A344" s="24"/>
      <c r="B344" s="27"/>
      <c r="C344" s="27"/>
      <c r="D344" s="27"/>
      <c r="E344" s="27"/>
      <c r="F344" s="28">
        <v>16.5</v>
      </c>
      <c r="G344" s="29">
        <v>22.2589561245728</v>
      </c>
    </row>
    <row r="345" spans="1:7">
      <c r="A345" s="24"/>
      <c r="B345" s="27"/>
      <c r="C345" s="27"/>
      <c r="D345" s="27"/>
      <c r="E345" s="27"/>
      <c r="F345" s="28">
        <v>23.9</v>
      </c>
      <c r="G345" s="29">
        <v>28.0446059156643</v>
      </c>
    </row>
    <row r="346" spans="1:7">
      <c r="A346" s="24"/>
      <c r="B346" s="27"/>
      <c r="C346" s="27"/>
      <c r="D346" s="27"/>
      <c r="E346" s="27"/>
      <c r="F346" s="28">
        <v>31.2</v>
      </c>
      <c r="G346" s="29">
        <v>28.5495724021948</v>
      </c>
    </row>
    <row r="347" spans="1:7">
      <c r="A347" s="24"/>
      <c r="B347" s="27"/>
      <c r="C347" s="27"/>
      <c r="D347" s="27"/>
      <c r="E347" s="27"/>
      <c r="F347" s="28">
        <v>17.5</v>
      </c>
      <c r="G347" s="29">
        <v>16.4778239838354</v>
      </c>
    </row>
    <row r="348" spans="1:7">
      <c r="A348" s="24"/>
      <c r="B348" s="27"/>
      <c r="C348" s="27"/>
      <c r="D348" s="27"/>
      <c r="E348" s="27"/>
      <c r="F348" s="28">
        <v>17.2</v>
      </c>
      <c r="G348" s="29">
        <v>14.6614086228576</v>
      </c>
    </row>
    <row r="349" spans="1:7">
      <c r="A349" s="24"/>
      <c r="B349" s="27"/>
      <c r="C349" s="27"/>
      <c r="D349" s="27"/>
      <c r="E349" s="27"/>
      <c r="F349" s="28">
        <v>23.1</v>
      </c>
      <c r="G349" s="29">
        <v>25.195421943465</v>
      </c>
    </row>
    <row r="350" spans="1:7">
      <c r="A350" s="24"/>
      <c r="B350" s="27"/>
      <c r="C350" s="27"/>
      <c r="D350" s="27"/>
      <c r="E350" s="27"/>
      <c r="F350" s="28">
        <v>24.5</v>
      </c>
      <c r="G350" s="29">
        <v>27.9105653550081</v>
      </c>
    </row>
    <row r="351" spans="1:7">
      <c r="A351" s="24"/>
      <c r="B351" s="27"/>
      <c r="C351" s="27"/>
      <c r="D351" s="27"/>
      <c r="E351" s="27"/>
      <c r="F351" s="28">
        <v>26.6</v>
      </c>
      <c r="G351" s="29">
        <v>21.8167389063863</v>
      </c>
    </row>
    <row r="352" spans="1:7">
      <c r="A352" s="24"/>
      <c r="B352" s="27"/>
      <c r="C352" s="27"/>
      <c r="D352" s="27"/>
      <c r="E352" s="27"/>
      <c r="F352" s="28">
        <v>22.9</v>
      </c>
      <c r="G352" s="29">
        <v>20.3954146875593</v>
      </c>
    </row>
    <row r="353" spans="1:7">
      <c r="A353" s="24"/>
      <c r="B353" s="27"/>
      <c r="C353" s="27"/>
      <c r="D353" s="27"/>
      <c r="E353" s="27"/>
      <c r="F353" s="28">
        <v>24.1</v>
      </c>
      <c r="G353" s="29">
        <v>19.6586346903482</v>
      </c>
    </row>
    <row r="354" spans="1:7">
      <c r="A354" s="24"/>
      <c r="B354" s="27"/>
      <c r="C354" s="27"/>
      <c r="D354" s="27"/>
      <c r="E354" s="27"/>
      <c r="F354" s="28">
        <v>18.6</v>
      </c>
      <c r="G354" s="29">
        <v>16.9966432775419</v>
      </c>
    </row>
    <row r="355" spans="1:7">
      <c r="A355" s="24"/>
      <c r="B355" s="27"/>
      <c r="C355" s="27"/>
      <c r="D355" s="27"/>
      <c r="E355" s="27"/>
      <c r="F355" s="28">
        <v>30.1</v>
      </c>
      <c r="G355" s="29">
        <v>24.2194529348454</v>
      </c>
    </row>
    <row r="356" spans="1:7">
      <c r="A356" s="24"/>
      <c r="B356" s="27"/>
      <c r="C356" s="27"/>
      <c r="D356" s="27"/>
      <c r="E356" s="27"/>
      <c r="F356" s="28">
        <v>18.2</v>
      </c>
      <c r="G356" s="29">
        <v>13.9959006719571</v>
      </c>
    </row>
    <row r="357" spans="1:7">
      <c r="A357" s="24"/>
      <c r="B357" s="27"/>
      <c r="C357" s="27"/>
      <c r="D357" s="27"/>
      <c r="E357" s="27"/>
      <c r="F357" s="28">
        <v>20.6</v>
      </c>
      <c r="G357" s="29">
        <v>16.2885443377314</v>
      </c>
    </row>
    <row r="358" spans="1:7">
      <c r="A358" s="24"/>
      <c r="B358" s="27"/>
      <c r="C358" s="27"/>
      <c r="D358" s="27"/>
      <c r="E358" s="27"/>
      <c r="F358" s="28">
        <v>17.8</v>
      </c>
      <c r="G358" s="29">
        <v>20.000352568194</v>
      </c>
    </row>
    <row r="359" spans="1:7">
      <c r="A359" s="24"/>
      <c r="B359" s="27"/>
      <c r="C359" s="27"/>
      <c r="D359" s="27"/>
      <c r="E359" s="27"/>
      <c r="F359" s="28">
        <v>21.7</v>
      </c>
      <c r="G359" s="29">
        <v>22.8126571599107</v>
      </c>
    </row>
    <row r="360" spans="1:7">
      <c r="A360" s="24"/>
      <c r="B360" s="27"/>
      <c r="C360" s="27"/>
      <c r="D360" s="27"/>
      <c r="E360" s="27"/>
      <c r="F360" s="28">
        <v>22.7</v>
      </c>
      <c r="G360" s="29">
        <v>21.9765820174892</v>
      </c>
    </row>
    <row r="361" spans="1:7">
      <c r="A361" s="24"/>
      <c r="B361" s="27"/>
      <c r="C361" s="27"/>
      <c r="D361" s="27"/>
      <c r="E361" s="27"/>
      <c r="F361" s="28">
        <v>22.6</v>
      </c>
      <c r="G361" s="29">
        <v>19.1152584680418</v>
      </c>
    </row>
    <row r="362" spans="1:7">
      <c r="A362" s="24"/>
      <c r="B362" s="27"/>
      <c r="C362" s="27"/>
      <c r="D362" s="27"/>
      <c r="E362" s="27"/>
      <c r="F362" s="28">
        <v>25</v>
      </c>
      <c r="G362" s="29">
        <v>21.9532237485115</v>
      </c>
    </row>
    <row r="363" spans="1:7">
      <c r="A363" s="24"/>
      <c r="B363" s="27"/>
      <c r="C363" s="27"/>
      <c r="D363" s="27"/>
      <c r="E363" s="27"/>
      <c r="F363" s="28">
        <v>19.9</v>
      </c>
      <c r="G363" s="29">
        <v>18.9134947414507</v>
      </c>
    </row>
    <row r="364" spans="1:7">
      <c r="A364" s="24"/>
      <c r="B364" s="27"/>
      <c r="C364" s="27"/>
      <c r="D364" s="27"/>
      <c r="E364" s="27"/>
      <c r="F364" s="28">
        <v>20.8</v>
      </c>
      <c r="G364" s="29">
        <v>18.2950243679808</v>
      </c>
    </row>
    <row r="365" spans="1:7">
      <c r="A365" s="24"/>
      <c r="B365" s="27"/>
      <c r="C365" s="27"/>
      <c r="D365" s="27"/>
      <c r="E365" s="27"/>
      <c r="F365" s="28">
        <v>16.8</v>
      </c>
      <c r="G365" s="29">
        <v>19.7835144507213</v>
      </c>
    </row>
    <row r="366" spans="1:7">
      <c r="A366" s="24"/>
      <c r="B366" s="27"/>
      <c r="C366" s="27"/>
      <c r="D366" s="27"/>
      <c r="E366" s="27"/>
      <c r="F366" s="28">
        <v>21.9</v>
      </c>
      <c r="G366" s="29">
        <v>38.791582409716</v>
      </c>
    </row>
    <row r="367" spans="1:7">
      <c r="A367" s="24"/>
      <c r="B367" s="27"/>
      <c r="C367" s="27"/>
      <c r="D367" s="27"/>
      <c r="E367" s="27"/>
      <c r="F367" s="28">
        <v>27.5</v>
      </c>
      <c r="G367" s="29">
        <v>15.056338395543</v>
      </c>
    </row>
    <row r="368" spans="1:7">
      <c r="A368" s="24"/>
      <c r="B368" s="27"/>
      <c r="C368" s="27"/>
      <c r="D368" s="27"/>
      <c r="E368" s="27"/>
      <c r="F368" s="28">
        <v>21.9</v>
      </c>
      <c r="G368" s="29">
        <v>15.4852083725764</v>
      </c>
    </row>
    <row r="369" spans="1:7">
      <c r="A369" s="24"/>
      <c r="B369" s="27"/>
      <c r="C369" s="27"/>
      <c r="D369" s="27"/>
      <c r="E369" s="27"/>
      <c r="F369" s="28">
        <v>23.1</v>
      </c>
      <c r="G369" s="29">
        <v>9.98367895303441</v>
      </c>
    </row>
    <row r="370" spans="1:7">
      <c r="A370" s="24"/>
      <c r="B370" s="27"/>
      <c r="C370" s="27"/>
      <c r="D370" s="27"/>
      <c r="E370" s="27"/>
      <c r="F370" s="28">
        <v>50</v>
      </c>
      <c r="G370" s="29">
        <v>21.0038551124924</v>
      </c>
    </row>
    <row r="371" spans="1:7">
      <c r="A371" s="24"/>
      <c r="B371" s="27"/>
      <c r="C371" s="27"/>
      <c r="D371" s="27"/>
      <c r="E371" s="27"/>
      <c r="F371" s="28">
        <v>50</v>
      </c>
      <c r="G371" s="29">
        <v>31.4065451901576</v>
      </c>
    </row>
    <row r="372" spans="1:7">
      <c r="A372" s="24"/>
      <c r="B372" s="27"/>
      <c r="C372" s="27"/>
      <c r="D372" s="27"/>
      <c r="E372" s="27"/>
      <c r="F372" s="28">
        <v>50</v>
      </c>
      <c r="G372" s="29">
        <v>34.7860600465704</v>
      </c>
    </row>
    <row r="373" spans="1:7">
      <c r="A373" s="24"/>
      <c r="B373" s="27"/>
      <c r="C373" s="27"/>
      <c r="D373" s="27"/>
      <c r="E373" s="27"/>
      <c r="F373" s="28">
        <v>50</v>
      </c>
      <c r="G373" s="29">
        <v>24.0290088910623</v>
      </c>
    </row>
    <row r="374" spans="1:7">
      <c r="A374" s="24"/>
      <c r="B374" s="27"/>
      <c r="C374" s="27"/>
      <c r="D374" s="27"/>
      <c r="E374" s="27"/>
      <c r="F374" s="28">
        <v>50</v>
      </c>
      <c r="G374" s="29">
        <v>24.6541187043318</v>
      </c>
    </row>
    <row r="375" spans="1:7">
      <c r="A375" s="24"/>
      <c r="B375" s="27"/>
      <c r="C375" s="27"/>
      <c r="D375" s="27"/>
      <c r="E375" s="27"/>
      <c r="F375" s="28">
        <v>13.8</v>
      </c>
      <c r="G375" s="29">
        <v>5.45801257938969</v>
      </c>
    </row>
    <row r="376" spans="1:7">
      <c r="A376" s="24"/>
      <c r="B376" s="27"/>
      <c r="C376" s="27"/>
      <c r="D376" s="27"/>
      <c r="E376" s="27"/>
      <c r="F376" s="28">
        <v>13.8</v>
      </c>
      <c r="G376" s="29">
        <v>1.06356452608353</v>
      </c>
    </row>
    <row r="377" spans="1:7">
      <c r="A377" s="24"/>
      <c r="B377" s="27"/>
      <c r="C377" s="27"/>
      <c r="D377" s="27"/>
      <c r="E377" s="27"/>
      <c r="F377" s="28">
        <v>15</v>
      </c>
      <c r="G377" s="29">
        <v>25.3080089820843</v>
      </c>
    </row>
    <row r="378" spans="1:7">
      <c r="A378" s="24"/>
      <c r="B378" s="27"/>
      <c r="C378" s="27"/>
      <c r="D378" s="27"/>
      <c r="E378" s="27"/>
      <c r="F378" s="28">
        <v>13.9</v>
      </c>
      <c r="G378" s="29">
        <v>18.0176895143214</v>
      </c>
    </row>
    <row r="379" spans="1:7">
      <c r="A379" s="24"/>
      <c r="B379" s="27"/>
      <c r="C379" s="27"/>
      <c r="D379" s="27"/>
      <c r="E379" s="27"/>
      <c r="F379" s="28">
        <v>13.3</v>
      </c>
      <c r="G379" s="29">
        <v>20.334267632167</v>
      </c>
    </row>
    <row r="380" spans="1:7">
      <c r="A380" s="24"/>
      <c r="B380" s="27"/>
      <c r="C380" s="27"/>
      <c r="D380" s="27"/>
      <c r="E380" s="27"/>
      <c r="F380" s="28">
        <v>13.1</v>
      </c>
      <c r="G380" s="29">
        <v>16.2856780665008</v>
      </c>
    </row>
    <row r="381" spans="1:7">
      <c r="A381" s="24"/>
      <c r="B381" s="27"/>
      <c r="C381" s="27"/>
      <c r="D381" s="27"/>
      <c r="E381" s="27"/>
      <c r="F381" s="28">
        <v>10.2</v>
      </c>
      <c r="G381" s="29">
        <v>16.8901434147333</v>
      </c>
    </row>
    <row r="382" spans="1:7">
      <c r="A382" s="24"/>
      <c r="B382" s="27"/>
      <c r="C382" s="27"/>
      <c r="D382" s="27"/>
      <c r="E382" s="27"/>
      <c r="F382" s="28">
        <v>10.4</v>
      </c>
      <c r="G382" s="29">
        <v>15.716213695184</v>
      </c>
    </row>
    <row r="383" spans="1:7">
      <c r="A383" s="24"/>
      <c r="B383" s="27"/>
      <c r="C383" s="27"/>
      <c r="D383" s="27"/>
      <c r="E383" s="27"/>
      <c r="F383" s="28">
        <v>10.9</v>
      </c>
      <c r="G383" s="29">
        <v>18.5676009298924</v>
      </c>
    </row>
    <row r="384" spans="1:7">
      <c r="A384" s="24"/>
      <c r="B384" s="27"/>
      <c r="C384" s="27"/>
      <c r="D384" s="27"/>
      <c r="E384" s="27"/>
      <c r="F384" s="28">
        <v>11.3</v>
      </c>
      <c r="G384" s="29">
        <v>13.8876421814406</v>
      </c>
    </row>
    <row r="385" spans="1:7">
      <c r="A385" s="24"/>
      <c r="B385" s="27"/>
      <c r="C385" s="27"/>
      <c r="D385" s="27"/>
      <c r="E385" s="27"/>
      <c r="F385" s="28">
        <v>12.3</v>
      </c>
      <c r="G385" s="29">
        <v>12.9297824295658</v>
      </c>
    </row>
    <row r="386" spans="1:7">
      <c r="A386" s="24"/>
      <c r="B386" s="27"/>
      <c r="C386" s="27"/>
      <c r="D386" s="27"/>
      <c r="E386" s="27"/>
      <c r="F386" s="28">
        <v>8.8</v>
      </c>
      <c r="G386" s="29">
        <v>3.0501616172753</v>
      </c>
    </row>
    <row r="387" spans="1:7">
      <c r="A387" s="24"/>
      <c r="B387" s="27"/>
      <c r="C387" s="27"/>
      <c r="D387" s="27"/>
      <c r="E387" s="27"/>
      <c r="F387" s="28">
        <v>7.2</v>
      </c>
      <c r="G387" s="29">
        <v>8.42628145509426</v>
      </c>
    </row>
    <row r="388" spans="1:7">
      <c r="A388" s="24"/>
      <c r="B388" s="27"/>
      <c r="C388" s="27"/>
      <c r="D388" s="27"/>
      <c r="E388" s="27"/>
      <c r="F388" s="28">
        <v>10.5</v>
      </c>
      <c r="G388" s="29">
        <v>6.01726396786261</v>
      </c>
    </row>
    <row r="389" spans="1:7">
      <c r="A389" s="24"/>
      <c r="B389" s="27"/>
      <c r="C389" s="27"/>
      <c r="D389" s="27"/>
      <c r="E389" s="27"/>
      <c r="F389" s="28">
        <v>7.4</v>
      </c>
      <c r="G389" s="29">
        <v>5.15153540084813</v>
      </c>
    </row>
    <row r="390" spans="1:7">
      <c r="A390" s="24"/>
      <c r="B390" s="27"/>
      <c r="C390" s="27"/>
      <c r="D390" s="27"/>
      <c r="E390" s="27"/>
      <c r="F390" s="28">
        <v>10.2</v>
      </c>
      <c r="G390" s="29">
        <v>6.24716103593531</v>
      </c>
    </row>
    <row r="391" spans="1:7">
      <c r="A391" s="24"/>
      <c r="B391" s="27"/>
      <c r="C391" s="27"/>
      <c r="D391" s="27"/>
      <c r="E391" s="27"/>
      <c r="F391" s="28">
        <v>11.5</v>
      </c>
      <c r="G391" s="29">
        <v>14.7990602673289</v>
      </c>
    </row>
    <row r="392" spans="1:7">
      <c r="A392" s="24"/>
      <c r="B392" s="27"/>
      <c r="C392" s="27"/>
      <c r="D392" s="27"/>
      <c r="E392" s="27"/>
      <c r="F392" s="28">
        <v>15.1</v>
      </c>
      <c r="G392" s="29">
        <v>17.7746162237619</v>
      </c>
    </row>
    <row r="393" spans="1:7">
      <c r="A393" s="24"/>
      <c r="B393" s="27"/>
      <c r="C393" s="27"/>
      <c r="D393" s="27"/>
      <c r="E393" s="27"/>
      <c r="F393" s="28">
        <v>23.2</v>
      </c>
      <c r="G393" s="29">
        <v>17.1967888959557</v>
      </c>
    </row>
    <row r="394" spans="1:7">
      <c r="A394" s="24"/>
      <c r="B394" s="27"/>
      <c r="C394" s="27"/>
      <c r="D394" s="27"/>
      <c r="E394" s="27"/>
      <c r="F394" s="28">
        <v>9.7</v>
      </c>
      <c r="G394" s="29">
        <v>9.75453869498326</v>
      </c>
    </row>
    <row r="395" spans="1:7">
      <c r="A395" s="24"/>
      <c r="B395" s="27"/>
      <c r="C395" s="27"/>
      <c r="D395" s="27"/>
      <c r="E395" s="27"/>
      <c r="F395" s="28">
        <v>13.8</v>
      </c>
      <c r="G395" s="29">
        <v>20.2963871821953</v>
      </c>
    </row>
    <row r="396" spans="1:7">
      <c r="A396" s="24"/>
      <c r="B396" s="27"/>
      <c r="C396" s="27"/>
      <c r="D396" s="27"/>
      <c r="E396" s="27"/>
      <c r="F396" s="28">
        <v>12.7</v>
      </c>
      <c r="G396" s="29">
        <v>18.1835239925233</v>
      </c>
    </row>
    <row r="397" spans="1:7">
      <c r="A397" s="24"/>
      <c r="B397" s="27"/>
      <c r="C397" s="27"/>
      <c r="D397" s="27"/>
      <c r="E397" s="27"/>
      <c r="F397" s="28">
        <v>13.1</v>
      </c>
      <c r="G397" s="29">
        <v>20.0436988736618</v>
      </c>
    </row>
    <row r="398" spans="1:7">
      <c r="A398" s="24"/>
      <c r="B398" s="27"/>
      <c r="C398" s="27"/>
      <c r="D398" s="27"/>
      <c r="E398" s="27"/>
      <c r="F398" s="28">
        <v>12.5</v>
      </c>
      <c r="G398" s="29">
        <v>18.9466647232325</v>
      </c>
    </row>
    <row r="399" spans="1:7">
      <c r="A399" s="24"/>
      <c r="B399" s="27"/>
      <c r="C399" s="27"/>
      <c r="D399" s="27"/>
      <c r="E399" s="27"/>
      <c r="F399" s="28">
        <v>8.5</v>
      </c>
      <c r="G399" s="29">
        <v>16.5906839476248</v>
      </c>
    </row>
    <row r="400" spans="1:7">
      <c r="A400" s="24"/>
      <c r="B400" s="27"/>
      <c r="C400" s="27"/>
      <c r="D400" s="27"/>
      <c r="E400" s="27"/>
      <c r="F400" s="28">
        <v>5</v>
      </c>
      <c r="G400" s="29">
        <v>6.48900526849543</v>
      </c>
    </row>
    <row r="401" spans="1:7">
      <c r="A401" s="24"/>
      <c r="B401" s="27"/>
      <c r="C401" s="27"/>
      <c r="D401" s="27"/>
      <c r="E401" s="27"/>
      <c r="F401" s="28">
        <v>6.3</v>
      </c>
      <c r="G401" s="29">
        <v>11.7202778306459</v>
      </c>
    </row>
    <row r="402" spans="1:7">
      <c r="A402" s="24"/>
      <c r="B402" s="27"/>
      <c r="C402" s="27"/>
      <c r="D402" s="27"/>
      <c r="E402" s="27"/>
      <c r="F402" s="28">
        <v>5.6</v>
      </c>
      <c r="G402" s="29">
        <v>11.9004339079058</v>
      </c>
    </row>
    <row r="403" spans="1:7">
      <c r="A403" s="24"/>
      <c r="B403" s="27"/>
      <c r="C403" s="27"/>
      <c r="D403" s="27"/>
      <c r="E403" s="27"/>
      <c r="F403" s="28">
        <v>7.2</v>
      </c>
      <c r="G403" s="29">
        <v>18.0357633521552</v>
      </c>
    </row>
    <row r="404" spans="1:7">
      <c r="A404" s="24"/>
      <c r="B404" s="27"/>
      <c r="C404" s="27"/>
      <c r="D404" s="27"/>
      <c r="E404" s="27"/>
      <c r="F404" s="28">
        <v>12.1</v>
      </c>
      <c r="G404" s="29">
        <v>18.2846185812288</v>
      </c>
    </row>
    <row r="405" spans="1:7">
      <c r="A405" s="24"/>
      <c r="B405" s="27"/>
      <c r="C405" s="27"/>
      <c r="D405" s="27"/>
      <c r="E405" s="27"/>
      <c r="F405" s="28">
        <v>8.3</v>
      </c>
      <c r="G405" s="29">
        <v>12.6778644026123</v>
      </c>
    </row>
    <row r="406" spans="1:7">
      <c r="A406" s="24"/>
      <c r="B406" s="27"/>
      <c r="C406" s="27"/>
      <c r="D406" s="27"/>
      <c r="E406" s="27"/>
      <c r="F406" s="28">
        <v>8.5</v>
      </c>
      <c r="G406" s="29">
        <v>7.25317406434323</v>
      </c>
    </row>
    <row r="407" spans="1:7">
      <c r="A407" s="24"/>
      <c r="B407" s="27"/>
      <c r="C407" s="27"/>
      <c r="D407" s="27"/>
      <c r="E407" s="27"/>
      <c r="F407" s="28">
        <v>5</v>
      </c>
      <c r="G407" s="29">
        <v>8.72454218486358</v>
      </c>
    </row>
    <row r="408" spans="1:7">
      <c r="A408" s="24"/>
      <c r="B408" s="27"/>
      <c r="C408" s="27"/>
      <c r="D408" s="27"/>
      <c r="E408" s="27"/>
      <c r="F408" s="28">
        <v>11.9</v>
      </c>
      <c r="G408" s="29">
        <v>8.16215507548106</v>
      </c>
    </row>
    <row r="409" spans="1:7">
      <c r="A409" s="24"/>
      <c r="B409" s="27"/>
      <c r="C409" s="27"/>
      <c r="D409" s="27"/>
      <c r="E409" s="27"/>
      <c r="F409" s="28">
        <v>27.9</v>
      </c>
      <c r="G409" s="29">
        <v>19.9549379221586</v>
      </c>
    </row>
    <row r="410" spans="1:7">
      <c r="A410" s="24"/>
      <c r="B410" s="27"/>
      <c r="C410" s="27"/>
      <c r="D410" s="27"/>
      <c r="E410" s="27"/>
      <c r="F410" s="28">
        <v>17.2</v>
      </c>
      <c r="G410" s="29">
        <v>13.5709397073136</v>
      </c>
    </row>
    <row r="411" spans="1:7">
      <c r="A411" s="24"/>
      <c r="B411" s="27"/>
      <c r="C411" s="27"/>
      <c r="D411" s="27"/>
      <c r="E411" s="27"/>
      <c r="F411" s="28">
        <v>27.5</v>
      </c>
      <c r="G411" s="29">
        <v>19.9716494393675</v>
      </c>
    </row>
    <row r="412" spans="1:7">
      <c r="A412" s="24"/>
      <c r="B412" s="27"/>
      <c r="C412" s="27"/>
      <c r="D412" s="27"/>
      <c r="E412" s="27"/>
      <c r="F412" s="28">
        <v>15</v>
      </c>
      <c r="G412" s="29">
        <v>13.408242911153</v>
      </c>
    </row>
    <row r="413" spans="1:7">
      <c r="A413" s="24"/>
      <c r="B413" s="27"/>
      <c r="C413" s="27"/>
      <c r="D413" s="27"/>
      <c r="E413" s="27"/>
      <c r="F413" s="28">
        <v>17.2</v>
      </c>
      <c r="G413" s="29">
        <v>17.2234118694051</v>
      </c>
    </row>
    <row r="414" spans="1:7">
      <c r="A414" s="24"/>
      <c r="B414" s="27"/>
      <c r="C414" s="27"/>
      <c r="D414" s="27"/>
      <c r="E414" s="27"/>
      <c r="F414" s="28">
        <v>17.9</v>
      </c>
      <c r="G414" s="29">
        <v>1.30309591573091</v>
      </c>
    </row>
    <row r="415" spans="1:7">
      <c r="A415" s="24"/>
      <c r="B415" s="27"/>
      <c r="C415" s="27"/>
      <c r="D415" s="27"/>
      <c r="E415" s="27"/>
      <c r="F415" s="28">
        <v>16.3</v>
      </c>
      <c r="G415" s="29">
        <v>10.5663537584677</v>
      </c>
    </row>
    <row r="416" spans="1:7">
      <c r="A416" s="24"/>
      <c r="B416" s="27"/>
      <c r="C416" s="27"/>
      <c r="D416" s="27"/>
      <c r="E416" s="27"/>
      <c r="F416" s="28">
        <v>7</v>
      </c>
      <c r="G416" s="29">
        <v>-4.84649241420334</v>
      </c>
    </row>
    <row r="417" spans="1:7">
      <c r="A417" s="24"/>
      <c r="B417" s="27"/>
      <c r="C417" s="27"/>
      <c r="D417" s="27"/>
      <c r="E417" s="27"/>
      <c r="F417" s="28">
        <v>7.2</v>
      </c>
      <c r="G417" s="29">
        <v>9.69056488146248</v>
      </c>
    </row>
    <row r="418" spans="1:7">
      <c r="A418" s="24"/>
      <c r="B418" s="27"/>
      <c r="C418" s="27"/>
      <c r="D418" s="27"/>
      <c r="E418" s="27"/>
      <c r="F418" s="28">
        <v>7.5</v>
      </c>
      <c r="G418" s="29">
        <v>13.7056787999909</v>
      </c>
    </row>
    <row r="419" spans="1:7">
      <c r="A419" s="24"/>
      <c r="B419" s="27"/>
      <c r="C419" s="27"/>
      <c r="D419" s="27"/>
      <c r="E419" s="27"/>
      <c r="F419" s="28">
        <v>10.4</v>
      </c>
      <c r="G419" s="29">
        <v>7.02793627649821</v>
      </c>
    </row>
    <row r="420" spans="1:7">
      <c r="A420" s="24"/>
      <c r="B420" s="27"/>
      <c r="C420" s="27"/>
      <c r="D420" s="27"/>
      <c r="E420" s="27"/>
      <c r="F420" s="28">
        <v>8.8</v>
      </c>
      <c r="G420" s="29">
        <v>5.70303904983544</v>
      </c>
    </row>
    <row r="421" spans="1:7">
      <c r="A421" s="24"/>
      <c r="B421" s="27"/>
      <c r="C421" s="27"/>
      <c r="D421" s="27"/>
      <c r="E421" s="27"/>
      <c r="F421" s="28">
        <v>8.4</v>
      </c>
      <c r="G421" s="29">
        <v>14.5401071441283</v>
      </c>
    </row>
    <row r="422" spans="1:7">
      <c r="A422" s="24"/>
      <c r="B422" s="27"/>
      <c r="C422" s="27"/>
      <c r="D422" s="27"/>
      <c r="E422" s="27"/>
      <c r="F422" s="28">
        <v>16.7</v>
      </c>
      <c r="G422" s="29">
        <v>19.4804603500204</v>
      </c>
    </row>
    <row r="423" spans="1:7">
      <c r="A423" s="24"/>
      <c r="B423" s="27"/>
      <c r="C423" s="27"/>
      <c r="D423" s="27"/>
      <c r="E423" s="27"/>
      <c r="F423" s="28">
        <v>14.2</v>
      </c>
      <c r="G423" s="29">
        <v>18.3264916410871</v>
      </c>
    </row>
    <row r="424" spans="1:7">
      <c r="A424" s="24"/>
      <c r="B424" s="27"/>
      <c r="C424" s="27"/>
      <c r="D424" s="27"/>
      <c r="E424" s="27"/>
      <c r="F424" s="28">
        <v>20.8</v>
      </c>
      <c r="G424" s="29">
        <v>18.7335587275454</v>
      </c>
    </row>
    <row r="425" spans="1:7">
      <c r="A425" s="24"/>
      <c r="B425" s="27"/>
      <c r="C425" s="27"/>
      <c r="D425" s="27"/>
      <c r="E425" s="27"/>
      <c r="F425" s="28">
        <v>13.4</v>
      </c>
      <c r="G425" s="29">
        <v>13.2522214235242</v>
      </c>
    </row>
    <row r="426" spans="1:7">
      <c r="A426" s="24"/>
      <c r="B426" s="27"/>
      <c r="C426" s="27"/>
      <c r="D426" s="27"/>
      <c r="E426" s="27"/>
      <c r="F426" s="28">
        <v>11.7</v>
      </c>
      <c r="G426" s="29">
        <v>15.2808206617761</v>
      </c>
    </row>
    <row r="427" spans="1:7">
      <c r="A427" s="24"/>
      <c r="B427" s="27"/>
      <c r="C427" s="27"/>
      <c r="D427" s="27"/>
      <c r="E427" s="27"/>
      <c r="F427" s="28">
        <v>8.3</v>
      </c>
      <c r="G427" s="29">
        <v>10.0214357834778</v>
      </c>
    </row>
    <row r="428" spans="1:7">
      <c r="A428" s="24"/>
      <c r="B428" s="27"/>
      <c r="C428" s="27"/>
      <c r="D428" s="27"/>
      <c r="E428" s="27"/>
      <c r="F428" s="28">
        <v>10.2</v>
      </c>
      <c r="G428" s="29">
        <v>16.8507927078887</v>
      </c>
    </row>
    <row r="429" spans="1:7">
      <c r="A429" s="24"/>
      <c r="B429" s="27"/>
      <c r="C429" s="27"/>
      <c r="D429" s="27"/>
      <c r="E429" s="27"/>
      <c r="F429" s="28">
        <v>10.9</v>
      </c>
      <c r="G429" s="29">
        <v>13.9586804300414</v>
      </c>
    </row>
    <row r="430" spans="1:7">
      <c r="A430" s="24"/>
      <c r="B430" s="27"/>
      <c r="C430" s="27"/>
      <c r="D430" s="27"/>
      <c r="E430" s="27"/>
      <c r="F430" s="28">
        <v>11</v>
      </c>
      <c r="G430" s="29">
        <v>14.2942304106832</v>
      </c>
    </row>
    <row r="431" spans="1:7">
      <c r="A431" s="24"/>
      <c r="B431" s="27"/>
      <c r="C431" s="27"/>
      <c r="D431" s="27"/>
      <c r="E431" s="27"/>
      <c r="F431" s="28">
        <v>9.5</v>
      </c>
      <c r="G431" s="29">
        <v>13.2272644783454</v>
      </c>
    </row>
    <row r="432" spans="1:7">
      <c r="A432" s="24"/>
      <c r="B432" s="27"/>
      <c r="C432" s="27"/>
      <c r="D432" s="27"/>
      <c r="E432" s="27"/>
      <c r="F432" s="28">
        <v>14.5</v>
      </c>
      <c r="G432" s="29">
        <v>18.3805638246102</v>
      </c>
    </row>
    <row r="433" spans="1:7">
      <c r="A433" s="24"/>
      <c r="B433" s="27"/>
      <c r="C433" s="27"/>
      <c r="D433" s="27"/>
      <c r="E433" s="27"/>
      <c r="F433" s="28">
        <v>14.1</v>
      </c>
      <c r="G433" s="29">
        <v>18.5483883061272</v>
      </c>
    </row>
    <row r="434" spans="1:7">
      <c r="A434" s="24"/>
      <c r="B434" s="27"/>
      <c r="C434" s="27"/>
      <c r="D434" s="27"/>
      <c r="E434" s="27"/>
      <c r="F434" s="28">
        <v>16.1</v>
      </c>
      <c r="G434" s="29">
        <v>21.5797704497207</v>
      </c>
    </row>
    <row r="435" spans="1:7">
      <c r="A435" s="24"/>
      <c r="B435" s="27"/>
      <c r="C435" s="27"/>
      <c r="D435" s="27"/>
      <c r="E435" s="27"/>
      <c r="F435" s="28">
        <v>14.3</v>
      </c>
      <c r="G435" s="29">
        <v>16.7597698323138</v>
      </c>
    </row>
    <row r="436" spans="1:7">
      <c r="A436" s="24"/>
      <c r="B436" s="27"/>
      <c r="C436" s="27"/>
      <c r="D436" s="27"/>
      <c r="E436" s="27"/>
      <c r="F436" s="28">
        <v>11.7</v>
      </c>
      <c r="G436" s="29">
        <v>16.0617808432847</v>
      </c>
    </row>
    <row r="437" spans="1:7">
      <c r="A437" s="24"/>
      <c r="B437" s="27"/>
      <c r="C437" s="27"/>
      <c r="D437" s="27"/>
      <c r="E437" s="27"/>
      <c r="F437" s="28">
        <v>13.4</v>
      </c>
      <c r="G437" s="29">
        <v>13.1717741390925</v>
      </c>
    </row>
    <row r="438" spans="1:7">
      <c r="A438" s="24"/>
      <c r="B438" s="27"/>
      <c r="C438" s="27"/>
      <c r="D438" s="27"/>
      <c r="E438" s="27"/>
      <c r="F438" s="28">
        <v>9.6</v>
      </c>
      <c r="G438" s="29">
        <v>14.7233315309638</v>
      </c>
    </row>
    <row r="439" spans="1:7">
      <c r="A439" s="24"/>
      <c r="B439" s="27"/>
      <c r="C439" s="27"/>
      <c r="D439" s="27"/>
      <c r="E439" s="27"/>
      <c r="F439" s="28">
        <v>8.7</v>
      </c>
      <c r="G439" s="29">
        <v>8.88255025596944</v>
      </c>
    </row>
    <row r="440" spans="1:7">
      <c r="A440" s="24"/>
      <c r="B440" s="27"/>
      <c r="C440" s="27"/>
      <c r="D440" s="27"/>
      <c r="E440" s="27"/>
      <c r="F440" s="28">
        <v>8.4</v>
      </c>
      <c r="G440" s="29">
        <v>4.41506850214064</v>
      </c>
    </row>
    <row r="441" spans="1:7">
      <c r="A441" s="24"/>
      <c r="B441" s="27"/>
      <c r="C441" s="27"/>
      <c r="D441" s="27"/>
      <c r="E441" s="27"/>
      <c r="F441" s="28">
        <v>12.8</v>
      </c>
      <c r="G441" s="29">
        <v>12.9092122724776</v>
      </c>
    </row>
    <row r="442" spans="1:7">
      <c r="A442" s="24"/>
      <c r="B442" s="27"/>
      <c r="C442" s="27"/>
      <c r="D442" s="27"/>
      <c r="E442" s="27"/>
      <c r="F442" s="28">
        <v>10.5</v>
      </c>
      <c r="G442" s="29">
        <v>12.8343809178865</v>
      </c>
    </row>
    <row r="443" spans="1:7">
      <c r="A443" s="24"/>
      <c r="B443" s="27"/>
      <c r="C443" s="27"/>
      <c r="D443" s="27"/>
      <c r="E443" s="27"/>
      <c r="F443" s="28">
        <v>17.1</v>
      </c>
      <c r="G443" s="29">
        <v>17.0141261855538</v>
      </c>
    </row>
    <row r="444" spans="1:7">
      <c r="A444" s="24"/>
      <c r="B444" s="27"/>
      <c r="C444" s="27"/>
      <c r="D444" s="27"/>
      <c r="E444" s="27"/>
      <c r="F444" s="28">
        <v>18.4</v>
      </c>
      <c r="G444" s="29">
        <v>18.7688449273882</v>
      </c>
    </row>
    <row r="445" spans="1:7">
      <c r="A445" s="24"/>
      <c r="B445" s="27"/>
      <c r="C445" s="27"/>
      <c r="D445" s="27"/>
      <c r="E445" s="27"/>
      <c r="F445" s="28">
        <v>15.4</v>
      </c>
      <c r="G445" s="29">
        <v>18.0003962323627</v>
      </c>
    </row>
    <row r="446" spans="1:7">
      <c r="A446" s="24"/>
      <c r="B446" s="27"/>
      <c r="C446" s="27"/>
      <c r="D446" s="27"/>
      <c r="E446" s="27"/>
      <c r="F446" s="28">
        <v>10.8</v>
      </c>
      <c r="G446" s="29">
        <v>11.4765184083715</v>
      </c>
    </row>
    <row r="447" spans="1:7">
      <c r="A447" s="24"/>
      <c r="B447" s="27"/>
      <c r="C447" s="27"/>
      <c r="D447" s="27"/>
      <c r="E447" s="27"/>
      <c r="F447" s="28">
        <v>11.8</v>
      </c>
      <c r="G447" s="29">
        <v>12.0183096939608</v>
      </c>
    </row>
    <row r="448" spans="1:7">
      <c r="A448" s="24"/>
      <c r="B448" s="27"/>
      <c r="C448" s="27"/>
      <c r="D448" s="27"/>
      <c r="E448" s="27"/>
      <c r="F448" s="28">
        <v>14.9</v>
      </c>
      <c r="G448" s="29">
        <v>17.6986520715048</v>
      </c>
    </row>
    <row r="449" spans="1:7">
      <c r="A449" s="24"/>
      <c r="B449" s="27"/>
      <c r="C449" s="27"/>
      <c r="D449" s="27"/>
      <c r="E449" s="27"/>
      <c r="F449" s="28">
        <v>12.6</v>
      </c>
      <c r="G449" s="29">
        <v>18.3413729358227</v>
      </c>
    </row>
    <row r="450" spans="1:7">
      <c r="A450" s="24"/>
      <c r="B450" s="27"/>
      <c r="C450" s="27"/>
      <c r="D450" s="27"/>
      <c r="E450" s="27"/>
      <c r="F450" s="28">
        <v>14.1</v>
      </c>
      <c r="G450" s="29">
        <v>17.4010054609336</v>
      </c>
    </row>
    <row r="451" spans="1:7">
      <c r="A451" s="24"/>
      <c r="B451" s="27"/>
      <c r="C451" s="27"/>
      <c r="D451" s="27"/>
      <c r="E451" s="27"/>
      <c r="F451" s="28">
        <v>13</v>
      </c>
      <c r="G451" s="29">
        <v>17.2904950431273</v>
      </c>
    </row>
    <row r="452" spans="1:7">
      <c r="A452" s="24"/>
      <c r="B452" s="27"/>
      <c r="C452" s="27"/>
      <c r="D452" s="27"/>
      <c r="E452" s="27"/>
      <c r="F452" s="28">
        <v>13.4</v>
      </c>
      <c r="G452" s="29">
        <v>16.6977880326473</v>
      </c>
    </row>
    <row r="453" spans="1:7">
      <c r="A453" s="24"/>
      <c r="B453" s="27"/>
      <c r="C453" s="27"/>
      <c r="D453" s="27"/>
      <c r="E453" s="27"/>
      <c r="F453" s="28">
        <v>15.2</v>
      </c>
      <c r="G453" s="29">
        <v>19.8979162312244</v>
      </c>
    </row>
    <row r="454" spans="1:7">
      <c r="A454" s="24"/>
      <c r="B454" s="27"/>
      <c r="C454" s="27"/>
      <c r="D454" s="27"/>
      <c r="E454" s="27"/>
      <c r="F454" s="28">
        <v>16.1</v>
      </c>
      <c r="G454" s="29">
        <v>18.2068499968861</v>
      </c>
    </row>
    <row r="455" spans="1:7">
      <c r="A455" s="24"/>
      <c r="B455" s="27"/>
      <c r="C455" s="27"/>
      <c r="D455" s="27"/>
      <c r="E455" s="27"/>
      <c r="F455" s="28">
        <v>17.8</v>
      </c>
      <c r="G455" s="29">
        <v>23.5618409580939</v>
      </c>
    </row>
    <row r="456" spans="1:7">
      <c r="A456" s="24"/>
      <c r="B456" s="27"/>
      <c r="C456" s="27"/>
      <c r="D456" s="27"/>
      <c r="E456" s="27"/>
      <c r="F456" s="28">
        <v>14.9</v>
      </c>
      <c r="G456" s="29">
        <v>15.3026882158772</v>
      </c>
    </row>
    <row r="457" spans="1:7">
      <c r="A457" s="24"/>
      <c r="B457" s="27"/>
      <c r="C457" s="27"/>
      <c r="D457" s="27"/>
      <c r="E457" s="27"/>
      <c r="F457" s="28">
        <v>14.1</v>
      </c>
      <c r="G457" s="29">
        <v>15.9524592658525</v>
      </c>
    </row>
    <row r="458" spans="1:7">
      <c r="A458" s="24"/>
      <c r="B458" s="27"/>
      <c r="C458" s="27"/>
      <c r="D458" s="27"/>
      <c r="E458" s="27"/>
      <c r="F458" s="28">
        <v>12.7</v>
      </c>
      <c r="G458" s="29">
        <v>12.3319519285691</v>
      </c>
    </row>
    <row r="459" spans="1:7">
      <c r="A459" s="24"/>
      <c r="B459" s="27"/>
      <c r="C459" s="27"/>
      <c r="D459" s="27"/>
      <c r="E459" s="27"/>
      <c r="F459" s="28">
        <v>13.5</v>
      </c>
      <c r="G459" s="29">
        <v>12.5179549165627</v>
      </c>
    </row>
    <row r="460" spans="1:7">
      <c r="A460" s="24"/>
      <c r="B460" s="27"/>
      <c r="C460" s="27"/>
      <c r="D460" s="27"/>
      <c r="E460" s="27"/>
      <c r="F460" s="28">
        <v>14.9</v>
      </c>
      <c r="G460" s="29">
        <v>17.2624342709599</v>
      </c>
    </row>
    <row r="461" spans="1:7">
      <c r="A461" s="24"/>
      <c r="B461" s="27"/>
      <c r="C461" s="27"/>
      <c r="D461" s="27"/>
      <c r="E461" s="27"/>
      <c r="F461" s="28">
        <v>20</v>
      </c>
      <c r="G461" s="29">
        <v>18.4659810502792</v>
      </c>
    </row>
    <row r="462" spans="1:7">
      <c r="A462" s="24"/>
      <c r="B462" s="27"/>
      <c r="C462" s="27"/>
      <c r="D462" s="27"/>
      <c r="E462" s="27"/>
      <c r="F462" s="28">
        <v>16.4</v>
      </c>
      <c r="G462" s="29">
        <v>18.9747912661292</v>
      </c>
    </row>
    <row r="463" spans="1:7">
      <c r="A463" s="24"/>
      <c r="B463" s="27"/>
      <c r="C463" s="27"/>
      <c r="D463" s="27"/>
      <c r="E463" s="27"/>
      <c r="F463" s="28">
        <v>17.7</v>
      </c>
      <c r="G463" s="29">
        <v>20.5590154700215</v>
      </c>
    </row>
    <row r="464" spans="1:7">
      <c r="A464" s="24"/>
      <c r="B464" s="27"/>
      <c r="C464" s="27"/>
      <c r="D464" s="27"/>
      <c r="E464" s="27"/>
      <c r="F464" s="28">
        <v>19.5</v>
      </c>
      <c r="G464" s="29">
        <v>20.2150279219124</v>
      </c>
    </row>
    <row r="465" spans="1:7">
      <c r="A465" s="24"/>
      <c r="B465" s="27"/>
      <c r="C465" s="27"/>
      <c r="D465" s="27"/>
      <c r="E465" s="27"/>
      <c r="F465" s="28">
        <v>20.2</v>
      </c>
      <c r="G465" s="29">
        <v>22.5313560849323</v>
      </c>
    </row>
    <row r="466" spans="1:7">
      <c r="A466" s="24"/>
      <c r="B466" s="27"/>
      <c r="C466" s="27"/>
      <c r="D466" s="27"/>
      <c r="E466" s="27"/>
      <c r="F466" s="28">
        <v>21.4</v>
      </c>
      <c r="G466" s="29">
        <v>20.2389810684101</v>
      </c>
    </row>
    <row r="467" spans="1:7">
      <c r="A467" s="24"/>
      <c r="B467" s="27"/>
      <c r="C467" s="27"/>
      <c r="D467" s="27"/>
      <c r="E467" s="27"/>
      <c r="F467" s="28">
        <v>19.9</v>
      </c>
      <c r="G467" s="29">
        <v>17.5636556660801</v>
      </c>
    </row>
    <row r="468" spans="1:7">
      <c r="A468" s="24"/>
      <c r="B468" s="27"/>
      <c r="C468" s="27"/>
      <c r="D468" s="27"/>
      <c r="E468" s="27"/>
      <c r="F468" s="28">
        <v>19</v>
      </c>
      <c r="G468" s="29">
        <v>14.3289200539107</v>
      </c>
    </row>
    <row r="469" spans="1:7">
      <c r="A469" s="24"/>
      <c r="B469" s="27"/>
      <c r="C469" s="27"/>
      <c r="D469" s="27"/>
      <c r="E469" s="27"/>
      <c r="F469" s="28">
        <v>19.1</v>
      </c>
      <c r="G469" s="29">
        <v>16.9532790724392</v>
      </c>
    </row>
    <row r="470" spans="1:7">
      <c r="A470" s="24"/>
      <c r="B470" s="27"/>
      <c r="C470" s="27"/>
      <c r="D470" s="27"/>
      <c r="E470" s="27"/>
      <c r="F470" s="28">
        <v>19.1</v>
      </c>
      <c r="G470" s="29">
        <v>17.1771672122013</v>
      </c>
    </row>
    <row r="471" spans="1:7">
      <c r="A471" s="24"/>
      <c r="B471" s="27"/>
      <c r="C471" s="27"/>
      <c r="D471" s="27"/>
      <c r="E471" s="27"/>
      <c r="F471" s="28">
        <v>20.1</v>
      </c>
      <c r="G471" s="29">
        <v>18.8666539115077</v>
      </c>
    </row>
    <row r="472" spans="1:7">
      <c r="A472" s="24"/>
      <c r="B472" s="27"/>
      <c r="C472" s="27"/>
      <c r="D472" s="27"/>
      <c r="E472" s="27"/>
      <c r="F472" s="28">
        <v>19.9</v>
      </c>
      <c r="G472" s="29">
        <v>20.0006582616389</v>
      </c>
    </row>
    <row r="473" spans="1:7">
      <c r="A473" s="24"/>
      <c r="B473" s="27"/>
      <c r="C473" s="27"/>
      <c r="D473" s="27"/>
      <c r="E473" s="27"/>
      <c r="F473" s="28">
        <v>19.6</v>
      </c>
      <c r="G473" s="29">
        <v>22.3987500390609</v>
      </c>
    </row>
    <row r="474" spans="1:7">
      <c r="A474" s="24"/>
      <c r="B474" s="27"/>
      <c r="C474" s="27"/>
      <c r="D474" s="27"/>
      <c r="E474" s="27"/>
      <c r="F474" s="28">
        <v>23.2</v>
      </c>
      <c r="G474" s="29">
        <v>22.6279310870255</v>
      </c>
    </row>
    <row r="475" spans="1:7">
      <c r="A475" s="24"/>
      <c r="B475" s="27"/>
      <c r="C475" s="27"/>
      <c r="D475" s="27"/>
      <c r="E475" s="27"/>
      <c r="F475" s="28">
        <v>29.8</v>
      </c>
      <c r="G475" s="29">
        <v>25.3366058953585</v>
      </c>
    </row>
    <row r="476" spans="1:7">
      <c r="A476" s="24"/>
      <c r="B476" s="27"/>
      <c r="C476" s="27"/>
      <c r="D476" s="27"/>
      <c r="E476" s="27"/>
      <c r="F476" s="28">
        <v>13.8</v>
      </c>
      <c r="G476" s="29">
        <v>16.8503284922451</v>
      </c>
    </row>
    <row r="477" spans="1:7">
      <c r="A477" s="24"/>
      <c r="B477" s="27"/>
      <c r="C477" s="27"/>
      <c r="D477" s="27"/>
      <c r="E477" s="27"/>
      <c r="F477" s="28">
        <v>13.3</v>
      </c>
      <c r="G477" s="29">
        <v>16.3705093389913</v>
      </c>
    </row>
    <row r="478" spans="1:7">
      <c r="A478" s="24"/>
      <c r="B478" s="27"/>
      <c r="C478" s="27"/>
      <c r="D478" s="27"/>
      <c r="E478" s="27"/>
      <c r="F478" s="28">
        <v>16.7</v>
      </c>
      <c r="G478" s="29">
        <v>20.7734432841692</v>
      </c>
    </row>
    <row r="479" spans="1:7">
      <c r="A479" s="24"/>
      <c r="B479" s="27"/>
      <c r="C479" s="27"/>
      <c r="D479" s="27"/>
      <c r="E479" s="27"/>
      <c r="F479" s="28">
        <v>12</v>
      </c>
      <c r="G479" s="29">
        <v>11.4517508407079</v>
      </c>
    </row>
    <row r="480" spans="1:7">
      <c r="A480" s="24"/>
      <c r="B480" s="27"/>
      <c r="C480" s="27"/>
      <c r="D480" s="27"/>
      <c r="E480" s="27"/>
      <c r="F480" s="28">
        <v>14.6</v>
      </c>
      <c r="G480" s="29">
        <v>19.3100733199754</v>
      </c>
    </row>
    <row r="481" spans="1:7">
      <c r="A481" s="24"/>
      <c r="B481" s="27"/>
      <c r="C481" s="27"/>
      <c r="D481" s="27"/>
      <c r="E481" s="27"/>
      <c r="F481" s="28">
        <v>21.4</v>
      </c>
      <c r="G481" s="29">
        <v>21.8549188261556</v>
      </c>
    </row>
    <row r="482" spans="1:7">
      <c r="A482" s="24"/>
      <c r="B482" s="27"/>
      <c r="C482" s="27"/>
      <c r="D482" s="27"/>
      <c r="E482" s="27"/>
      <c r="F482" s="28">
        <v>23</v>
      </c>
      <c r="G482" s="29">
        <v>22.9792295382491</v>
      </c>
    </row>
    <row r="483" spans="1:7">
      <c r="A483" s="24"/>
      <c r="B483" s="27"/>
      <c r="C483" s="27"/>
      <c r="D483" s="27"/>
      <c r="E483" s="27"/>
      <c r="F483" s="28">
        <v>23.7</v>
      </c>
      <c r="G483" s="29">
        <v>27.44014830814</v>
      </c>
    </row>
    <row r="484" spans="1:7">
      <c r="A484" s="24"/>
      <c r="B484" s="27"/>
      <c r="C484" s="27"/>
      <c r="D484" s="27"/>
      <c r="E484" s="27"/>
      <c r="F484" s="28">
        <v>25</v>
      </c>
      <c r="G484" s="29">
        <v>28.8675918341397</v>
      </c>
    </row>
    <row r="485" spans="1:7">
      <c r="A485" s="24"/>
      <c r="B485" s="27"/>
      <c r="C485" s="27"/>
      <c r="D485" s="27"/>
      <c r="E485" s="27"/>
      <c r="F485" s="28">
        <v>21.8</v>
      </c>
      <c r="G485" s="29">
        <v>21.502757249917</v>
      </c>
    </row>
    <row r="486" spans="1:7">
      <c r="A486" s="24"/>
      <c r="B486" s="27"/>
      <c r="C486" s="27"/>
      <c r="D486" s="27"/>
      <c r="E486" s="27"/>
      <c r="F486" s="28">
        <v>20.6</v>
      </c>
      <c r="G486" s="29">
        <v>19.7324841863838</v>
      </c>
    </row>
    <row r="487" spans="1:7">
      <c r="A487" s="24"/>
      <c r="B487" s="27"/>
      <c r="C487" s="27"/>
      <c r="D487" s="27"/>
      <c r="E487" s="27"/>
      <c r="F487" s="28">
        <v>21.2</v>
      </c>
      <c r="G487" s="29">
        <v>22.4773852753625</v>
      </c>
    </row>
    <row r="488" spans="1:7">
      <c r="A488" s="24"/>
      <c r="B488" s="27"/>
      <c r="C488" s="27"/>
      <c r="D488" s="27"/>
      <c r="E488" s="27"/>
      <c r="F488" s="28">
        <v>19.1</v>
      </c>
      <c r="G488" s="29">
        <v>19.4858135771454</v>
      </c>
    </row>
    <row r="489" spans="1:7">
      <c r="A489" s="24"/>
      <c r="B489" s="27"/>
      <c r="C489" s="27"/>
      <c r="D489" s="27"/>
      <c r="E489" s="27"/>
      <c r="F489" s="28">
        <v>20.6</v>
      </c>
      <c r="G489" s="29">
        <v>21.3940467104887</v>
      </c>
    </row>
    <row r="490" spans="1:7">
      <c r="A490" s="24"/>
      <c r="B490" s="27"/>
      <c r="C490" s="27"/>
      <c r="D490" s="27"/>
      <c r="E490" s="27"/>
      <c r="F490" s="28">
        <v>15.2</v>
      </c>
      <c r="G490" s="29">
        <v>11.4652809067073</v>
      </c>
    </row>
    <row r="491" spans="1:7">
      <c r="A491" s="24"/>
      <c r="B491" s="27"/>
      <c r="C491" s="27"/>
      <c r="D491" s="27"/>
      <c r="E491" s="27"/>
      <c r="F491" s="28">
        <v>7</v>
      </c>
      <c r="G491" s="29">
        <v>8.45813633316532</v>
      </c>
    </row>
    <row r="492" spans="1:7">
      <c r="A492" s="24"/>
      <c r="B492" s="27"/>
      <c r="C492" s="27"/>
      <c r="D492" s="27"/>
      <c r="E492" s="27"/>
      <c r="F492" s="28">
        <v>8.1</v>
      </c>
      <c r="G492" s="29">
        <v>2.93493030303092</v>
      </c>
    </row>
    <row r="493" spans="1:7">
      <c r="A493" s="24"/>
      <c r="B493" s="27"/>
      <c r="C493" s="27"/>
      <c r="D493" s="27"/>
      <c r="E493" s="27"/>
      <c r="F493" s="28">
        <v>13.6</v>
      </c>
      <c r="G493" s="29">
        <v>13.9181569261472</v>
      </c>
    </row>
    <row r="494" spans="1:7">
      <c r="A494" s="24"/>
      <c r="B494" s="27"/>
      <c r="C494" s="27"/>
      <c r="D494" s="27"/>
      <c r="E494" s="27"/>
      <c r="F494" s="28">
        <v>20.1</v>
      </c>
      <c r="G494" s="29">
        <v>15.5854458320727</v>
      </c>
    </row>
    <row r="495" spans="1:7">
      <c r="A495" s="24"/>
      <c r="B495" s="27"/>
      <c r="C495" s="27"/>
      <c r="D495" s="27"/>
      <c r="E495" s="27"/>
      <c r="F495" s="28">
        <v>21.8</v>
      </c>
      <c r="G495" s="29">
        <v>20.4438837986696</v>
      </c>
    </row>
    <row r="496" spans="1:7">
      <c r="A496" s="24"/>
      <c r="B496" s="27"/>
      <c r="C496" s="27"/>
      <c r="D496" s="27"/>
      <c r="E496" s="27"/>
      <c r="F496" s="28">
        <v>24.5</v>
      </c>
      <c r="G496" s="29">
        <v>20.6316044156813</v>
      </c>
    </row>
    <row r="497" spans="1:7">
      <c r="A497" s="24"/>
      <c r="B497" s="27"/>
      <c r="C497" s="27"/>
      <c r="D497" s="27"/>
      <c r="E497" s="27"/>
      <c r="F497" s="28">
        <v>23.1</v>
      </c>
      <c r="G497" s="29">
        <v>15.9877966750176</v>
      </c>
    </row>
    <row r="498" spans="1:7">
      <c r="A498" s="24"/>
      <c r="B498" s="27"/>
      <c r="C498" s="27"/>
      <c r="D498" s="27"/>
      <c r="E498" s="27"/>
      <c r="F498" s="28">
        <v>19.7</v>
      </c>
      <c r="G498" s="29">
        <v>13.8883837746546</v>
      </c>
    </row>
    <row r="499" spans="1:7">
      <c r="A499" s="24"/>
      <c r="B499" s="27"/>
      <c r="C499" s="27"/>
      <c r="D499" s="27"/>
      <c r="E499" s="27"/>
      <c r="F499" s="28">
        <v>18.3</v>
      </c>
      <c r="G499" s="29">
        <v>19.0842021746211</v>
      </c>
    </row>
    <row r="500" spans="1:7">
      <c r="A500" s="24"/>
      <c r="B500" s="27"/>
      <c r="C500" s="27"/>
      <c r="D500" s="27"/>
      <c r="E500" s="27"/>
      <c r="F500" s="28">
        <v>21.2</v>
      </c>
      <c r="G500" s="29">
        <v>21.2572278612131</v>
      </c>
    </row>
    <row r="501" spans="1:7">
      <c r="A501" s="24"/>
      <c r="B501" s="27"/>
      <c r="C501" s="27"/>
      <c r="D501" s="27"/>
      <c r="E501" s="27"/>
      <c r="F501" s="28">
        <v>17.5</v>
      </c>
      <c r="G501" s="29">
        <v>18.7405000047</v>
      </c>
    </row>
    <row r="502" spans="1:7">
      <c r="A502" s="24"/>
      <c r="B502" s="27"/>
      <c r="C502" s="27"/>
      <c r="D502" s="27"/>
      <c r="E502" s="27"/>
      <c r="F502" s="28">
        <v>16.8</v>
      </c>
      <c r="G502" s="29">
        <v>20.6386347302579</v>
      </c>
    </row>
    <row r="503" spans="1:7">
      <c r="A503" s="24"/>
      <c r="B503" s="27"/>
      <c r="C503" s="27"/>
      <c r="D503" s="27"/>
      <c r="E503" s="27"/>
      <c r="F503" s="28">
        <v>22.4</v>
      </c>
      <c r="G503" s="29">
        <v>23.2944585190874</v>
      </c>
    </row>
    <row r="504" spans="1:7">
      <c r="A504" s="24"/>
      <c r="B504" s="27"/>
      <c r="C504" s="27"/>
      <c r="D504" s="27"/>
      <c r="E504" s="27"/>
      <c r="F504" s="28">
        <v>20.6</v>
      </c>
      <c r="G504" s="29">
        <v>22.5347044499734</v>
      </c>
    </row>
    <row r="505" spans="1:7">
      <c r="A505" s="24"/>
      <c r="B505" s="27"/>
      <c r="C505" s="27"/>
      <c r="D505" s="27"/>
      <c r="E505" s="27"/>
      <c r="F505" s="28">
        <v>23.9</v>
      </c>
      <c r="G505" s="29">
        <v>27.856302877811</v>
      </c>
    </row>
    <row r="506" spans="1:7">
      <c r="A506" s="24"/>
      <c r="B506" s="27"/>
      <c r="C506" s="27"/>
      <c r="D506" s="27"/>
      <c r="E506" s="27"/>
      <c r="F506" s="28">
        <v>22</v>
      </c>
      <c r="G506" s="29">
        <v>26.3076745469473</v>
      </c>
    </row>
    <row r="507" spans="1:7">
      <c r="A507" s="24"/>
      <c r="B507" s="27"/>
      <c r="C507" s="27"/>
      <c r="D507" s="27"/>
      <c r="E507" s="27"/>
      <c r="F507" s="28">
        <v>11.9</v>
      </c>
      <c r="G507" s="29">
        <v>22.7101643327546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9"/>
  <sheetViews>
    <sheetView workbookViewId="0">
      <selection activeCell="I34" sqref="I34"/>
    </sheetView>
  </sheetViews>
  <sheetFormatPr defaultColWidth="9" defaultRowHeight="13.5" outlineLevelCol="2"/>
  <cols>
    <col min="1" max="1" width="3" customWidth="1"/>
    <col min="2" max="2" width="64.375" customWidth="1"/>
    <col min="3" max="3" width="25.375" customWidth="1"/>
  </cols>
  <sheetData>
    <row r="2" spans="1:3">
      <c r="A2" s="2"/>
      <c r="B2" s="21" t="s">
        <v>54</v>
      </c>
      <c r="C2" s="21" t="s">
        <v>55</v>
      </c>
    </row>
    <row r="3" spans="1:3">
      <c r="A3" s="2">
        <v>1</v>
      </c>
      <c r="B3" s="2" t="s">
        <v>56</v>
      </c>
      <c r="C3" s="22" t="s">
        <v>57</v>
      </c>
    </row>
    <row r="4" spans="1:3">
      <c r="A4" s="2">
        <v>2</v>
      </c>
      <c r="B4" s="2" t="s">
        <v>58</v>
      </c>
      <c r="C4" s="22" t="s">
        <v>59</v>
      </c>
    </row>
    <row r="5" spans="1:3">
      <c r="A5" s="2">
        <v>3</v>
      </c>
      <c r="B5" s="2" t="s">
        <v>60</v>
      </c>
      <c r="C5" s="22" t="s">
        <v>61</v>
      </c>
    </row>
    <row r="6" spans="1:3">
      <c r="A6" s="2">
        <v>4</v>
      </c>
      <c r="B6" s="21" t="s">
        <v>62</v>
      </c>
      <c r="C6" s="22" t="s">
        <v>63</v>
      </c>
    </row>
    <row r="7" spans="1:3">
      <c r="A7" s="2">
        <v>5</v>
      </c>
      <c r="B7" s="21" t="s">
        <v>64</v>
      </c>
      <c r="C7" s="22" t="s">
        <v>65</v>
      </c>
    </row>
    <row r="11" spans="1:1">
      <c r="A11" t="s">
        <v>66</v>
      </c>
    </row>
    <row r="12" spans="1:3">
      <c r="A12" s="2"/>
      <c r="B12" s="21" t="s">
        <v>54</v>
      </c>
      <c r="C12" s="21" t="s">
        <v>55</v>
      </c>
    </row>
    <row r="13" spans="1:3">
      <c r="A13" s="2">
        <v>1</v>
      </c>
      <c r="B13" s="2"/>
      <c r="C13" s="2"/>
    </row>
    <row r="14" spans="1:3">
      <c r="A14" s="2">
        <v>2</v>
      </c>
      <c r="B14" s="2"/>
      <c r="C14" s="2"/>
    </row>
    <row r="15" spans="1:3">
      <c r="A15" s="2">
        <v>3</v>
      </c>
      <c r="B15" s="2"/>
      <c r="C15" s="2"/>
    </row>
    <row r="16" spans="1:3">
      <c r="A16" s="2">
        <v>4</v>
      </c>
      <c r="B16" s="2"/>
      <c r="C16" s="2"/>
    </row>
    <row r="17" spans="1:3">
      <c r="A17" s="2">
        <v>5</v>
      </c>
      <c r="B17" s="2"/>
      <c r="C17" s="2"/>
    </row>
    <row r="18" spans="1:3">
      <c r="A18" s="2">
        <v>6</v>
      </c>
      <c r="B18" s="2"/>
      <c r="C18" s="2"/>
    </row>
    <row r="22" spans="1:1">
      <c r="A22" t="s">
        <v>67</v>
      </c>
    </row>
    <row r="23" spans="1:3">
      <c r="A23" s="2"/>
      <c r="B23" s="21" t="s">
        <v>54</v>
      </c>
      <c r="C23" s="21" t="s">
        <v>68</v>
      </c>
    </row>
    <row r="24" spans="1:3">
      <c r="A24" s="2">
        <v>1</v>
      </c>
      <c r="B24" s="2" t="s">
        <v>69</v>
      </c>
      <c r="C24" s="2" t="s">
        <v>70</v>
      </c>
    </row>
    <row r="25" spans="1:3">
      <c r="A25" s="2">
        <v>2</v>
      </c>
      <c r="B25" s="2" t="s">
        <v>71</v>
      </c>
      <c r="C25" s="2" t="s">
        <v>72</v>
      </c>
    </row>
    <row r="26" spans="1:3">
      <c r="A26" s="2">
        <v>3</v>
      </c>
      <c r="B26" s="2" t="s">
        <v>73</v>
      </c>
      <c r="C26" s="2" t="s">
        <v>74</v>
      </c>
    </row>
    <row r="27" spans="1:3">
      <c r="A27" s="2">
        <v>4</v>
      </c>
      <c r="B27" s="2" t="s">
        <v>75</v>
      </c>
      <c r="C27" s="2" t="s">
        <v>76</v>
      </c>
    </row>
    <row r="28" spans="1:3">
      <c r="A28" s="2">
        <v>5</v>
      </c>
      <c r="B28" s="2" t="s">
        <v>77</v>
      </c>
      <c r="C28" s="2" t="s">
        <v>78</v>
      </c>
    </row>
    <row r="29" spans="1:3">
      <c r="A29" s="2">
        <v>6</v>
      </c>
      <c r="B29" s="2" t="s">
        <v>79</v>
      </c>
      <c r="C29" s="2" t="s">
        <v>80</v>
      </c>
    </row>
    <row r="30" spans="1:3">
      <c r="A30" s="2">
        <v>7</v>
      </c>
      <c r="B30" s="2" t="s">
        <v>81</v>
      </c>
      <c r="C30" s="2" t="s">
        <v>82</v>
      </c>
    </row>
    <row r="31" spans="1:3">
      <c r="A31" s="2">
        <v>8</v>
      </c>
      <c r="B31" s="2" t="s">
        <v>51</v>
      </c>
      <c r="C31" s="2" t="s">
        <v>51</v>
      </c>
    </row>
    <row r="32" spans="1:3">
      <c r="A32" s="2">
        <v>9</v>
      </c>
      <c r="B32" s="2" t="s">
        <v>51</v>
      </c>
      <c r="C32" s="2" t="s">
        <v>51</v>
      </c>
    </row>
    <row r="33" spans="1:3">
      <c r="A33" s="2">
        <v>10</v>
      </c>
      <c r="B33" s="2" t="s">
        <v>51</v>
      </c>
      <c r="C33" s="2" t="s">
        <v>51</v>
      </c>
    </row>
    <row r="34" spans="1:3">
      <c r="A34" s="23"/>
      <c r="B34" s="22" t="s">
        <v>83</v>
      </c>
      <c r="C34" s="23" t="s">
        <v>84</v>
      </c>
    </row>
    <row r="39" spans="1:1">
      <c r="A39" t="s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15" zoomScaleNormal="115" workbookViewId="0">
      <selection activeCell="I34" sqref="I34"/>
    </sheetView>
  </sheetViews>
  <sheetFormatPr defaultColWidth="9" defaultRowHeight="13.5"/>
  <cols>
    <col min="1" max="1" width="6.5" customWidth="1"/>
    <col min="2" max="6" width="8.5" customWidth="1"/>
    <col min="7" max="7" width="5.375" customWidth="1"/>
    <col min="8" max="8" width="8.5" customWidth="1"/>
    <col min="9" max="12" width="8.875" customWidth="1"/>
  </cols>
  <sheetData>
    <row r="1" ht="27" spans="1:12">
      <c r="A1" s="9" t="s">
        <v>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2"/>
      <c r="B2" s="3" t="s">
        <v>87</v>
      </c>
      <c r="C2" s="3"/>
      <c r="D2" s="3"/>
      <c r="E2" s="3"/>
      <c r="F2" s="3"/>
      <c r="G2" s="3"/>
      <c r="H2" s="3"/>
      <c r="I2" s="3" t="s">
        <v>88</v>
      </c>
      <c r="J2" s="16"/>
      <c r="K2" s="3" t="s">
        <v>88</v>
      </c>
      <c r="L2" s="3"/>
    </row>
    <row r="3" spans="1:12">
      <c r="A3" s="10"/>
      <c r="B3" s="11" t="s">
        <v>87</v>
      </c>
      <c r="C3" s="11" t="s">
        <v>89</v>
      </c>
      <c r="D3" s="11" t="s">
        <v>90</v>
      </c>
      <c r="E3" s="11" t="s">
        <v>91</v>
      </c>
      <c r="F3" s="11" t="s">
        <v>92</v>
      </c>
      <c r="G3" s="11" t="s">
        <v>51</v>
      </c>
      <c r="H3" s="11" t="s">
        <v>93</v>
      </c>
      <c r="I3" s="3" t="s">
        <v>94</v>
      </c>
      <c r="J3" s="16" t="s">
        <v>95</v>
      </c>
      <c r="K3" s="3" t="s">
        <v>96</v>
      </c>
      <c r="L3" s="3" t="s">
        <v>97</v>
      </c>
    </row>
    <row r="4" spans="1:12">
      <c r="A4" s="11" t="s">
        <v>98</v>
      </c>
      <c r="B4" s="10" t="s">
        <v>99</v>
      </c>
      <c r="C4" s="10" t="s">
        <v>100</v>
      </c>
      <c r="D4" s="10" t="s">
        <v>101</v>
      </c>
      <c r="E4" s="10" t="s">
        <v>102</v>
      </c>
      <c r="F4" s="10" t="s">
        <v>103</v>
      </c>
      <c r="G4" s="10" t="s">
        <v>51</v>
      </c>
      <c r="H4" s="10" t="s">
        <v>104</v>
      </c>
      <c r="I4" s="2">
        <v>1</v>
      </c>
      <c r="J4" s="17"/>
      <c r="K4" s="2">
        <v>2423</v>
      </c>
      <c r="L4" s="2"/>
    </row>
    <row r="5" spans="1:12">
      <c r="A5" s="11" t="s">
        <v>105</v>
      </c>
      <c r="B5" s="10" t="s">
        <v>106</v>
      </c>
      <c r="C5" s="10" t="s">
        <v>107</v>
      </c>
      <c r="D5" s="10" t="s">
        <v>108</v>
      </c>
      <c r="E5" s="10" t="s">
        <v>109</v>
      </c>
      <c r="F5" s="10" t="s">
        <v>110</v>
      </c>
      <c r="G5" s="10" t="s">
        <v>51</v>
      </c>
      <c r="H5" s="10" t="s">
        <v>111</v>
      </c>
      <c r="I5" s="2">
        <v>1</v>
      </c>
      <c r="J5" s="17"/>
      <c r="K5" s="2">
        <v>3454</v>
      </c>
      <c r="L5" s="2"/>
    </row>
    <row r="6" spans="1:12">
      <c r="A6" s="11" t="s">
        <v>112</v>
      </c>
      <c r="B6" s="10" t="s">
        <v>113</v>
      </c>
      <c r="C6" s="10" t="s">
        <v>114</v>
      </c>
      <c r="D6" s="10" t="s">
        <v>115</v>
      </c>
      <c r="E6" s="10" t="s">
        <v>116</v>
      </c>
      <c r="F6" s="10" t="s">
        <v>117</v>
      </c>
      <c r="G6" s="10" t="s">
        <v>51</v>
      </c>
      <c r="H6" s="10" t="s">
        <v>118</v>
      </c>
      <c r="I6" s="2">
        <v>0</v>
      </c>
      <c r="J6" s="17"/>
      <c r="K6" s="2">
        <v>5544</v>
      </c>
      <c r="L6" s="2"/>
    </row>
    <row r="7" spans="1:12">
      <c r="A7" s="11" t="s">
        <v>119</v>
      </c>
      <c r="B7" s="10" t="s">
        <v>120</v>
      </c>
      <c r="C7" s="10" t="s">
        <v>121</v>
      </c>
      <c r="D7" s="10" t="s">
        <v>122</v>
      </c>
      <c r="E7" s="10" t="s">
        <v>123</v>
      </c>
      <c r="F7" s="10" t="s">
        <v>124</v>
      </c>
      <c r="G7" s="10" t="s">
        <v>51</v>
      </c>
      <c r="H7" s="10" t="s">
        <v>125</v>
      </c>
      <c r="I7" s="2">
        <v>1</v>
      </c>
      <c r="J7" s="17"/>
      <c r="K7" s="2">
        <v>3564</v>
      </c>
      <c r="L7" s="2"/>
    </row>
    <row r="8" spans="1:12">
      <c r="A8" s="11" t="s">
        <v>126</v>
      </c>
      <c r="B8" s="10" t="s">
        <v>127</v>
      </c>
      <c r="C8" s="10" t="s">
        <v>128</v>
      </c>
      <c r="D8" s="10" t="s">
        <v>129</v>
      </c>
      <c r="E8" s="10" t="s">
        <v>130</v>
      </c>
      <c r="F8" s="10" t="s">
        <v>131</v>
      </c>
      <c r="G8" s="10" t="s">
        <v>51</v>
      </c>
      <c r="H8" s="10" t="s">
        <v>132</v>
      </c>
      <c r="I8" s="2">
        <v>1</v>
      </c>
      <c r="J8" s="17"/>
      <c r="K8" s="2">
        <v>6353</v>
      </c>
      <c r="L8" s="2"/>
    </row>
    <row r="9" spans="1:12">
      <c r="A9" s="11" t="s">
        <v>133</v>
      </c>
      <c r="B9" s="10" t="s">
        <v>134</v>
      </c>
      <c r="C9" s="10" t="s">
        <v>135</v>
      </c>
      <c r="D9" s="10" t="s">
        <v>136</v>
      </c>
      <c r="E9" s="10" t="s">
        <v>137</v>
      </c>
      <c r="F9" s="10" t="s">
        <v>138</v>
      </c>
      <c r="G9" s="10" t="s">
        <v>51</v>
      </c>
      <c r="H9" s="10" t="s">
        <v>139</v>
      </c>
      <c r="I9" s="2">
        <v>1</v>
      </c>
      <c r="J9" s="17"/>
      <c r="K9" s="2">
        <v>3879</v>
      </c>
      <c r="L9" s="2"/>
    </row>
    <row r="10" spans="1:12">
      <c r="A10" s="11" t="s">
        <v>140</v>
      </c>
      <c r="B10" s="10" t="s">
        <v>141</v>
      </c>
      <c r="C10" s="10" t="s">
        <v>142</v>
      </c>
      <c r="D10" s="10" t="s">
        <v>143</v>
      </c>
      <c r="E10" s="10" t="s">
        <v>144</v>
      </c>
      <c r="F10" s="10" t="s">
        <v>145</v>
      </c>
      <c r="G10" s="10" t="s">
        <v>51</v>
      </c>
      <c r="H10" s="10" t="s">
        <v>146</v>
      </c>
      <c r="I10" s="2">
        <v>0</v>
      </c>
      <c r="J10" s="17"/>
      <c r="K10" s="2">
        <v>4988</v>
      </c>
      <c r="L10" s="2"/>
    </row>
    <row r="11" spans="1:12">
      <c r="A11" s="11" t="s">
        <v>147</v>
      </c>
      <c r="B11" s="10" t="s">
        <v>148</v>
      </c>
      <c r="C11" s="10" t="s">
        <v>149</v>
      </c>
      <c r="D11" s="10" t="s">
        <v>150</v>
      </c>
      <c r="E11" s="10" t="s">
        <v>151</v>
      </c>
      <c r="F11" s="10" t="s">
        <v>152</v>
      </c>
      <c r="G11" s="10" t="s">
        <v>51</v>
      </c>
      <c r="H11" s="10" t="s">
        <v>153</v>
      </c>
      <c r="I11" s="2">
        <v>0</v>
      </c>
      <c r="J11" s="17"/>
      <c r="K11" s="2">
        <v>5999</v>
      </c>
      <c r="L11" s="2"/>
    </row>
    <row r="12" spans="1:12">
      <c r="A12" s="11" t="s">
        <v>154</v>
      </c>
      <c r="B12" s="10" t="s">
        <v>155</v>
      </c>
      <c r="C12" s="10" t="s">
        <v>156</v>
      </c>
      <c r="D12" s="10" t="s">
        <v>157</v>
      </c>
      <c r="E12" s="10" t="s">
        <v>158</v>
      </c>
      <c r="F12" s="10" t="s">
        <v>159</v>
      </c>
      <c r="G12" s="10" t="s">
        <v>51</v>
      </c>
      <c r="H12" s="10" t="s">
        <v>160</v>
      </c>
      <c r="I12" s="2">
        <v>0</v>
      </c>
      <c r="J12" s="17"/>
      <c r="K12" s="2">
        <v>3772</v>
      </c>
      <c r="L12" s="2"/>
    </row>
    <row r="13" spans="1:12">
      <c r="A13" s="11" t="s">
        <v>51</v>
      </c>
      <c r="B13" s="10" t="s">
        <v>51</v>
      </c>
      <c r="C13" s="10" t="s">
        <v>51</v>
      </c>
      <c r="D13" s="10" t="s">
        <v>51</v>
      </c>
      <c r="E13" s="10" t="s">
        <v>51</v>
      </c>
      <c r="F13" s="10" t="s">
        <v>51</v>
      </c>
      <c r="G13" s="10" t="s">
        <v>51</v>
      </c>
      <c r="H13" s="10" t="s">
        <v>51</v>
      </c>
      <c r="I13" s="2" t="s">
        <v>51</v>
      </c>
      <c r="J13" s="17"/>
      <c r="K13" s="2" t="s">
        <v>51</v>
      </c>
      <c r="L13" s="2"/>
    </row>
    <row r="14" spans="1:12">
      <c r="A14" s="11" t="s">
        <v>51</v>
      </c>
      <c r="B14" s="10" t="s">
        <v>51</v>
      </c>
      <c r="C14" s="10" t="s">
        <v>51</v>
      </c>
      <c r="D14" s="10" t="s">
        <v>51</v>
      </c>
      <c r="E14" s="10" t="s">
        <v>51</v>
      </c>
      <c r="F14" s="10" t="s">
        <v>51</v>
      </c>
      <c r="G14" s="10" t="s">
        <v>51</v>
      </c>
      <c r="H14" s="10" t="s">
        <v>51</v>
      </c>
      <c r="I14" s="2" t="s">
        <v>51</v>
      </c>
      <c r="J14" s="17"/>
      <c r="K14" s="2" t="s">
        <v>51</v>
      </c>
      <c r="L14" s="2"/>
    </row>
    <row r="15" spans="1:12">
      <c r="A15" s="11" t="s">
        <v>51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2" t="s">
        <v>51</v>
      </c>
      <c r="J15" s="17"/>
      <c r="K15" s="2" t="s">
        <v>51</v>
      </c>
      <c r="L15" s="2"/>
    </row>
    <row r="16" spans="1:12">
      <c r="A16" s="11" t="s">
        <v>161</v>
      </c>
      <c r="B16" s="10" t="s">
        <v>162</v>
      </c>
      <c r="C16" s="10" t="s">
        <v>163</v>
      </c>
      <c r="D16" s="10" t="s">
        <v>164</v>
      </c>
      <c r="E16" s="10" t="s">
        <v>165</v>
      </c>
      <c r="F16" s="10" t="s">
        <v>166</v>
      </c>
      <c r="G16" s="10" t="s">
        <v>51</v>
      </c>
      <c r="H16" s="10" t="s">
        <v>167</v>
      </c>
      <c r="I16" s="2">
        <v>1</v>
      </c>
      <c r="J16" s="17"/>
      <c r="K16" s="2">
        <v>6757</v>
      </c>
      <c r="L16" s="2"/>
    </row>
    <row r="20" ht="27" spans="1:12">
      <c r="A20" s="12" t="s">
        <v>168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3"/>
      <c r="B21" s="14" t="s">
        <v>169</v>
      </c>
      <c r="C21" s="14"/>
      <c r="D21" s="14"/>
      <c r="E21" s="14"/>
      <c r="F21" s="14"/>
      <c r="G21" s="14"/>
      <c r="H21" s="14"/>
      <c r="I21" s="18" t="s">
        <v>170</v>
      </c>
      <c r="J21" s="16"/>
      <c r="K21" s="18" t="s">
        <v>170</v>
      </c>
      <c r="L21" s="16"/>
    </row>
    <row r="22" spans="1:12">
      <c r="A22" s="13"/>
      <c r="B22" s="15" t="s">
        <v>87</v>
      </c>
      <c r="C22" s="15" t="s">
        <v>89</v>
      </c>
      <c r="D22" s="15" t="s">
        <v>90</v>
      </c>
      <c r="E22" s="15" t="s">
        <v>91</v>
      </c>
      <c r="F22" s="15" t="s">
        <v>92</v>
      </c>
      <c r="G22" s="15" t="s">
        <v>51</v>
      </c>
      <c r="H22" s="15" t="s">
        <v>93</v>
      </c>
      <c r="I22" s="18" t="s">
        <v>94</v>
      </c>
      <c r="J22" s="16"/>
      <c r="K22" s="18" t="s">
        <v>96</v>
      </c>
      <c r="L22" s="16"/>
    </row>
    <row r="23" spans="1:12">
      <c r="A23" s="15" t="s">
        <v>171</v>
      </c>
      <c r="B23" s="13" t="s">
        <v>99</v>
      </c>
      <c r="C23" s="13" t="s">
        <v>100</v>
      </c>
      <c r="D23" s="13" t="s">
        <v>101</v>
      </c>
      <c r="E23" s="13" t="s">
        <v>102</v>
      </c>
      <c r="F23" s="13" t="s">
        <v>103</v>
      </c>
      <c r="G23" s="13" t="s">
        <v>51</v>
      </c>
      <c r="H23" s="13" t="s">
        <v>104</v>
      </c>
      <c r="I23" s="19"/>
      <c r="J23" s="20"/>
      <c r="K23" s="19"/>
      <c r="L23" s="20"/>
    </row>
    <row r="24" spans="1:12">
      <c r="A24" s="15" t="s">
        <v>172</v>
      </c>
      <c r="B24" s="13" t="s">
        <v>106</v>
      </c>
      <c r="C24" s="13" t="s">
        <v>107</v>
      </c>
      <c r="D24" s="13" t="s">
        <v>108</v>
      </c>
      <c r="E24" s="13" t="s">
        <v>109</v>
      </c>
      <c r="F24" s="13" t="s">
        <v>110</v>
      </c>
      <c r="G24" s="13" t="s">
        <v>51</v>
      </c>
      <c r="H24" s="13" t="s">
        <v>111</v>
      </c>
      <c r="I24" s="19"/>
      <c r="J24" s="20"/>
      <c r="K24" s="19"/>
      <c r="L24" s="20"/>
    </row>
    <row r="25" spans="1:12">
      <c r="A25" s="15" t="s">
        <v>173</v>
      </c>
      <c r="B25" s="13" t="s">
        <v>113</v>
      </c>
      <c r="C25" s="13" t="s">
        <v>114</v>
      </c>
      <c r="D25" s="13" t="s">
        <v>115</v>
      </c>
      <c r="E25" s="13" t="s">
        <v>116</v>
      </c>
      <c r="F25" s="13" t="s">
        <v>117</v>
      </c>
      <c r="G25" s="13" t="s">
        <v>51</v>
      </c>
      <c r="H25" s="13" t="s">
        <v>118</v>
      </c>
      <c r="I25" s="19"/>
      <c r="J25" s="20"/>
      <c r="K25" s="19"/>
      <c r="L25" s="20"/>
    </row>
    <row r="26" spans="1:12">
      <c r="A26" s="15" t="s">
        <v>174</v>
      </c>
      <c r="B26" s="13" t="s">
        <v>120</v>
      </c>
      <c r="C26" s="13" t="s">
        <v>121</v>
      </c>
      <c r="D26" s="13" t="s">
        <v>122</v>
      </c>
      <c r="E26" s="13" t="s">
        <v>123</v>
      </c>
      <c r="F26" s="13" t="s">
        <v>124</v>
      </c>
      <c r="G26" s="13" t="s">
        <v>51</v>
      </c>
      <c r="H26" s="13" t="s">
        <v>125</v>
      </c>
      <c r="I26" s="19"/>
      <c r="J26" s="20"/>
      <c r="K26" s="19"/>
      <c r="L26" s="20"/>
    </row>
    <row r="27" spans="1:12">
      <c r="A27" s="15" t="s">
        <v>175</v>
      </c>
      <c r="B27" s="13" t="s">
        <v>127</v>
      </c>
      <c r="C27" s="13" t="s">
        <v>128</v>
      </c>
      <c r="D27" s="13" t="s">
        <v>129</v>
      </c>
      <c r="E27" s="13" t="s">
        <v>130</v>
      </c>
      <c r="F27" s="13" t="s">
        <v>131</v>
      </c>
      <c r="G27" s="13" t="s">
        <v>51</v>
      </c>
      <c r="H27" s="13" t="s">
        <v>132</v>
      </c>
      <c r="I27" s="19"/>
      <c r="J27" s="20"/>
      <c r="K27" s="19"/>
      <c r="L27" s="20"/>
    </row>
  </sheetData>
  <mergeCells count="18">
    <mergeCell ref="A1:L1"/>
    <mergeCell ref="B2:H2"/>
    <mergeCell ref="A20:L20"/>
    <mergeCell ref="B21:H21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zoomScale="160" zoomScaleNormal="160" workbookViewId="0">
      <selection activeCell="A1" sqref="A1:D1"/>
    </sheetView>
  </sheetViews>
  <sheetFormatPr defaultColWidth="9" defaultRowHeight="13.5"/>
  <cols>
    <col min="2" max="2" width="2.375" customWidth="1"/>
    <col min="3" max="3" width="4.375" customWidth="1"/>
    <col min="4" max="4" width="4.70833333333333" customWidth="1"/>
    <col min="6" max="6" width="13.75" customWidth="1"/>
    <col min="7" max="7" width="10.375" customWidth="1"/>
    <col min="8" max="8" width="7.375" customWidth="1"/>
    <col min="9" max="9" width="12.625"/>
    <col min="10" max="10" width="8.375" customWidth="1"/>
  </cols>
  <sheetData>
    <row r="1" spans="3:10">
      <c r="C1" s="1" t="s">
        <v>55</v>
      </c>
      <c r="D1" s="1"/>
      <c r="G1" t="s">
        <v>176</v>
      </c>
      <c r="H1" t="s">
        <v>177</v>
      </c>
      <c r="I1" t="s">
        <v>22</v>
      </c>
      <c r="J1" t="s">
        <v>178</v>
      </c>
    </row>
    <row r="2" spans="2:10">
      <c r="B2" s="2"/>
      <c r="C2" s="3">
        <v>0</v>
      </c>
      <c r="D2" s="3">
        <v>1</v>
      </c>
      <c r="G2" s="1" t="s">
        <v>179</v>
      </c>
      <c r="H2" s="1" t="s">
        <v>180</v>
      </c>
      <c r="I2" s="1" t="s">
        <v>181</v>
      </c>
      <c r="J2" s="1" t="s">
        <v>182</v>
      </c>
    </row>
    <row r="3" spans="1:10">
      <c r="A3" s="1" t="s">
        <v>183</v>
      </c>
      <c r="B3" s="3">
        <v>0</v>
      </c>
      <c r="C3" s="4">
        <v>150</v>
      </c>
      <c r="D3" s="4">
        <v>21</v>
      </c>
      <c r="F3">
        <v>0</v>
      </c>
      <c r="G3" s="5">
        <f>C3/SUM(C3:C4)</f>
        <v>0.842696629213483</v>
      </c>
      <c r="H3" s="5">
        <f>C3/SUM(C3:D3)</f>
        <v>0.87719298245614</v>
      </c>
      <c r="I3" s="6">
        <f>2*G3*H3/(G3+H3)</f>
        <v>0.859598853868195</v>
      </c>
      <c r="J3" s="8">
        <f>SUM(C3:D3)</f>
        <v>171</v>
      </c>
    </row>
    <row r="4" spans="1:10">
      <c r="A4" s="1"/>
      <c r="B4" s="3">
        <v>1</v>
      </c>
      <c r="C4" s="4">
        <v>28</v>
      </c>
      <c r="D4" s="4">
        <v>55</v>
      </c>
      <c r="F4">
        <v>1</v>
      </c>
      <c r="G4" s="5">
        <f>D4/SUM(D3:D4)</f>
        <v>0.723684210526316</v>
      </c>
      <c r="H4" s="5">
        <f>D4/SUM(C4:D4)</f>
        <v>0.662650602409639</v>
      </c>
      <c r="I4" s="6">
        <f>2*G4*H4/(G4+H4)</f>
        <v>0.691823899371069</v>
      </c>
      <c r="J4" s="8">
        <f>SUM(C4:D4)</f>
        <v>83</v>
      </c>
    </row>
    <row r="5" spans="7:10">
      <c r="G5" s="6"/>
      <c r="H5" s="6"/>
      <c r="I5" s="6"/>
      <c r="J5" s="8"/>
    </row>
    <row r="6" spans="6:10">
      <c r="F6" s="7" t="s">
        <v>184</v>
      </c>
      <c r="G6" s="6"/>
      <c r="H6" s="6"/>
      <c r="I6" s="6">
        <f>SUM(C3,D4)/SUM(C3:D4)</f>
        <v>0.807086614173228</v>
      </c>
      <c r="J6" s="8">
        <f>SUM(C3:D4)</f>
        <v>254</v>
      </c>
    </row>
    <row r="7" spans="6:10">
      <c r="F7" s="7" t="s">
        <v>185</v>
      </c>
      <c r="G7" s="6">
        <f>SUM(G3:G4)/COUNTA(G3:G4)</f>
        <v>0.783190419869899</v>
      </c>
      <c r="H7" s="6">
        <f>SUM(H3:H4)/COUNTA(H3:H4)</f>
        <v>0.769921792432889</v>
      </c>
      <c r="I7" s="6">
        <f>SUM(I3:I4)/COUNTA(I3:I4)</f>
        <v>0.775711376619632</v>
      </c>
      <c r="J7" s="8">
        <f>SUM(C3:D4)</f>
        <v>254</v>
      </c>
    </row>
    <row r="8" spans="6:10">
      <c r="F8" s="7" t="s">
        <v>186</v>
      </c>
      <c r="G8" s="6">
        <f>(G3*J3+G4*J4)/SUM(J3:J4)</f>
        <v>0.803806744366889</v>
      </c>
      <c r="H8" s="6">
        <f>(H3*J3+H4*J4)/SUM(J3:J4)</f>
        <v>0.807086614173228</v>
      </c>
      <c r="I8" s="6">
        <f>(I3*J3+I4*J4)/SUM(J3:J4)</f>
        <v>0.804774754564016</v>
      </c>
      <c r="J8" s="8">
        <f>SUM(C3:D4)</f>
        <v>254</v>
      </c>
    </row>
    <row r="11" spans="7:10">
      <c r="G11" s="1" t="s">
        <v>179</v>
      </c>
      <c r="H11" s="1" t="s">
        <v>180</v>
      </c>
      <c r="I11" s="1" t="s">
        <v>181</v>
      </c>
      <c r="J11" s="1" t="s">
        <v>182</v>
      </c>
    </row>
    <row r="12" spans="6:10">
      <c r="F12">
        <v>0</v>
      </c>
      <c r="G12" s="6">
        <v>0.84</v>
      </c>
      <c r="H12" s="6">
        <v>0.88</v>
      </c>
      <c r="I12" s="6">
        <v>0.86</v>
      </c>
      <c r="J12">
        <v>171</v>
      </c>
    </row>
    <row r="13" spans="6:10">
      <c r="F13">
        <v>1</v>
      </c>
      <c r="G13" s="6">
        <v>0.72</v>
      </c>
      <c r="H13" s="6">
        <v>0.66</v>
      </c>
      <c r="I13" s="6">
        <v>0.69</v>
      </c>
      <c r="J13">
        <v>83</v>
      </c>
    </row>
    <row r="14" spans="7:9">
      <c r="G14" s="6"/>
      <c r="H14" s="6"/>
      <c r="I14" s="6"/>
    </row>
    <row r="15" spans="6:10">
      <c r="F15" s="7" t="s">
        <v>184</v>
      </c>
      <c r="G15" s="6"/>
      <c r="H15" s="6"/>
      <c r="I15" s="6">
        <v>0.81</v>
      </c>
      <c r="J15">
        <v>254</v>
      </c>
    </row>
    <row r="16" spans="6:10">
      <c r="F16" s="7" t="s">
        <v>185</v>
      </c>
      <c r="G16" s="6">
        <v>0.78</v>
      </c>
      <c r="H16" s="6">
        <v>0.77</v>
      </c>
      <c r="I16" s="6">
        <v>0.78</v>
      </c>
      <c r="J16">
        <v>254</v>
      </c>
    </row>
    <row r="17" spans="6:10">
      <c r="F17" s="7" t="s">
        <v>186</v>
      </c>
      <c r="G17" s="6">
        <v>0.8</v>
      </c>
      <c r="H17" s="6">
        <v>0.81</v>
      </c>
      <c r="I17" s="6">
        <v>0.8</v>
      </c>
      <c r="J17">
        <v>254</v>
      </c>
    </row>
  </sheetData>
  <mergeCells count="2">
    <mergeCell ref="C1:D1"/>
    <mergeCell ref="A3:A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分类问题</vt:lpstr>
      <vt:lpstr>回归问题</vt:lpstr>
      <vt:lpstr>解释</vt:lpstr>
      <vt:lpstr>机器学习到底在干什么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magicbook-2</dc:creator>
  <cp:lastModifiedBy>丁果</cp:lastModifiedBy>
  <dcterms:created xsi:type="dcterms:W3CDTF">2023-05-12T11:15:00Z</dcterms:created>
  <dcterms:modified xsi:type="dcterms:W3CDTF">2025-06-09T10:08:25Z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281D6F1D2F7945F985D54DF2D3E12180_12</vt:lpwstr>
  </property>
</Properties>
</file>