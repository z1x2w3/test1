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4"/>
  </bookViews>
  <sheets>
    <sheet name="pima_data" sheetId="1" r:id="rId1"/>
    <sheet name="1-调整数据尺度" sheetId="2" r:id="rId2"/>
    <sheet name="2-正态化数据" sheetId="3" r:id="rId3"/>
    <sheet name="3-标准化数据" sheetId="4" r:id="rId4"/>
    <sheet name="Sheet1" sheetId="6" r:id="rId5"/>
    <sheet name="选择特征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<sst xmlns="http://schemas.openxmlformats.org/spreadsheetml/2006/main" count="56" uniqueCount="25">
  <si>
    <t>你</t>
  </si>
  <si>
    <t>是</t>
  </si>
  <si>
    <t>谁</t>
  </si>
  <si>
    <t>呀</t>
  </si>
  <si>
    <t>好</t>
  </si>
  <si>
    <t>在</t>
  </si>
  <si>
    <t>哪</t>
  </si>
  <si>
    <t>儿</t>
  </si>
  <si>
    <t>你是谁呀</t>
  </si>
  <si>
    <t>你好</t>
  </si>
  <si>
    <t>,</t>
  </si>
  <si>
    <t>你在哪儿</t>
  </si>
  <si>
    <t>单变量特征选择</t>
  </si>
  <si>
    <t>preg</t>
  </si>
  <si>
    <t>plas</t>
  </si>
  <si>
    <t>pres</t>
  </si>
  <si>
    <t>skin</t>
  </si>
  <si>
    <t>test</t>
  </si>
  <si>
    <t>mass</t>
  </si>
  <si>
    <t>pedi</t>
  </si>
  <si>
    <t>age</t>
  </si>
  <si>
    <t>class</t>
  </si>
  <si>
    <t>递归特征消除</t>
  </si>
  <si>
    <t>主成分分析</t>
  </si>
  <si>
    <t>特征重要性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</si>
</sst>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76" fontId="0" fillId="0" borderId="0" xfId="0" applyNumberFormat="1">
      <alignment vertical="center"/>
    </xf>
    <xf numFmtId="176" fontId="0" fillId="4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8"/>
  <sheetViews>
    <sheetView zoomScaleSheetLayoutView="60" workbookViewId="0">
      <pane xSplit="1" ySplit="9" topLeftCell="B757" activePane="bottomRight" state="frozen"/>
      <selection/>
      <selection pane="topRight"/>
      <selection pane="bottomLeft"/>
      <selection pane="bottomRight" activeCell="F763" sqref="F763"/>
    </sheetView>
  </sheetViews>
  <sheetFormatPr defaultColWidth="9" defaultRowHeight="13.5"/>
  <sheetData>
    <row r="1" spans="1:9">
      <c r="A1" s="3">
        <v>6</v>
      </c>
      <c r="B1" s="3">
        <v>148</v>
      </c>
      <c r="C1" s="3">
        <v>72</v>
      </c>
      <c r="D1" s="3">
        <v>35</v>
      </c>
      <c r="E1" s="3">
        <v>0</v>
      </c>
      <c r="F1" s="3">
        <v>33.6</v>
      </c>
      <c r="G1" s="3">
        <v>0.627</v>
      </c>
      <c r="H1" s="3">
        <v>50</v>
      </c>
      <c r="I1">
        <v>1</v>
      </c>
    </row>
    <row r="2" spans="1:9">
      <c r="A2" s="3">
        <v>1</v>
      </c>
      <c r="B2" s="3">
        <v>85</v>
      </c>
      <c r="C2" s="3">
        <v>66</v>
      </c>
      <c r="D2" s="3">
        <v>29</v>
      </c>
      <c r="E2" s="3">
        <v>0</v>
      </c>
      <c r="F2" s="3">
        <v>26.6</v>
      </c>
      <c r="G2" s="3">
        <v>0.351</v>
      </c>
      <c r="H2" s="3">
        <v>31</v>
      </c>
      <c r="I2">
        <v>0</v>
      </c>
    </row>
    <row r="3" spans="1:9">
      <c r="A3" s="3">
        <v>8</v>
      </c>
      <c r="B3" s="3">
        <v>183</v>
      </c>
      <c r="C3" s="3">
        <v>64</v>
      </c>
      <c r="D3" s="3">
        <v>0</v>
      </c>
      <c r="E3" s="3">
        <v>0</v>
      </c>
      <c r="F3" s="3">
        <v>23.3</v>
      </c>
      <c r="G3" s="3">
        <v>0.672</v>
      </c>
      <c r="H3" s="3">
        <v>32</v>
      </c>
      <c r="I3">
        <v>1</v>
      </c>
    </row>
    <row r="4" spans="1:9">
      <c r="A4" s="3">
        <v>1</v>
      </c>
      <c r="B4" s="3">
        <v>89</v>
      </c>
      <c r="C4" s="3">
        <v>66</v>
      </c>
      <c r="D4" s="3">
        <v>23</v>
      </c>
      <c r="E4" s="3">
        <v>94</v>
      </c>
      <c r="F4" s="3">
        <v>28.1</v>
      </c>
      <c r="G4" s="3">
        <v>0.167</v>
      </c>
      <c r="H4" s="3">
        <v>21</v>
      </c>
      <c r="I4">
        <v>0</v>
      </c>
    </row>
    <row r="5" spans="1:9">
      <c r="A5" s="3">
        <v>0</v>
      </c>
      <c r="B5" s="3">
        <v>137</v>
      </c>
      <c r="C5" s="3">
        <v>40</v>
      </c>
      <c r="D5" s="3">
        <v>35</v>
      </c>
      <c r="E5" s="3">
        <v>168</v>
      </c>
      <c r="F5" s="3">
        <v>43.1</v>
      </c>
      <c r="G5" s="3">
        <v>2.288</v>
      </c>
      <c r="H5" s="3">
        <v>33</v>
      </c>
      <c r="I5">
        <v>1</v>
      </c>
    </row>
    <row r="6" spans="1:9">
      <c r="A6" s="3">
        <v>5</v>
      </c>
      <c r="B6" s="3">
        <v>116</v>
      </c>
      <c r="C6" s="3">
        <v>74</v>
      </c>
      <c r="D6" s="3">
        <v>0</v>
      </c>
      <c r="E6" s="3">
        <v>0</v>
      </c>
      <c r="F6" s="3">
        <v>25.6</v>
      </c>
      <c r="G6" s="3">
        <v>0.201</v>
      </c>
      <c r="H6" s="3">
        <v>30</v>
      </c>
      <c r="I6">
        <v>0</v>
      </c>
    </row>
    <row r="7" spans="1:9">
      <c r="A7" s="3">
        <v>3</v>
      </c>
      <c r="B7" s="3">
        <v>78</v>
      </c>
      <c r="C7" s="3">
        <v>50</v>
      </c>
      <c r="D7" s="3">
        <v>32</v>
      </c>
      <c r="E7" s="3">
        <v>88</v>
      </c>
      <c r="F7" s="3">
        <v>31</v>
      </c>
      <c r="G7" s="3">
        <v>0.248</v>
      </c>
      <c r="H7" s="3">
        <v>26</v>
      </c>
      <c r="I7">
        <v>1</v>
      </c>
    </row>
    <row r="8" spans="1:9">
      <c r="A8" s="3">
        <v>10</v>
      </c>
      <c r="B8" s="3">
        <v>115</v>
      </c>
      <c r="C8" s="3">
        <v>0</v>
      </c>
      <c r="D8" s="3">
        <v>0</v>
      </c>
      <c r="E8" s="3">
        <v>0</v>
      </c>
      <c r="F8" s="3">
        <v>35.3</v>
      </c>
      <c r="G8" s="3">
        <v>0.134</v>
      </c>
      <c r="H8" s="3">
        <v>29</v>
      </c>
      <c r="I8">
        <v>0</v>
      </c>
    </row>
    <row r="9" spans="1:9">
      <c r="A9" s="3">
        <v>2</v>
      </c>
      <c r="B9" s="3">
        <v>197</v>
      </c>
      <c r="C9" s="3">
        <v>70</v>
      </c>
      <c r="D9" s="3">
        <v>45</v>
      </c>
      <c r="E9" s="3">
        <v>543</v>
      </c>
      <c r="F9" s="3">
        <v>30.5</v>
      </c>
      <c r="G9" s="3">
        <v>0.158</v>
      </c>
      <c r="H9" s="3">
        <v>53</v>
      </c>
      <c r="I9">
        <v>1</v>
      </c>
    </row>
    <row r="10" spans="1:9">
      <c r="A10" s="3">
        <v>8</v>
      </c>
      <c r="B10" s="3">
        <v>125</v>
      </c>
      <c r="C10" s="3">
        <v>96</v>
      </c>
      <c r="D10" s="3">
        <v>0</v>
      </c>
      <c r="E10" s="3">
        <v>0</v>
      </c>
      <c r="F10" s="3">
        <v>0</v>
      </c>
      <c r="G10" s="3">
        <v>0.232</v>
      </c>
      <c r="H10" s="3">
        <v>54</v>
      </c>
      <c r="I10">
        <v>1</v>
      </c>
    </row>
    <row r="11" spans="1:9">
      <c r="A11" s="3">
        <v>4</v>
      </c>
      <c r="B11" s="3">
        <v>110</v>
      </c>
      <c r="C11" s="3">
        <v>92</v>
      </c>
      <c r="D11" s="3">
        <v>0</v>
      </c>
      <c r="E11" s="3">
        <v>0</v>
      </c>
      <c r="F11" s="3">
        <v>37.6</v>
      </c>
      <c r="G11" s="3">
        <v>0.191</v>
      </c>
      <c r="H11" s="3">
        <v>30</v>
      </c>
      <c r="I11">
        <v>0</v>
      </c>
    </row>
    <row r="12" spans="1:9">
      <c r="A12" s="3">
        <v>10</v>
      </c>
      <c r="B12" s="3">
        <v>168</v>
      </c>
      <c r="C12" s="3">
        <v>74</v>
      </c>
      <c r="D12" s="3">
        <v>0</v>
      </c>
      <c r="E12" s="3">
        <v>0</v>
      </c>
      <c r="F12" s="3">
        <v>38</v>
      </c>
      <c r="G12" s="3">
        <v>0.537</v>
      </c>
      <c r="H12" s="3">
        <v>34</v>
      </c>
      <c r="I12">
        <v>1</v>
      </c>
    </row>
    <row r="13" spans="1:9">
      <c r="A13" s="3">
        <v>10</v>
      </c>
      <c r="B13" s="3">
        <v>139</v>
      </c>
      <c r="C13" s="3">
        <v>80</v>
      </c>
      <c r="D13" s="3">
        <v>0</v>
      </c>
      <c r="E13" s="3">
        <v>0</v>
      </c>
      <c r="F13" s="3">
        <v>27.1</v>
      </c>
      <c r="G13" s="3">
        <v>1.441</v>
      </c>
      <c r="H13" s="3">
        <v>57</v>
      </c>
      <c r="I13">
        <v>0</v>
      </c>
    </row>
    <row r="14" spans="1:9">
      <c r="A14" s="3">
        <v>1</v>
      </c>
      <c r="B14" s="3">
        <v>189</v>
      </c>
      <c r="C14" s="3">
        <v>60</v>
      </c>
      <c r="D14" s="3">
        <v>23</v>
      </c>
      <c r="E14" s="3">
        <v>846</v>
      </c>
      <c r="F14" s="3">
        <v>30.1</v>
      </c>
      <c r="G14" s="3">
        <v>0.398</v>
      </c>
      <c r="H14" s="3">
        <v>59</v>
      </c>
      <c r="I14">
        <v>1</v>
      </c>
    </row>
    <row r="15" spans="1:9">
      <c r="A15" s="3">
        <v>5</v>
      </c>
      <c r="B15" s="3">
        <v>166</v>
      </c>
      <c r="C15" s="3">
        <v>72</v>
      </c>
      <c r="D15" s="3">
        <v>19</v>
      </c>
      <c r="E15" s="3">
        <v>175</v>
      </c>
      <c r="F15" s="3">
        <v>25.8</v>
      </c>
      <c r="G15" s="3">
        <v>0.587</v>
      </c>
      <c r="H15" s="3">
        <v>51</v>
      </c>
      <c r="I15">
        <v>1</v>
      </c>
    </row>
    <row r="16" spans="1:9">
      <c r="A16" s="3">
        <v>7</v>
      </c>
      <c r="B16" s="3">
        <v>100</v>
      </c>
      <c r="C16" s="3">
        <v>0</v>
      </c>
      <c r="D16" s="3">
        <v>0</v>
      </c>
      <c r="E16" s="3">
        <v>0</v>
      </c>
      <c r="F16" s="3">
        <v>30</v>
      </c>
      <c r="G16" s="3">
        <v>0.484</v>
      </c>
      <c r="H16" s="3">
        <v>32</v>
      </c>
      <c r="I16">
        <v>1</v>
      </c>
    </row>
    <row r="17" spans="1:9">
      <c r="A17" s="3">
        <v>0</v>
      </c>
      <c r="B17" s="3">
        <v>118</v>
      </c>
      <c r="C17" s="3">
        <v>84</v>
      </c>
      <c r="D17" s="3">
        <v>47</v>
      </c>
      <c r="E17" s="3">
        <v>230</v>
      </c>
      <c r="F17" s="3">
        <v>45.8</v>
      </c>
      <c r="G17" s="3">
        <v>0.551</v>
      </c>
      <c r="H17" s="3">
        <v>31</v>
      </c>
      <c r="I17">
        <v>1</v>
      </c>
    </row>
    <row r="18" spans="1:9">
      <c r="A18" s="3">
        <v>7</v>
      </c>
      <c r="B18" s="3">
        <v>107</v>
      </c>
      <c r="C18" s="3">
        <v>74</v>
      </c>
      <c r="D18" s="3">
        <v>0</v>
      </c>
      <c r="E18" s="3">
        <v>0</v>
      </c>
      <c r="F18" s="3">
        <v>29.6</v>
      </c>
      <c r="G18" s="3">
        <v>0.254</v>
      </c>
      <c r="H18" s="3">
        <v>31</v>
      </c>
      <c r="I18">
        <v>1</v>
      </c>
    </row>
    <row r="19" spans="1:9">
      <c r="A19" s="3">
        <v>1</v>
      </c>
      <c r="B19" s="3">
        <v>103</v>
      </c>
      <c r="C19" s="3">
        <v>30</v>
      </c>
      <c r="D19" s="3">
        <v>38</v>
      </c>
      <c r="E19" s="3">
        <v>83</v>
      </c>
      <c r="F19" s="3">
        <v>43.3</v>
      </c>
      <c r="G19" s="3">
        <v>0.183</v>
      </c>
      <c r="H19" s="3">
        <v>33</v>
      </c>
      <c r="I19">
        <v>0</v>
      </c>
    </row>
    <row r="20" spans="1:9">
      <c r="A20" s="3">
        <v>1</v>
      </c>
      <c r="B20" s="3">
        <v>115</v>
      </c>
      <c r="C20" s="3">
        <v>70</v>
      </c>
      <c r="D20" s="3">
        <v>30</v>
      </c>
      <c r="E20" s="3">
        <v>96</v>
      </c>
      <c r="F20" s="3">
        <v>34.6</v>
      </c>
      <c r="G20" s="3">
        <v>0.529</v>
      </c>
      <c r="H20" s="3">
        <v>32</v>
      </c>
      <c r="I20">
        <v>1</v>
      </c>
    </row>
    <row r="21" spans="1:9">
      <c r="A21" s="3">
        <v>3</v>
      </c>
      <c r="B21" s="3">
        <v>126</v>
      </c>
      <c r="C21" s="3">
        <v>88</v>
      </c>
      <c r="D21" s="3">
        <v>41</v>
      </c>
      <c r="E21" s="3">
        <v>235</v>
      </c>
      <c r="F21" s="3">
        <v>39.3</v>
      </c>
      <c r="G21" s="3">
        <v>0.704</v>
      </c>
      <c r="H21" s="3">
        <v>27</v>
      </c>
      <c r="I21">
        <v>0</v>
      </c>
    </row>
    <row r="22" spans="1:9">
      <c r="A22" s="3">
        <v>8</v>
      </c>
      <c r="B22" s="3">
        <v>99</v>
      </c>
      <c r="C22" s="3">
        <v>84</v>
      </c>
      <c r="D22" s="3">
        <v>0</v>
      </c>
      <c r="E22" s="3">
        <v>0</v>
      </c>
      <c r="F22" s="3">
        <v>35.4</v>
      </c>
      <c r="G22" s="3">
        <v>0.388</v>
      </c>
      <c r="H22" s="3">
        <v>50</v>
      </c>
      <c r="I22">
        <v>0</v>
      </c>
    </row>
    <row r="23" spans="1:9">
      <c r="A23" s="3">
        <v>7</v>
      </c>
      <c r="B23" s="3">
        <v>196</v>
      </c>
      <c r="C23" s="3">
        <v>90</v>
      </c>
      <c r="D23" s="3">
        <v>0</v>
      </c>
      <c r="E23" s="3">
        <v>0</v>
      </c>
      <c r="F23" s="3">
        <v>39.8</v>
      </c>
      <c r="G23" s="3">
        <v>0.451</v>
      </c>
      <c r="H23" s="3">
        <v>41</v>
      </c>
      <c r="I23">
        <v>1</v>
      </c>
    </row>
    <row r="24" spans="1:9">
      <c r="A24" s="3">
        <v>9</v>
      </c>
      <c r="B24" s="3">
        <v>119</v>
      </c>
      <c r="C24" s="3">
        <v>80</v>
      </c>
      <c r="D24" s="3">
        <v>35</v>
      </c>
      <c r="E24" s="3">
        <v>0</v>
      </c>
      <c r="F24" s="3">
        <v>29</v>
      </c>
      <c r="G24" s="3">
        <v>0.263</v>
      </c>
      <c r="H24" s="3">
        <v>29</v>
      </c>
      <c r="I24">
        <v>1</v>
      </c>
    </row>
    <row r="25" spans="1:9">
      <c r="A25" s="3">
        <v>11</v>
      </c>
      <c r="B25" s="3">
        <v>143</v>
      </c>
      <c r="C25" s="3">
        <v>94</v>
      </c>
      <c r="D25" s="3">
        <v>33</v>
      </c>
      <c r="E25" s="3">
        <v>146</v>
      </c>
      <c r="F25" s="3">
        <v>36.6</v>
      </c>
      <c r="G25" s="3">
        <v>0.254</v>
      </c>
      <c r="H25" s="3">
        <v>51</v>
      </c>
      <c r="I25">
        <v>1</v>
      </c>
    </row>
    <row r="26" spans="1:9">
      <c r="A26" s="3">
        <v>10</v>
      </c>
      <c r="B26" s="3">
        <v>125</v>
      </c>
      <c r="C26" s="3">
        <v>70</v>
      </c>
      <c r="D26" s="3">
        <v>26</v>
      </c>
      <c r="E26" s="3">
        <v>115</v>
      </c>
      <c r="F26" s="3">
        <v>31.1</v>
      </c>
      <c r="G26" s="3">
        <v>0.205</v>
      </c>
      <c r="H26" s="3">
        <v>41</v>
      </c>
      <c r="I26">
        <v>1</v>
      </c>
    </row>
    <row r="27" spans="1:9">
      <c r="A27" s="3">
        <v>7</v>
      </c>
      <c r="B27" s="3">
        <v>147</v>
      </c>
      <c r="C27" s="3">
        <v>76</v>
      </c>
      <c r="D27" s="3">
        <v>0</v>
      </c>
      <c r="E27" s="3">
        <v>0</v>
      </c>
      <c r="F27" s="3">
        <v>39.4</v>
      </c>
      <c r="G27" s="3">
        <v>0.257</v>
      </c>
      <c r="H27" s="3">
        <v>43</v>
      </c>
      <c r="I27">
        <v>1</v>
      </c>
    </row>
    <row r="28" spans="1:9">
      <c r="A28" s="3">
        <v>1</v>
      </c>
      <c r="B28" s="3">
        <v>97</v>
      </c>
      <c r="C28" s="3">
        <v>66</v>
      </c>
      <c r="D28" s="3">
        <v>15</v>
      </c>
      <c r="E28" s="3">
        <v>140</v>
      </c>
      <c r="F28" s="3">
        <v>23.2</v>
      </c>
      <c r="G28" s="3">
        <v>0.487</v>
      </c>
      <c r="H28" s="3">
        <v>22</v>
      </c>
      <c r="I28">
        <v>0</v>
      </c>
    </row>
    <row r="29" spans="1:9">
      <c r="A29" s="3">
        <v>13</v>
      </c>
      <c r="B29" s="3">
        <v>145</v>
      </c>
      <c r="C29" s="3">
        <v>82</v>
      </c>
      <c r="D29" s="3">
        <v>19</v>
      </c>
      <c r="E29" s="3">
        <v>110</v>
      </c>
      <c r="F29" s="3">
        <v>22.2</v>
      </c>
      <c r="G29" s="3">
        <v>0.245</v>
      </c>
      <c r="H29" s="3">
        <v>57</v>
      </c>
      <c r="I29">
        <v>0</v>
      </c>
    </row>
    <row r="30" spans="1:9">
      <c r="A30" s="3">
        <v>5</v>
      </c>
      <c r="B30" s="3">
        <v>117</v>
      </c>
      <c r="C30" s="3">
        <v>92</v>
      </c>
      <c r="D30" s="3">
        <v>0</v>
      </c>
      <c r="E30" s="3">
        <v>0</v>
      </c>
      <c r="F30" s="3">
        <v>34.1</v>
      </c>
      <c r="G30" s="3">
        <v>0.337</v>
      </c>
      <c r="H30" s="3">
        <v>38</v>
      </c>
      <c r="I30">
        <v>0</v>
      </c>
    </row>
    <row r="31" spans="1:9">
      <c r="A31" s="3">
        <v>5</v>
      </c>
      <c r="B31" s="3">
        <v>109</v>
      </c>
      <c r="C31" s="3">
        <v>75</v>
      </c>
      <c r="D31" s="3">
        <v>26</v>
      </c>
      <c r="E31" s="3">
        <v>0</v>
      </c>
      <c r="F31" s="3">
        <v>36</v>
      </c>
      <c r="G31" s="3">
        <v>0.546</v>
      </c>
      <c r="H31" s="3">
        <v>60</v>
      </c>
      <c r="I31">
        <v>0</v>
      </c>
    </row>
    <row r="32" spans="1:9">
      <c r="A32" s="3">
        <v>3</v>
      </c>
      <c r="B32" s="3">
        <v>158</v>
      </c>
      <c r="C32" s="3">
        <v>76</v>
      </c>
      <c r="D32" s="3">
        <v>36</v>
      </c>
      <c r="E32" s="3">
        <v>245</v>
      </c>
      <c r="F32" s="3">
        <v>31.6</v>
      </c>
      <c r="G32" s="3">
        <v>0.851</v>
      </c>
      <c r="H32" s="3">
        <v>28</v>
      </c>
      <c r="I32">
        <v>1</v>
      </c>
    </row>
    <row r="33" spans="1:9">
      <c r="A33" s="3">
        <v>3</v>
      </c>
      <c r="B33" s="3">
        <v>88</v>
      </c>
      <c r="C33" s="3">
        <v>58</v>
      </c>
      <c r="D33" s="3">
        <v>11</v>
      </c>
      <c r="E33" s="3">
        <v>54</v>
      </c>
      <c r="F33" s="3">
        <v>24.8</v>
      </c>
      <c r="G33" s="3">
        <v>0.267</v>
      </c>
      <c r="H33" s="3">
        <v>22</v>
      </c>
      <c r="I33">
        <v>0</v>
      </c>
    </row>
    <row r="34" spans="1:9">
      <c r="A34" s="3">
        <v>6</v>
      </c>
      <c r="B34" s="3">
        <v>92</v>
      </c>
      <c r="C34" s="3">
        <v>92</v>
      </c>
      <c r="D34" s="3">
        <v>0</v>
      </c>
      <c r="E34" s="3">
        <v>0</v>
      </c>
      <c r="F34" s="3">
        <v>19.9</v>
      </c>
      <c r="G34" s="3">
        <v>0.188</v>
      </c>
      <c r="H34" s="3">
        <v>28</v>
      </c>
      <c r="I34">
        <v>0</v>
      </c>
    </row>
    <row r="35" spans="1:9">
      <c r="A35" s="3">
        <v>10</v>
      </c>
      <c r="B35" s="3">
        <v>122</v>
      </c>
      <c r="C35" s="3">
        <v>78</v>
      </c>
      <c r="D35" s="3">
        <v>31</v>
      </c>
      <c r="E35" s="3">
        <v>0</v>
      </c>
      <c r="F35" s="3">
        <v>27.6</v>
      </c>
      <c r="G35" s="3">
        <v>0.512</v>
      </c>
      <c r="H35" s="3">
        <v>45</v>
      </c>
      <c r="I35">
        <v>0</v>
      </c>
    </row>
    <row r="36" spans="1:9">
      <c r="A36" s="3">
        <v>4</v>
      </c>
      <c r="B36" s="3">
        <v>103</v>
      </c>
      <c r="C36" s="3">
        <v>60</v>
      </c>
      <c r="D36" s="3">
        <v>33</v>
      </c>
      <c r="E36" s="3">
        <v>192</v>
      </c>
      <c r="F36" s="3">
        <v>24</v>
      </c>
      <c r="G36" s="3">
        <v>0.966</v>
      </c>
      <c r="H36" s="3">
        <v>33</v>
      </c>
      <c r="I36">
        <v>0</v>
      </c>
    </row>
    <row r="37" spans="1:9">
      <c r="A37" s="3">
        <v>11</v>
      </c>
      <c r="B37" s="3">
        <v>138</v>
      </c>
      <c r="C37" s="3">
        <v>76</v>
      </c>
      <c r="D37" s="3">
        <v>0</v>
      </c>
      <c r="E37" s="3">
        <v>0</v>
      </c>
      <c r="F37" s="3">
        <v>33.2</v>
      </c>
      <c r="G37" s="3">
        <v>0.42</v>
      </c>
      <c r="H37" s="3">
        <v>35</v>
      </c>
      <c r="I37">
        <v>0</v>
      </c>
    </row>
    <row r="38" spans="1:9">
      <c r="A38" s="3">
        <v>9</v>
      </c>
      <c r="B38" s="3">
        <v>102</v>
      </c>
      <c r="C38" s="3">
        <v>76</v>
      </c>
      <c r="D38" s="3">
        <v>37</v>
      </c>
      <c r="E38" s="3">
        <v>0</v>
      </c>
      <c r="F38" s="3">
        <v>32.9</v>
      </c>
      <c r="G38" s="3">
        <v>0.665</v>
      </c>
      <c r="H38" s="3">
        <v>46</v>
      </c>
      <c r="I38">
        <v>1</v>
      </c>
    </row>
    <row r="39" spans="1:9">
      <c r="A39" s="3">
        <v>2</v>
      </c>
      <c r="B39" s="3">
        <v>90</v>
      </c>
      <c r="C39" s="3">
        <v>68</v>
      </c>
      <c r="D39" s="3">
        <v>42</v>
      </c>
      <c r="E39" s="3">
        <v>0</v>
      </c>
      <c r="F39" s="3">
        <v>38.2</v>
      </c>
      <c r="G39" s="3">
        <v>0.503</v>
      </c>
      <c r="H39" s="3">
        <v>27</v>
      </c>
      <c r="I39">
        <v>1</v>
      </c>
    </row>
    <row r="40" spans="1:9">
      <c r="A40" s="3">
        <v>4</v>
      </c>
      <c r="B40" s="3">
        <v>111</v>
      </c>
      <c r="C40" s="3">
        <v>72</v>
      </c>
      <c r="D40" s="3">
        <v>47</v>
      </c>
      <c r="E40" s="3">
        <v>207</v>
      </c>
      <c r="F40" s="3">
        <v>37.1</v>
      </c>
      <c r="G40" s="3">
        <v>1.39</v>
      </c>
      <c r="H40" s="3">
        <v>56</v>
      </c>
      <c r="I40">
        <v>1</v>
      </c>
    </row>
    <row r="41" spans="1:9">
      <c r="A41" s="3">
        <v>3</v>
      </c>
      <c r="B41" s="3">
        <v>180</v>
      </c>
      <c r="C41" s="3">
        <v>64</v>
      </c>
      <c r="D41" s="3">
        <v>25</v>
      </c>
      <c r="E41" s="3">
        <v>70</v>
      </c>
      <c r="F41" s="3">
        <v>34</v>
      </c>
      <c r="G41" s="3">
        <v>0.271</v>
      </c>
      <c r="H41" s="3">
        <v>26</v>
      </c>
      <c r="I41">
        <v>0</v>
      </c>
    </row>
    <row r="42" spans="1:9">
      <c r="A42" s="3">
        <v>7</v>
      </c>
      <c r="B42" s="3">
        <v>133</v>
      </c>
      <c r="C42" s="3">
        <v>84</v>
      </c>
      <c r="D42" s="3">
        <v>0</v>
      </c>
      <c r="E42" s="3">
        <v>0</v>
      </c>
      <c r="F42" s="3">
        <v>40.2</v>
      </c>
      <c r="G42" s="3">
        <v>0.696</v>
      </c>
      <c r="H42" s="3">
        <v>37</v>
      </c>
      <c r="I42">
        <v>0</v>
      </c>
    </row>
    <row r="43" spans="1:9">
      <c r="A43" s="3">
        <v>7</v>
      </c>
      <c r="B43" s="3">
        <v>106</v>
      </c>
      <c r="C43" s="3">
        <v>92</v>
      </c>
      <c r="D43" s="3">
        <v>18</v>
      </c>
      <c r="E43" s="3">
        <v>0</v>
      </c>
      <c r="F43" s="3">
        <v>22.7</v>
      </c>
      <c r="G43" s="3">
        <v>0.235</v>
      </c>
      <c r="H43" s="3">
        <v>48</v>
      </c>
      <c r="I43">
        <v>0</v>
      </c>
    </row>
    <row r="44" spans="1:9">
      <c r="A44" s="3">
        <v>9</v>
      </c>
      <c r="B44" s="3">
        <v>171</v>
      </c>
      <c r="C44" s="3">
        <v>110</v>
      </c>
      <c r="D44" s="3">
        <v>24</v>
      </c>
      <c r="E44" s="3">
        <v>240</v>
      </c>
      <c r="F44" s="3">
        <v>45.4</v>
      </c>
      <c r="G44" s="3">
        <v>0.721</v>
      </c>
      <c r="H44" s="3">
        <v>54</v>
      </c>
      <c r="I44">
        <v>1</v>
      </c>
    </row>
    <row r="45" spans="1:9">
      <c r="A45" s="3">
        <v>7</v>
      </c>
      <c r="B45" s="3">
        <v>159</v>
      </c>
      <c r="C45" s="3">
        <v>64</v>
      </c>
      <c r="D45" s="3">
        <v>0</v>
      </c>
      <c r="E45" s="3">
        <v>0</v>
      </c>
      <c r="F45" s="3">
        <v>27.4</v>
      </c>
      <c r="G45" s="3">
        <v>0.294</v>
      </c>
      <c r="H45" s="3">
        <v>40</v>
      </c>
      <c r="I45">
        <v>0</v>
      </c>
    </row>
    <row r="46" spans="1:9">
      <c r="A46" s="3">
        <v>0</v>
      </c>
      <c r="B46" s="3">
        <v>180</v>
      </c>
      <c r="C46" s="3">
        <v>66</v>
      </c>
      <c r="D46" s="3">
        <v>39</v>
      </c>
      <c r="E46" s="3">
        <v>0</v>
      </c>
      <c r="F46" s="3">
        <v>42</v>
      </c>
      <c r="G46" s="3">
        <v>1.893</v>
      </c>
      <c r="H46" s="3">
        <v>25</v>
      </c>
      <c r="I46">
        <v>1</v>
      </c>
    </row>
    <row r="47" spans="1:9">
      <c r="A47" s="3">
        <v>1</v>
      </c>
      <c r="B47" s="3">
        <v>146</v>
      </c>
      <c r="C47" s="3">
        <v>56</v>
      </c>
      <c r="D47" s="3">
        <v>0</v>
      </c>
      <c r="E47" s="3">
        <v>0</v>
      </c>
      <c r="F47" s="3">
        <v>29.7</v>
      </c>
      <c r="G47" s="3">
        <v>0.564</v>
      </c>
      <c r="H47" s="3">
        <v>29</v>
      </c>
      <c r="I47">
        <v>0</v>
      </c>
    </row>
    <row r="48" spans="1:9">
      <c r="A48" s="3">
        <v>2</v>
      </c>
      <c r="B48" s="3">
        <v>71</v>
      </c>
      <c r="C48" s="3">
        <v>70</v>
      </c>
      <c r="D48" s="3">
        <v>27</v>
      </c>
      <c r="E48" s="3">
        <v>0</v>
      </c>
      <c r="F48" s="3">
        <v>28</v>
      </c>
      <c r="G48" s="3">
        <v>0.586</v>
      </c>
      <c r="H48" s="3">
        <v>22</v>
      </c>
      <c r="I48">
        <v>0</v>
      </c>
    </row>
    <row r="49" spans="1:9">
      <c r="A49" s="3">
        <v>7</v>
      </c>
      <c r="B49" s="3">
        <v>103</v>
      </c>
      <c r="C49" s="3">
        <v>66</v>
      </c>
      <c r="D49" s="3">
        <v>32</v>
      </c>
      <c r="E49" s="3">
        <v>0</v>
      </c>
      <c r="F49" s="3">
        <v>39.1</v>
      </c>
      <c r="G49" s="3">
        <v>0.344</v>
      </c>
      <c r="H49" s="3">
        <v>31</v>
      </c>
      <c r="I49">
        <v>1</v>
      </c>
    </row>
    <row r="50" spans="1:9">
      <c r="A50" s="3">
        <v>7</v>
      </c>
      <c r="B50" s="3">
        <v>105</v>
      </c>
      <c r="C50" s="3">
        <v>0</v>
      </c>
      <c r="D50" s="3">
        <v>0</v>
      </c>
      <c r="E50" s="3">
        <v>0</v>
      </c>
      <c r="F50" s="3">
        <v>0</v>
      </c>
      <c r="G50" s="3">
        <v>0.305</v>
      </c>
      <c r="H50" s="3">
        <v>24</v>
      </c>
      <c r="I50">
        <v>0</v>
      </c>
    </row>
    <row r="51" spans="1:9">
      <c r="A51" s="3">
        <v>1</v>
      </c>
      <c r="B51" s="3">
        <v>103</v>
      </c>
      <c r="C51" s="3">
        <v>80</v>
      </c>
      <c r="D51" s="3">
        <v>11</v>
      </c>
      <c r="E51" s="3">
        <v>82</v>
      </c>
      <c r="F51" s="3">
        <v>19.4</v>
      </c>
      <c r="G51" s="3">
        <v>0.491</v>
      </c>
      <c r="H51" s="3">
        <v>22</v>
      </c>
      <c r="I51">
        <v>0</v>
      </c>
    </row>
    <row r="52" spans="1:9">
      <c r="A52" s="3">
        <v>1</v>
      </c>
      <c r="B52" s="3">
        <v>101</v>
      </c>
      <c r="C52" s="3">
        <v>50</v>
      </c>
      <c r="D52" s="3">
        <v>15</v>
      </c>
      <c r="E52" s="3">
        <v>36</v>
      </c>
      <c r="F52" s="3">
        <v>24.2</v>
      </c>
      <c r="G52" s="3">
        <v>0.526</v>
      </c>
      <c r="H52" s="3">
        <v>26</v>
      </c>
      <c r="I52">
        <v>0</v>
      </c>
    </row>
    <row r="53" spans="1:9">
      <c r="A53" s="3">
        <v>5</v>
      </c>
      <c r="B53" s="3">
        <v>88</v>
      </c>
      <c r="C53" s="3">
        <v>66</v>
      </c>
      <c r="D53" s="3">
        <v>21</v>
      </c>
      <c r="E53" s="3">
        <v>23</v>
      </c>
      <c r="F53" s="3">
        <v>24.4</v>
      </c>
      <c r="G53" s="3">
        <v>0.342</v>
      </c>
      <c r="H53" s="3">
        <v>30</v>
      </c>
      <c r="I53">
        <v>0</v>
      </c>
    </row>
    <row r="54" spans="1:9">
      <c r="A54" s="3">
        <v>8</v>
      </c>
      <c r="B54" s="3">
        <v>176</v>
      </c>
      <c r="C54" s="3">
        <v>90</v>
      </c>
      <c r="D54" s="3">
        <v>34</v>
      </c>
      <c r="E54" s="3">
        <v>300</v>
      </c>
      <c r="F54" s="3">
        <v>33.7</v>
      </c>
      <c r="G54" s="3">
        <v>0.467</v>
      </c>
      <c r="H54" s="3">
        <v>58</v>
      </c>
      <c r="I54">
        <v>1</v>
      </c>
    </row>
    <row r="55" spans="1:9">
      <c r="A55" s="3">
        <v>7</v>
      </c>
      <c r="B55" s="3">
        <v>150</v>
      </c>
      <c r="C55" s="3">
        <v>66</v>
      </c>
      <c r="D55" s="3">
        <v>42</v>
      </c>
      <c r="E55" s="3">
        <v>342</v>
      </c>
      <c r="F55" s="3">
        <v>34.7</v>
      </c>
      <c r="G55" s="3">
        <v>0.718</v>
      </c>
      <c r="H55" s="3">
        <v>42</v>
      </c>
      <c r="I55">
        <v>0</v>
      </c>
    </row>
    <row r="56" spans="1:9">
      <c r="A56" s="3">
        <v>1</v>
      </c>
      <c r="B56" s="3">
        <v>73</v>
      </c>
      <c r="C56" s="3">
        <v>50</v>
      </c>
      <c r="D56" s="3">
        <v>10</v>
      </c>
      <c r="E56" s="3">
        <v>0</v>
      </c>
      <c r="F56" s="3">
        <v>23</v>
      </c>
      <c r="G56" s="3">
        <v>0.248</v>
      </c>
      <c r="H56" s="3">
        <v>21</v>
      </c>
      <c r="I56">
        <v>0</v>
      </c>
    </row>
    <row r="57" spans="1:9">
      <c r="A57" s="3">
        <v>7</v>
      </c>
      <c r="B57" s="3">
        <v>187</v>
      </c>
      <c r="C57" s="3">
        <v>68</v>
      </c>
      <c r="D57" s="3">
        <v>39</v>
      </c>
      <c r="E57" s="3">
        <v>304</v>
      </c>
      <c r="F57" s="3">
        <v>37.7</v>
      </c>
      <c r="G57" s="3">
        <v>0.254</v>
      </c>
      <c r="H57" s="3">
        <v>41</v>
      </c>
      <c r="I57">
        <v>1</v>
      </c>
    </row>
    <row r="58" spans="1:9">
      <c r="A58" s="3">
        <v>0</v>
      </c>
      <c r="B58" s="3">
        <v>100</v>
      </c>
      <c r="C58" s="3">
        <v>88</v>
      </c>
      <c r="D58" s="3">
        <v>60</v>
      </c>
      <c r="E58" s="3">
        <v>110</v>
      </c>
      <c r="F58" s="3">
        <v>46.8</v>
      </c>
      <c r="G58" s="3">
        <v>0.962</v>
      </c>
      <c r="H58" s="3">
        <v>31</v>
      </c>
      <c r="I58">
        <v>0</v>
      </c>
    </row>
    <row r="59" spans="1:9">
      <c r="A59" s="3">
        <v>0</v>
      </c>
      <c r="B59" s="3">
        <v>146</v>
      </c>
      <c r="C59" s="3">
        <v>82</v>
      </c>
      <c r="D59" s="3">
        <v>0</v>
      </c>
      <c r="E59" s="3">
        <v>0</v>
      </c>
      <c r="F59" s="3">
        <v>40.5</v>
      </c>
      <c r="G59" s="3">
        <v>1.781</v>
      </c>
      <c r="H59" s="3">
        <v>44</v>
      </c>
      <c r="I59">
        <v>0</v>
      </c>
    </row>
    <row r="60" spans="1:9">
      <c r="A60" s="3">
        <v>0</v>
      </c>
      <c r="B60" s="3">
        <v>105</v>
      </c>
      <c r="C60" s="3">
        <v>64</v>
      </c>
      <c r="D60" s="3">
        <v>41</v>
      </c>
      <c r="E60" s="3">
        <v>142</v>
      </c>
      <c r="F60" s="3">
        <v>41.5</v>
      </c>
      <c r="G60" s="3">
        <v>0.173</v>
      </c>
      <c r="H60" s="3">
        <v>22</v>
      </c>
      <c r="I60">
        <v>0</v>
      </c>
    </row>
    <row r="61" spans="1:9">
      <c r="A61" s="3">
        <v>2</v>
      </c>
      <c r="B61" s="3">
        <v>84</v>
      </c>
      <c r="C61" s="3">
        <v>0</v>
      </c>
      <c r="D61" s="3">
        <v>0</v>
      </c>
      <c r="E61" s="3">
        <v>0</v>
      </c>
      <c r="F61" s="3">
        <v>0</v>
      </c>
      <c r="G61" s="3">
        <v>0.304</v>
      </c>
      <c r="H61" s="3">
        <v>21</v>
      </c>
      <c r="I61">
        <v>0</v>
      </c>
    </row>
    <row r="62" spans="1:9">
      <c r="A62" s="3">
        <v>8</v>
      </c>
      <c r="B62" s="3">
        <v>133</v>
      </c>
      <c r="C62" s="3">
        <v>72</v>
      </c>
      <c r="D62" s="3">
        <v>0</v>
      </c>
      <c r="E62" s="3">
        <v>0</v>
      </c>
      <c r="F62" s="3">
        <v>32.9</v>
      </c>
      <c r="G62" s="3">
        <v>0.27</v>
      </c>
      <c r="H62" s="3">
        <v>39</v>
      </c>
      <c r="I62">
        <v>1</v>
      </c>
    </row>
    <row r="63" spans="1:9">
      <c r="A63" s="3">
        <v>5</v>
      </c>
      <c r="B63" s="3">
        <v>44</v>
      </c>
      <c r="C63" s="3">
        <v>62</v>
      </c>
      <c r="D63" s="3">
        <v>0</v>
      </c>
      <c r="E63" s="3">
        <v>0</v>
      </c>
      <c r="F63" s="3">
        <v>25</v>
      </c>
      <c r="G63" s="3">
        <v>0.587</v>
      </c>
      <c r="H63" s="3">
        <v>36</v>
      </c>
      <c r="I63">
        <v>0</v>
      </c>
    </row>
    <row r="64" spans="1:9">
      <c r="A64" s="3">
        <v>2</v>
      </c>
      <c r="B64" s="3">
        <v>141</v>
      </c>
      <c r="C64" s="3">
        <v>58</v>
      </c>
      <c r="D64" s="3">
        <v>34</v>
      </c>
      <c r="E64" s="3">
        <v>128</v>
      </c>
      <c r="F64" s="3">
        <v>25.4</v>
      </c>
      <c r="G64" s="3">
        <v>0.699</v>
      </c>
      <c r="H64" s="3">
        <v>24</v>
      </c>
      <c r="I64">
        <v>0</v>
      </c>
    </row>
    <row r="65" spans="1:9">
      <c r="A65" s="3">
        <v>7</v>
      </c>
      <c r="B65" s="3">
        <v>114</v>
      </c>
      <c r="C65" s="3">
        <v>66</v>
      </c>
      <c r="D65" s="3">
        <v>0</v>
      </c>
      <c r="E65" s="3">
        <v>0</v>
      </c>
      <c r="F65" s="3">
        <v>32.8</v>
      </c>
      <c r="G65" s="3">
        <v>0.258</v>
      </c>
      <c r="H65" s="3">
        <v>42</v>
      </c>
      <c r="I65">
        <v>1</v>
      </c>
    </row>
    <row r="66" spans="1:9">
      <c r="A66" s="3">
        <v>5</v>
      </c>
      <c r="B66" s="3">
        <v>99</v>
      </c>
      <c r="C66" s="3">
        <v>74</v>
      </c>
      <c r="D66" s="3">
        <v>27</v>
      </c>
      <c r="E66" s="3">
        <v>0</v>
      </c>
      <c r="F66" s="3">
        <v>29</v>
      </c>
      <c r="G66" s="3">
        <v>0.203</v>
      </c>
      <c r="H66" s="3">
        <v>32</v>
      </c>
      <c r="I66">
        <v>0</v>
      </c>
    </row>
    <row r="67" spans="1:9">
      <c r="A67" s="3">
        <v>0</v>
      </c>
      <c r="B67" s="3">
        <v>109</v>
      </c>
      <c r="C67" s="3">
        <v>88</v>
      </c>
      <c r="D67" s="3">
        <v>30</v>
      </c>
      <c r="E67" s="3">
        <v>0</v>
      </c>
      <c r="F67" s="3">
        <v>32.5</v>
      </c>
      <c r="G67" s="3">
        <v>0.855</v>
      </c>
      <c r="H67" s="3">
        <v>38</v>
      </c>
      <c r="I67">
        <v>1</v>
      </c>
    </row>
    <row r="68" spans="1:9">
      <c r="A68" s="3">
        <v>2</v>
      </c>
      <c r="B68" s="3">
        <v>109</v>
      </c>
      <c r="C68" s="3">
        <v>92</v>
      </c>
      <c r="D68" s="3">
        <v>0</v>
      </c>
      <c r="E68" s="3">
        <v>0</v>
      </c>
      <c r="F68" s="3">
        <v>42.7</v>
      </c>
      <c r="G68" s="3">
        <v>0.845</v>
      </c>
      <c r="H68" s="3">
        <v>54</v>
      </c>
      <c r="I68">
        <v>0</v>
      </c>
    </row>
    <row r="69" spans="1:9">
      <c r="A69" s="3">
        <v>1</v>
      </c>
      <c r="B69" s="3">
        <v>95</v>
      </c>
      <c r="C69" s="3">
        <v>66</v>
      </c>
      <c r="D69" s="3">
        <v>13</v>
      </c>
      <c r="E69" s="3">
        <v>38</v>
      </c>
      <c r="F69" s="3">
        <v>19.6</v>
      </c>
      <c r="G69" s="3">
        <v>0.334</v>
      </c>
      <c r="H69" s="3">
        <v>25</v>
      </c>
      <c r="I69">
        <v>0</v>
      </c>
    </row>
    <row r="70" spans="1:9">
      <c r="A70" s="3">
        <v>4</v>
      </c>
      <c r="B70" s="3">
        <v>146</v>
      </c>
      <c r="C70" s="3">
        <v>85</v>
      </c>
      <c r="D70" s="3">
        <v>27</v>
      </c>
      <c r="E70" s="3">
        <v>100</v>
      </c>
      <c r="F70" s="3">
        <v>28.9</v>
      </c>
      <c r="G70" s="3">
        <v>0.189</v>
      </c>
      <c r="H70" s="3">
        <v>27</v>
      </c>
      <c r="I70">
        <v>0</v>
      </c>
    </row>
    <row r="71" spans="1:9">
      <c r="A71" s="3">
        <v>2</v>
      </c>
      <c r="B71" s="3">
        <v>100</v>
      </c>
      <c r="C71" s="3">
        <v>66</v>
      </c>
      <c r="D71" s="3">
        <v>20</v>
      </c>
      <c r="E71" s="3">
        <v>90</v>
      </c>
      <c r="F71" s="3">
        <v>32.9</v>
      </c>
      <c r="G71" s="3">
        <v>0.867</v>
      </c>
      <c r="H71" s="3">
        <v>28</v>
      </c>
      <c r="I71">
        <v>1</v>
      </c>
    </row>
    <row r="72" spans="1:9">
      <c r="A72" s="3">
        <v>5</v>
      </c>
      <c r="B72" s="3">
        <v>139</v>
      </c>
      <c r="C72" s="3">
        <v>64</v>
      </c>
      <c r="D72" s="3">
        <v>35</v>
      </c>
      <c r="E72" s="3">
        <v>140</v>
      </c>
      <c r="F72" s="3">
        <v>28.6</v>
      </c>
      <c r="G72" s="3">
        <v>0.411</v>
      </c>
      <c r="H72" s="3">
        <v>26</v>
      </c>
      <c r="I72">
        <v>0</v>
      </c>
    </row>
    <row r="73" spans="1:9">
      <c r="A73" s="3">
        <v>13</v>
      </c>
      <c r="B73" s="3">
        <v>126</v>
      </c>
      <c r="C73" s="3">
        <v>90</v>
      </c>
      <c r="D73" s="3">
        <v>0</v>
      </c>
      <c r="E73" s="3">
        <v>0</v>
      </c>
      <c r="F73" s="3">
        <v>43.4</v>
      </c>
      <c r="G73" s="3">
        <v>0.583</v>
      </c>
      <c r="H73" s="3">
        <v>42</v>
      </c>
      <c r="I73">
        <v>1</v>
      </c>
    </row>
    <row r="74" spans="1:9">
      <c r="A74" s="3">
        <v>4</v>
      </c>
      <c r="B74" s="3">
        <v>129</v>
      </c>
      <c r="C74" s="3">
        <v>86</v>
      </c>
      <c r="D74" s="3">
        <v>20</v>
      </c>
      <c r="E74" s="3">
        <v>270</v>
      </c>
      <c r="F74" s="3">
        <v>35.1</v>
      </c>
      <c r="G74" s="3">
        <v>0.231</v>
      </c>
      <c r="H74" s="3">
        <v>23</v>
      </c>
      <c r="I74">
        <v>0</v>
      </c>
    </row>
    <row r="75" spans="1:9">
      <c r="A75" s="3">
        <v>1</v>
      </c>
      <c r="B75" s="3">
        <v>79</v>
      </c>
      <c r="C75" s="3">
        <v>75</v>
      </c>
      <c r="D75" s="3">
        <v>30</v>
      </c>
      <c r="E75" s="3">
        <v>0</v>
      </c>
      <c r="F75" s="3">
        <v>32</v>
      </c>
      <c r="G75" s="3">
        <v>0.396</v>
      </c>
      <c r="H75" s="3">
        <v>22</v>
      </c>
      <c r="I75">
        <v>0</v>
      </c>
    </row>
    <row r="76" spans="1:9">
      <c r="A76" s="3">
        <v>1</v>
      </c>
      <c r="B76" s="3">
        <v>0</v>
      </c>
      <c r="C76" s="3">
        <v>48</v>
      </c>
      <c r="D76" s="3">
        <v>20</v>
      </c>
      <c r="E76" s="3">
        <v>0</v>
      </c>
      <c r="F76" s="3">
        <v>24.7</v>
      </c>
      <c r="G76" s="3">
        <v>0.14</v>
      </c>
      <c r="H76" s="3">
        <v>22</v>
      </c>
      <c r="I76">
        <v>0</v>
      </c>
    </row>
    <row r="77" spans="1:9">
      <c r="A77" s="3">
        <v>7</v>
      </c>
      <c r="B77" s="3">
        <v>62</v>
      </c>
      <c r="C77" s="3">
        <v>78</v>
      </c>
      <c r="D77" s="3">
        <v>0</v>
      </c>
      <c r="E77" s="3">
        <v>0</v>
      </c>
      <c r="F77" s="3">
        <v>32.6</v>
      </c>
      <c r="G77" s="3">
        <v>0.391</v>
      </c>
      <c r="H77" s="3">
        <v>41</v>
      </c>
      <c r="I77">
        <v>0</v>
      </c>
    </row>
    <row r="78" spans="1:9">
      <c r="A78" s="3">
        <v>5</v>
      </c>
      <c r="B78" s="3">
        <v>95</v>
      </c>
      <c r="C78" s="3">
        <v>72</v>
      </c>
      <c r="D78" s="3">
        <v>33</v>
      </c>
      <c r="E78" s="3">
        <v>0</v>
      </c>
      <c r="F78" s="3">
        <v>37.7</v>
      </c>
      <c r="G78" s="3">
        <v>0.37</v>
      </c>
      <c r="H78" s="3">
        <v>27</v>
      </c>
      <c r="I78">
        <v>0</v>
      </c>
    </row>
    <row r="79" spans="1:9">
      <c r="A79" s="3">
        <v>0</v>
      </c>
      <c r="B79" s="3">
        <v>131</v>
      </c>
      <c r="C79" s="3">
        <v>0</v>
      </c>
      <c r="D79" s="3">
        <v>0</v>
      </c>
      <c r="E79" s="3">
        <v>0</v>
      </c>
      <c r="F79" s="3">
        <v>43.2</v>
      </c>
      <c r="G79" s="3">
        <v>0.27</v>
      </c>
      <c r="H79" s="3">
        <v>26</v>
      </c>
      <c r="I79">
        <v>1</v>
      </c>
    </row>
    <row r="80" spans="1:9">
      <c r="A80" s="3">
        <v>2</v>
      </c>
      <c r="B80" s="3">
        <v>112</v>
      </c>
      <c r="C80" s="3">
        <v>66</v>
      </c>
      <c r="D80" s="3">
        <v>22</v>
      </c>
      <c r="E80" s="3">
        <v>0</v>
      </c>
      <c r="F80" s="3">
        <v>25</v>
      </c>
      <c r="G80" s="3">
        <v>0.307</v>
      </c>
      <c r="H80" s="3">
        <v>24</v>
      </c>
      <c r="I80">
        <v>0</v>
      </c>
    </row>
    <row r="81" spans="1:9">
      <c r="A81" s="3">
        <v>3</v>
      </c>
      <c r="B81" s="3">
        <v>113</v>
      </c>
      <c r="C81" s="3">
        <v>44</v>
      </c>
      <c r="D81" s="3">
        <v>13</v>
      </c>
      <c r="E81" s="3">
        <v>0</v>
      </c>
      <c r="F81" s="3">
        <v>22.4</v>
      </c>
      <c r="G81" s="3">
        <v>0.14</v>
      </c>
      <c r="H81" s="3">
        <v>22</v>
      </c>
      <c r="I81">
        <v>0</v>
      </c>
    </row>
    <row r="82" spans="1:9">
      <c r="A82" s="3">
        <v>2</v>
      </c>
      <c r="B82" s="3">
        <v>74</v>
      </c>
      <c r="C82" s="3">
        <v>0</v>
      </c>
      <c r="D82" s="3">
        <v>0</v>
      </c>
      <c r="E82" s="3">
        <v>0</v>
      </c>
      <c r="F82" s="3">
        <v>0</v>
      </c>
      <c r="G82" s="3">
        <v>0.102</v>
      </c>
      <c r="H82" s="3">
        <v>22</v>
      </c>
      <c r="I82">
        <v>0</v>
      </c>
    </row>
    <row r="83" spans="1:9">
      <c r="A83" s="3">
        <v>7</v>
      </c>
      <c r="B83" s="3">
        <v>83</v>
      </c>
      <c r="C83" s="3">
        <v>78</v>
      </c>
      <c r="D83" s="3">
        <v>26</v>
      </c>
      <c r="E83" s="3">
        <v>71</v>
      </c>
      <c r="F83" s="3">
        <v>29.3</v>
      </c>
      <c r="G83" s="3">
        <v>0.767</v>
      </c>
      <c r="H83" s="3">
        <v>36</v>
      </c>
      <c r="I83">
        <v>0</v>
      </c>
    </row>
    <row r="84" spans="1:9">
      <c r="A84" s="3">
        <v>0</v>
      </c>
      <c r="B84" s="3">
        <v>101</v>
      </c>
      <c r="C84" s="3">
        <v>65</v>
      </c>
      <c r="D84" s="3">
        <v>28</v>
      </c>
      <c r="E84" s="3">
        <v>0</v>
      </c>
      <c r="F84" s="3">
        <v>24.6</v>
      </c>
      <c r="G84" s="3">
        <v>0.237</v>
      </c>
      <c r="H84" s="3">
        <v>22</v>
      </c>
      <c r="I84">
        <v>0</v>
      </c>
    </row>
    <row r="85" spans="1:9">
      <c r="A85" s="3">
        <v>5</v>
      </c>
      <c r="B85" s="3">
        <v>137</v>
      </c>
      <c r="C85" s="3">
        <v>108</v>
      </c>
      <c r="D85" s="3">
        <v>0</v>
      </c>
      <c r="E85" s="3">
        <v>0</v>
      </c>
      <c r="F85" s="3">
        <v>48.8</v>
      </c>
      <c r="G85" s="3">
        <v>0.227</v>
      </c>
      <c r="H85" s="3">
        <v>37</v>
      </c>
      <c r="I85">
        <v>1</v>
      </c>
    </row>
    <row r="86" spans="1:9">
      <c r="A86" s="3">
        <v>2</v>
      </c>
      <c r="B86" s="3">
        <v>110</v>
      </c>
      <c r="C86" s="3">
        <v>74</v>
      </c>
      <c r="D86" s="3">
        <v>29</v>
      </c>
      <c r="E86" s="3">
        <v>125</v>
      </c>
      <c r="F86" s="3">
        <v>32.4</v>
      </c>
      <c r="G86" s="3">
        <v>0.698</v>
      </c>
      <c r="H86" s="3">
        <v>27</v>
      </c>
      <c r="I86">
        <v>0</v>
      </c>
    </row>
    <row r="87" spans="1:9">
      <c r="A87" s="3">
        <v>13</v>
      </c>
      <c r="B87" s="3">
        <v>106</v>
      </c>
      <c r="C87" s="3">
        <v>72</v>
      </c>
      <c r="D87" s="3">
        <v>54</v>
      </c>
      <c r="E87" s="3">
        <v>0</v>
      </c>
      <c r="F87" s="3">
        <v>36.6</v>
      </c>
      <c r="G87" s="3">
        <v>0.178</v>
      </c>
      <c r="H87" s="3">
        <v>45</v>
      </c>
      <c r="I87">
        <v>0</v>
      </c>
    </row>
    <row r="88" spans="1:9">
      <c r="A88" s="3">
        <v>2</v>
      </c>
      <c r="B88" s="3">
        <v>100</v>
      </c>
      <c r="C88" s="3">
        <v>68</v>
      </c>
      <c r="D88" s="3">
        <v>25</v>
      </c>
      <c r="E88" s="3">
        <v>71</v>
      </c>
      <c r="F88" s="3">
        <v>38.5</v>
      </c>
      <c r="G88" s="3">
        <v>0.324</v>
      </c>
      <c r="H88" s="3">
        <v>26</v>
      </c>
      <c r="I88">
        <v>0</v>
      </c>
    </row>
    <row r="89" spans="1:9">
      <c r="A89" s="3">
        <v>15</v>
      </c>
      <c r="B89" s="3">
        <v>136</v>
      </c>
      <c r="C89" s="3">
        <v>70</v>
      </c>
      <c r="D89" s="3">
        <v>32</v>
      </c>
      <c r="E89" s="3">
        <v>110</v>
      </c>
      <c r="F89" s="3">
        <v>37.1</v>
      </c>
      <c r="G89" s="3">
        <v>0.153</v>
      </c>
      <c r="H89" s="3">
        <v>43</v>
      </c>
      <c r="I89">
        <v>1</v>
      </c>
    </row>
    <row r="90" spans="1:9">
      <c r="A90" s="3">
        <v>1</v>
      </c>
      <c r="B90" s="3">
        <v>107</v>
      </c>
      <c r="C90" s="3">
        <v>68</v>
      </c>
      <c r="D90" s="3">
        <v>19</v>
      </c>
      <c r="E90" s="3">
        <v>0</v>
      </c>
      <c r="F90" s="3">
        <v>26.5</v>
      </c>
      <c r="G90" s="3">
        <v>0.165</v>
      </c>
      <c r="H90" s="3">
        <v>24</v>
      </c>
      <c r="I90">
        <v>0</v>
      </c>
    </row>
    <row r="91" spans="1:9">
      <c r="A91" s="3">
        <v>1</v>
      </c>
      <c r="B91" s="3">
        <v>80</v>
      </c>
      <c r="C91" s="3">
        <v>55</v>
      </c>
      <c r="D91" s="3">
        <v>0</v>
      </c>
      <c r="E91" s="3">
        <v>0</v>
      </c>
      <c r="F91" s="3">
        <v>19.1</v>
      </c>
      <c r="G91" s="3">
        <v>0.258</v>
      </c>
      <c r="H91" s="3">
        <v>21</v>
      </c>
      <c r="I91">
        <v>0</v>
      </c>
    </row>
    <row r="92" spans="1:9">
      <c r="A92" s="3">
        <v>4</v>
      </c>
      <c r="B92" s="3">
        <v>123</v>
      </c>
      <c r="C92" s="3">
        <v>80</v>
      </c>
      <c r="D92" s="3">
        <v>15</v>
      </c>
      <c r="E92" s="3">
        <v>176</v>
      </c>
      <c r="F92" s="3">
        <v>32</v>
      </c>
      <c r="G92" s="3">
        <v>0.443</v>
      </c>
      <c r="H92" s="3">
        <v>34</v>
      </c>
      <c r="I92">
        <v>0</v>
      </c>
    </row>
    <row r="93" spans="1:9">
      <c r="A93" s="3">
        <v>7</v>
      </c>
      <c r="B93" s="3">
        <v>81</v>
      </c>
      <c r="C93" s="3">
        <v>78</v>
      </c>
      <c r="D93" s="3">
        <v>40</v>
      </c>
      <c r="E93" s="3">
        <v>48</v>
      </c>
      <c r="F93" s="3">
        <v>46.7</v>
      </c>
      <c r="G93" s="3">
        <v>0.261</v>
      </c>
      <c r="H93" s="3">
        <v>42</v>
      </c>
      <c r="I93">
        <v>0</v>
      </c>
    </row>
    <row r="94" spans="1:9">
      <c r="A94" s="3">
        <v>4</v>
      </c>
      <c r="B94" s="3">
        <v>134</v>
      </c>
      <c r="C94" s="3">
        <v>72</v>
      </c>
      <c r="D94" s="3">
        <v>0</v>
      </c>
      <c r="E94" s="3">
        <v>0</v>
      </c>
      <c r="F94" s="3">
        <v>23.8</v>
      </c>
      <c r="G94" s="3">
        <v>0.277</v>
      </c>
      <c r="H94" s="3">
        <v>60</v>
      </c>
      <c r="I94">
        <v>1</v>
      </c>
    </row>
    <row r="95" spans="1:9">
      <c r="A95" s="3">
        <v>2</v>
      </c>
      <c r="B95" s="3">
        <v>142</v>
      </c>
      <c r="C95" s="3">
        <v>82</v>
      </c>
      <c r="D95" s="3">
        <v>18</v>
      </c>
      <c r="E95" s="3">
        <v>64</v>
      </c>
      <c r="F95" s="3">
        <v>24.7</v>
      </c>
      <c r="G95" s="3">
        <v>0.761</v>
      </c>
      <c r="H95" s="3">
        <v>21</v>
      </c>
      <c r="I95">
        <v>0</v>
      </c>
    </row>
    <row r="96" spans="1:9">
      <c r="A96" s="3">
        <v>6</v>
      </c>
      <c r="B96" s="3">
        <v>144</v>
      </c>
      <c r="C96" s="3">
        <v>72</v>
      </c>
      <c r="D96" s="3">
        <v>27</v>
      </c>
      <c r="E96" s="3">
        <v>228</v>
      </c>
      <c r="F96" s="3">
        <v>33.9</v>
      </c>
      <c r="G96" s="3">
        <v>0.255</v>
      </c>
      <c r="H96" s="3">
        <v>40</v>
      </c>
      <c r="I96">
        <v>0</v>
      </c>
    </row>
    <row r="97" spans="1:9">
      <c r="A97" s="3">
        <v>2</v>
      </c>
      <c r="B97" s="3">
        <v>92</v>
      </c>
      <c r="C97" s="3">
        <v>62</v>
      </c>
      <c r="D97" s="3">
        <v>28</v>
      </c>
      <c r="E97" s="3">
        <v>0</v>
      </c>
      <c r="F97" s="3">
        <v>31.6</v>
      </c>
      <c r="G97" s="3">
        <v>0.13</v>
      </c>
      <c r="H97" s="3">
        <v>24</v>
      </c>
      <c r="I97">
        <v>0</v>
      </c>
    </row>
    <row r="98" spans="1:9">
      <c r="A98" s="3">
        <v>1</v>
      </c>
      <c r="B98" s="3">
        <v>71</v>
      </c>
      <c r="C98" s="3">
        <v>48</v>
      </c>
      <c r="D98" s="3">
        <v>18</v>
      </c>
      <c r="E98" s="3">
        <v>76</v>
      </c>
      <c r="F98" s="3">
        <v>20.4</v>
      </c>
      <c r="G98" s="3">
        <v>0.323</v>
      </c>
      <c r="H98" s="3">
        <v>22</v>
      </c>
      <c r="I98">
        <v>0</v>
      </c>
    </row>
    <row r="99" spans="1:9">
      <c r="A99" s="3">
        <v>6</v>
      </c>
      <c r="B99" s="3">
        <v>93</v>
      </c>
      <c r="C99" s="3">
        <v>50</v>
      </c>
      <c r="D99" s="3">
        <v>30</v>
      </c>
      <c r="E99" s="3">
        <v>64</v>
      </c>
      <c r="F99" s="3">
        <v>28.7</v>
      </c>
      <c r="G99" s="3">
        <v>0.356</v>
      </c>
      <c r="H99" s="3">
        <v>23</v>
      </c>
      <c r="I99">
        <v>0</v>
      </c>
    </row>
    <row r="100" spans="1:9">
      <c r="A100" s="3">
        <v>1</v>
      </c>
      <c r="B100" s="3">
        <v>122</v>
      </c>
      <c r="C100" s="3">
        <v>90</v>
      </c>
      <c r="D100" s="3">
        <v>51</v>
      </c>
      <c r="E100" s="3">
        <v>220</v>
      </c>
      <c r="F100" s="3">
        <v>49.7</v>
      </c>
      <c r="G100" s="3">
        <v>0.325</v>
      </c>
      <c r="H100" s="3">
        <v>31</v>
      </c>
      <c r="I100">
        <v>1</v>
      </c>
    </row>
    <row r="101" spans="1:9">
      <c r="A101" s="3">
        <v>1</v>
      </c>
      <c r="B101" s="3">
        <v>163</v>
      </c>
      <c r="C101" s="3">
        <v>72</v>
      </c>
      <c r="D101" s="3">
        <v>0</v>
      </c>
      <c r="E101" s="3">
        <v>0</v>
      </c>
      <c r="F101" s="3">
        <v>39</v>
      </c>
      <c r="G101" s="3">
        <v>1.222</v>
      </c>
      <c r="H101" s="3">
        <v>33</v>
      </c>
      <c r="I101">
        <v>1</v>
      </c>
    </row>
    <row r="102" spans="1:9">
      <c r="A102" s="3">
        <v>1</v>
      </c>
      <c r="B102" s="3">
        <v>151</v>
      </c>
      <c r="C102" s="3">
        <v>60</v>
      </c>
      <c r="D102" s="3">
        <v>0</v>
      </c>
      <c r="E102" s="3">
        <v>0</v>
      </c>
      <c r="F102" s="3">
        <v>26.1</v>
      </c>
      <c r="G102" s="3">
        <v>0.179</v>
      </c>
      <c r="H102" s="3">
        <v>22</v>
      </c>
      <c r="I102">
        <v>0</v>
      </c>
    </row>
    <row r="103" spans="1:9">
      <c r="A103" s="3">
        <v>0</v>
      </c>
      <c r="B103" s="3">
        <v>125</v>
      </c>
      <c r="C103" s="3">
        <v>96</v>
      </c>
      <c r="D103" s="3">
        <v>0</v>
      </c>
      <c r="E103" s="3">
        <v>0</v>
      </c>
      <c r="F103" s="3">
        <v>22.5</v>
      </c>
      <c r="G103" s="3">
        <v>0.262</v>
      </c>
      <c r="H103" s="3">
        <v>21</v>
      </c>
      <c r="I103">
        <v>0</v>
      </c>
    </row>
    <row r="104" spans="1:9">
      <c r="A104" s="3">
        <v>1</v>
      </c>
      <c r="B104" s="3">
        <v>81</v>
      </c>
      <c r="C104" s="3">
        <v>72</v>
      </c>
      <c r="D104" s="3">
        <v>18</v>
      </c>
      <c r="E104" s="3">
        <v>40</v>
      </c>
      <c r="F104" s="3">
        <v>26.6</v>
      </c>
      <c r="G104" s="3">
        <v>0.283</v>
      </c>
      <c r="H104" s="3">
        <v>24</v>
      </c>
      <c r="I104">
        <v>0</v>
      </c>
    </row>
    <row r="105" spans="1:9">
      <c r="A105" s="3">
        <v>2</v>
      </c>
      <c r="B105" s="3">
        <v>85</v>
      </c>
      <c r="C105" s="3">
        <v>65</v>
      </c>
      <c r="D105" s="3">
        <v>0</v>
      </c>
      <c r="E105" s="3">
        <v>0</v>
      </c>
      <c r="F105" s="3">
        <v>39.6</v>
      </c>
      <c r="G105" s="3">
        <v>0.93</v>
      </c>
      <c r="H105" s="3">
        <v>27</v>
      </c>
      <c r="I105">
        <v>0</v>
      </c>
    </row>
    <row r="106" spans="1:9">
      <c r="A106" s="3">
        <v>1</v>
      </c>
      <c r="B106" s="3">
        <v>126</v>
      </c>
      <c r="C106" s="3">
        <v>56</v>
      </c>
      <c r="D106" s="3">
        <v>29</v>
      </c>
      <c r="E106" s="3">
        <v>152</v>
      </c>
      <c r="F106" s="3">
        <v>28.7</v>
      </c>
      <c r="G106" s="3">
        <v>0.801</v>
      </c>
      <c r="H106" s="3">
        <v>21</v>
      </c>
      <c r="I106">
        <v>0</v>
      </c>
    </row>
    <row r="107" spans="1:9">
      <c r="A107" s="3">
        <v>1</v>
      </c>
      <c r="B107" s="3">
        <v>96</v>
      </c>
      <c r="C107" s="3">
        <v>122</v>
      </c>
      <c r="D107" s="3">
        <v>0</v>
      </c>
      <c r="E107" s="3">
        <v>0</v>
      </c>
      <c r="F107" s="3">
        <v>22.4</v>
      </c>
      <c r="G107" s="3">
        <v>0.207</v>
      </c>
      <c r="H107" s="3">
        <v>27</v>
      </c>
      <c r="I107">
        <v>0</v>
      </c>
    </row>
    <row r="108" spans="1:9">
      <c r="A108" s="3">
        <v>4</v>
      </c>
      <c r="B108" s="3">
        <v>144</v>
      </c>
      <c r="C108" s="3">
        <v>58</v>
      </c>
      <c r="D108" s="3">
        <v>28</v>
      </c>
      <c r="E108" s="3">
        <v>140</v>
      </c>
      <c r="F108" s="3">
        <v>29.5</v>
      </c>
      <c r="G108" s="3">
        <v>0.287</v>
      </c>
      <c r="H108" s="3">
        <v>37</v>
      </c>
      <c r="I108">
        <v>0</v>
      </c>
    </row>
    <row r="109" spans="1:9">
      <c r="A109" s="3">
        <v>3</v>
      </c>
      <c r="B109" s="3">
        <v>83</v>
      </c>
      <c r="C109" s="3">
        <v>58</v>
      </c>
      <c r="D109" s="3">
        <v>31</v>
      </c>
      <c r="E109" s="3">
        <v>18</v>
      </c>
      <c r="F109" s="3">
        <v>34.3</v>
      </c>
      <c r="G109" s="3">
        <v>0.336</v>
      </c>
      <c r="H109" s="3">
        <v>25</v>
      </c>
      <c r="I109">
        <v>0</v>
      </c>
    </row>
    <row r="110" spans="1:9">
      <c r="A110" s="3">
        <v>0</v>
      </c>
      <c r="B110" s="3">
        <v>95</v>
      </c>
      <c r="C110" s="3">
        <v>85</v>
      </c>
      <c r="D110" s="3">
        <v>25</v>
      </c>
      <c r="E110" s="3">
        <v>36</v>
      </c>
      <c r="F110" s="3">
        <v>37.4</v>
      </c>
      <c r="G110" s="3">
        <v>0.247</v>
      </c>
      <c r="H110" s="3">
        <v>24</v>
      </c>
      <c r="I110">
        <v>1</v>
      </c>
    </row>
    <row r="111" spans="1:9">
      <c r="A111" s="3">
        <v>3</v>
      </c>
      <c r="B111" s="3">
        <v>171</v>
      </c>
      <c r="C111" s="3">
        <v>72</v>
      </c>
      <c r="D111" s="3">
        <v>33</v>
      </c>
      <c r="E111" s="3">
        <v>135</v>
      </c>
      <c r="F111" s="3">
        <v>33.3</v>
      </c>
      <c r="G111" s="3">
        <v>0.199</v>
      </c>
      <c r="H111" s="3">
        <v>24</v>
      </c>
      <c r="I111">
        <v>1</v>
      </c>
    </row>
    <row r="112" spans="1:9">
      <c r="A112" s="3">
        <v>8</v>
      </c>
      <c r="B112" s="3">
        <v>155</v>
      </c>
      <c r="C112" s="3">
        <v>62</v>
      </c>
      <c r="D112" s="3">
        <v>26</v>
      </c>
      <c r="E112" s="3">
        <v>495</v>
      </c>
      <c r="F112" s="3">
        <v>34</v>
      </c>
      <c r="G112" s="3">
        <v>0.543</v>
      </c>
      <c r="H112" s="3">
        <v>46</v>
      </c>
      <c r="I112">
        <v>1</v>
      </c>
    </row>
    <row r="113" spans="1:9">
      <c r="A113" s="3">
        <v>1</v>
      </c>
      <c r="B113" s="3">
        <v>89</v>
      </c>
      <c r="C113" s="3">
        <v>76</v>
      </c>
      <c r="D113" s="3">
        <v>34</v>
      </c>
      <c r="E113" s="3">
        <v>37</v>
      </c>
      <c r="F113" s="3">
        <v>31.2</v>
      </c>
      <c r="G113" s="3">
        <v>0.192</v>
      </c>
      <c r="H113" s="3">
        <v>23</v>
      </c>
      <c r="I113">
        <v>0</v>
      </c>
    </row>
    <row r="114" spans="1:9">
      <c r="A114" s="3">
        <v>4</v>
      </c>
      <c r="B114" s="3">
        <v>76</v>
      </c>
      <c r="C114" s="3">
        <v>62</v>
      </c>
      <c r="D114" s="3">
        <v>0</v>
      </c>
      <c r="E114" s="3">
        <v>0</v>
      </c>
      <c r="F114" s="3">
        <v>34</v>
      </c>
      <c r="G114" s="3">
        <v>0.391</v>
      </c>
      <c r="H114" s="3">
        <v>25</v>
      </c>
      <c r="I114">
        <v>0</v>
      </c>
    </row>
    <row r="115" spans="1:9">
      <c r="A115" s="3">
        <v>7</v>
      </c>
      <c r="B115" s="3">
        <v>160</v>
      </c>
      <c r="C115" s="3">
        <v>54</v>
      </c>
      <c r="D115" s="3">
        <v>32</v>
      </c>
      <c r="E115" s="3">
        <v>175</v>
      </c>
      <c r="F115" s="3">
        <v>30.5</v>
      </c>
      <c r="G115" s="3">
        <v>0.588</v>
      </c>
      <c r="H115" s="3">
        <v>39</v>
      </c>
      <c r="I115">
        <v>1</v>
      </c>
    </row>
    <row r="116" spans="1:9">
      <c r="A116" s="3">
        <v>4</v>
      </c>
      <c r="B116" s="3">
        <v>146</v>
      </c>
      <c r="C116" s="3">
        <v>92</v>
      </c>
      <c r="D116" s="3">
        <v>0</v>
      </c>
      <c r="E116" s="3">
        <v>0</v>
      </c>
      <c r="F116" s="3">
        <v>31.2</v>
      </c>
      <c r="G116" s="3">
        <v>0.539</v>
      </c>
      <c r="H116" s="3">
        <v>61</v>
      </c>
      <c r="I116">
        <v>1</v>
      </c>
    </row>
    <row r="117" spans="1:9">
      <c r="A117" s="3">
        <v>5</v>
      </c>
      <c r="B117" s="3">
        <v>124</v>
      </c>
      <c r="C117" s="3">
        <v>74</v>
      </c>
      <c r="D117" s="3">
        <v>0</v>
      </c>
      <c r="E117" s="3">
        <v>0</v>
      </c>
      <c r="F117" s="3">
        <v>34</v>
      </c>
      <c r="G117" s="3">
        <v>0.22</v>
      </c>
      <c r="H117" s="3">
        <v>38</v>
      </c>
      <c r="I117">
        <v>1</v>
      </c>
    </row>
    <row r="118" spans="1:9">
      <c r="A118" s="3">
        <v>5</v>
      </c>
      <c r="B118" s="3">
        <v>78</v>
      </c>
      <c r="C118" s="3">
        <v>48</v>
      </c>
      <c r="D118" s="3">
        <v>0</v>
      </c>
      <c r="E118" s="3">
        <v>0</v>
      </c>
      <c r="F118" s="3">
        <v>33.7</v>
      </c>
      <c r="G118" s="3">
        <v>0.654</v>
      </c>
      <c r="H118" s="3">
        <v>25</v>
      </c>
      <c r="I118">
        <v>0</v>
      </c>
    </row>
    <row r="119" spans="1:9">
      <c r="A119" s="3">
        <v>4</v>
      </c>
      <c r="B119" s="3">
        <v>97</v>
      </c>
      <c r="C119" s="3">
        <v>60</v>
      </c>
      <c r="D119" s="3">
        <v>23</v>
      </c>
      <c r="E119" s="3">
        <v>0</v>
      </c>
      <c r="F119" s="3">
        <v>28.2</v>
      </c>
      <c r="G119" s="3">
        <v>0.443</v>
      </c>
      <c r="H119" s="3">
        <v>22</v>
      </c>
      <c r="I119">
        <v>0</v>
      </c>
    </row>
    <row r="120" spans="1:9">
      <c r="A120" s="3">
        <v>4</v>
      </c>
      <c r="B120" s="3">
        <v>99</v>
      </c>
      <c r="C120" s="3">
        <v>76</v>
      </c>
      <c r="D120" s="3">
        <v>15</v>
      </c>
      <c r="E120" s="3">
        <v>51</v>
      </c>
      <c r="F120" s="3">
        <v>23.2</v>
      </c>
      <c r="G120" s="3">
        <v>0.223</v>
      </c>
      <c r="H120" s="3">
        <v>21</v>
      </c>
      <c r="I120">
        <v>0</v>
      </c>
    </row>
    <row r="121" spans="1:9">
      <c r="A121" s="3">
        <v>0</v>
      </c>
      <c r="B121" s="3">
        <v>162</v>
      </c>
      <c r="C121" s="3">
        <v>76</v>
      </c>
      <c r="D121" s="3">
        <v>56</v>
      </c>
      <c r="E121" s="3">
        <v>100</v>
      </c>
      <c r="F121" s="3">
        <v>53.2</v>
      </c>
      <c r="G121" s="3">
        <v>0.759</v>
      </c>
      <c r="H121" s="3">
        <v>25</v>
      </c>
      <c r="I121">
        <v>1</v>
      </c>
    </row>
    <row r="122" spans="1:9">
      <c r="A122" s="3">
        <v>6</v>
      </c>
      <c r="B122" s="3">
        <v>111</v>
      </c>
      <c r="C122" s="3">
        <v>64</v>
      </c>
      <c r="D122" s="3">
        <v>39</v>
      </c>
      <c r="E122" s="3">
        <v>0</v>
      </c>
      <c r="F122" s="3">
        <v>34.2</v>
      </c>
      <c r="G122" s="3">
        <v>0.26</v>
      </c>
      <c r="H122" s="3">
        <v>24</v>
      </c>
      <c r="I122">
        <v>0</v>
      </c>
    </row>
    <row r="123" spans="1:9">
      <c r="A123" s="3">
        <v>2</v>
      </c>
      <c r="B123" s="3">
        <v>107</v>
      </c>
      <c r="C123" s="3">
        <v>74</v>
      </c>
      <c r="D123" s="3">
        <v>30</v>
      </c>
      <c r="E123" s="3">
        <v>100</v>
      </c>
      <c r="F123" s="3">
        <v>33.6</v>
      </c>
      <c r="G123" s="3">
        <v>0.404</v>
      </c>
      <c r="H123" s="3">
        <v>23</v>
      </c>
      <c r="I123">
        <v>0</v>
      </c>
    </row>
    <row r="124" spans="1:9">
      <c r="A124" s="3">
        <v>5</v>
      </c>
      <c r="B124" s="3">
        <v>132</v>
      </c>
      <c r="C124" s="3">
        <v>80</v>
      </c>
      <c r="D124" s="3">
        <v>0</v>
      </c>
      <c r="E124" s="3">
        <v>0</v>
      </c>
      <c r="F124" s="3">
        <v>26.8</v>
      </c>
      <c r="G124" s="3">
        <v>0.186</v>
      </c>
      <c r="H124" s="3">
        <v>69</v>
      </c>
      <c r="I124">
        <v>0</v>
      </c>
    </row>
    <row r="125" spans="1:9">
      <c r="A125" s="3">
        <v>0</v>
      </c>
      <c r="B125" s="3">
        <v>113</v>
      </c>
      <c r="C125" s="3">
        <v>76</v>
      </c>
      <c r="D125" s="3">
        <v>0</v>
      </c>
      <c r="E125" s="3">
        <v>0</v>
      </c>
      <c r="F125" s="3">
        <v>33.3</v>
      </c>
      <c r="G125" s="3">
        <v>0.278</v>
      </c>
      <c r="H125" s="3">
        <v>23</v>
      </c>
      <c r="I125">
        <v>1</v>
      </c>
    </row>
    <row r="126" spans="1:9">
      <c r="A126" s="3">
        <v>1</v>
      </c>
      <c r="B126" s="3">
        <v>88</v>
      </c>
      <c r="C126" s="3">
        <v>30</v>
      </c>
      <c r="D126" s="3">
        <v>42</v>
      </c>
      <c r="E126" s="3">
        <v>99</v>
      </c>
      <c r="F126" s="3">
        <v>55</v>
      </c>
      <c r="G126" s="3">
        <v>0.496</v>
      </c>
      <c r="H126" s="3">
        <v>26</v>
      </c>
      <c r="I126">
        <v>1</v>
      </c>
    </row>
    <row r="127" spans="1:9">
      <c r="A127" s="3">
        <v>3</v>
      </c>
      <c r="B127" s="3">
        <v>120</v>
      </c>
      <c r="C127" s="3">
        <v>70</v>
      </c>
      <c r="D127" s="3">
        <v>30</v>
      </c>
      <c r="E127" s="3">
        <v>135</v>
      </c>
      <c r="F127" s="3">
        <v>42.9</v>
      </c>
      <c r="G127" s="3">
        <v>0.452</v>
      </c>
      <c r="H127" s="3">
        <v>30</v>
      </c>
      <c r="I127">
        <v>0</v>
      </c>
    </row>
    <row r="128" spans="1:9">
      <c r="A128" s="3">
        <v>1</v>
      </c>
      <c r="B128" s="3">
        <v>118</v>
      </c>
      <c r="C128" s="3">
        <v>58</v>
      </c>
      <c r="D128" s="3">
        <v>36</v>
      </c>
      <c r="E128" s="3">
        <v>94</v>
      </c>
      <c r="F128" s="3">
        <v>33.3</v>
      </c>
      <c r="G128" s="3">
        <v>0.261</v>
      </c>
      <c r="H128" s="3">
        <v>23</v>
      </c>
      <c r="I128">
        <v>0</v>
      </c>
    </row>
    <row r="129" spans="1:9">
      <c r="A129" s="3">
        <v>1</v>
      </c>
      <c r="B129" s="3">
        <v>117</v>
      </c>
      <c r="C129" s="3">
        <v>88</v>
      </c>
      <c r="D129" s="3">
        <v>24</v>
      </c>
      <c r="E129" s="3">
        <v>145</v>
      </c>
      <c r="F129" s="3">
        <v>34.5</v>
      </c>
      <c r="G129" s="3">
        <v>0.403</v>
      </c>
      <c r="H129" s="3">
        <v>40</v>
      </c>
      <c r="I129">
        <v>1</v>
      </c>
    </row>
    <row r="130" spans="1:9">
      <c r="A130" s="3">
        <v>0</v>
      </c>
      <c r="B130" s="3">
        <v>105</v>
      </c>
      <c r="C130" s="3">
        <v>84</v>
      </c>
      <c r="D130" s="3">
        <v>0</v>
      </c>
      <c r="E130" s="3">
        <v>0</v>
      </c>
      <c r="F130" s="3">
        <v>27.9</v>
      </c>
      <c r="G130" s="3">
        <v>0.741</v>
      </c>
      <c r="H130" s="3">
        <v>62</v>
      </c>
      <c r="I130">
        <v>1</v>
      </c>
    </row>
    <row r="131" spans="1:9">
      <c r="A131" s="3">
        <v>4</v>
      </c>
      <c r="B131" s="3">
        <v>173</v>
      </c>
      <c r="C131" s="3">
        <v>70</v>
      </c>
      <c r="D131" s="3">
        <v>14</v>
      </c>
      <c r="E131" s="3">
        <v>168</v>
      </c>
      <c r="F131" s="3">
        <v>29.7</v>
      </c>
      <c r="G131" s="3">
        <v>0.361</v>
      </c>
      <c r="H131" s="3">
        <v>33</v>
      </c>
      <c r="I131">
        <v>1</v>
      </c>
    </row>
    <row r="132" spans="1:9">
      <c r="A132" s="3">
        <v>9</v>
      </c>
      <c r="B132" s="3">
        <v>122</v>
      </c>
      <c r="C132" s="3">
        <v>56</v>
      </c>
      <c r="D132" s="3">
        <v>0</v>
      </c>
      <c r="E132" s="3">
        <v>0</v>
      </c>
      <c r="F132" s="3">
        <v>33.3</v>
      </c>
      <c r="G132" s="3">
        <v>1.114</v>
      </c>
      <c r="H132" s="3">
        <v>33</v>
      </c>
      <c r="I132">
        <v>1</v>
      </c>
    </row>
    <row r="133" spans="1:9">
      <c r="A133" s="3">
        <v>3</v>
      </c>
      <c r="B133" s="3">
        <v>170</v>
      </c>
      <c r="C133" s="3">
        <v>64</v>
      </c>
      <c r="D133" s="3">
        <v>37</v>
      </c>
      <c r="E133" s="3">
        <v>225</v>
      </c>
      <c r="F133" s="3">
        <v>34.5</v>
      </c>
      <c r="G133" s="3">
        <v>0.356</v>
      </c>
      <c r="H133" s="3">
        <v>30</v>
      </c>
      <c r="I133">
        <v>1</v>
      </c>
    </row>
    <row r="134" spans="1:9">
      <c r="A134" s="3">
        <v>8</v>
      </c>
      <c r="B134" s="3">
        <v>84</v>
      </c>
      <c r="C134" s="3">
        <v>74</v>
      </c>
      <c r="D134" s="3">
        <v>31</v>
      </c>
      <c r="E134" s="3">
        <v>0</v>
      </c>
      <c r="F134" s="3">
        <v>38.3</v>
      </c>
      <c r="G134" s="3">
        <v>0.457</v>
      </c>
      <c r="H134" s="3">
        <v>39</v>
      </c>
      <c r="I134">
        <v>0</v>
      </c>
    </row>
    <row r="135" spans="1:9">
      <c r="A135" s="3">
        <v>2</v>
      </c>
      <c r="B135" s="3">
        <v>96</v>
      </c>
      <c r="C135" s="3">
        <v>68</v>
      </c>
      <c r="D135" s="3">
        <v>13</v>
      </c>
      <c r="E135" s="3">
        <v>49</v>
      </c>
      <c r="F135" s="3">
        <v>21.1</v>
      </c>
      <c r="G135" s="3">
        <v>0.647</v>
      </c>
      <c r="H135" s="3">
        <v>26</v>
      </c>
      <c r="I135">
        <v>0</v>
      </c>
    </row>
    <row r="136" spans="1:9">
      <c r="A136" s="3">
        <v>2</v>
      </c>
      <c r="B136" s="3">
        <v>125</v>
      </c>
      <c r="C136" s="3">
        <v>60</v>
      </c>
      <c r="D136" s="3">
        <v>20</v>
      </c>
      <c r="E136" s="3">
        <v>140</v>
      </c>
      <c r="F136" s="3">
        <v>33.8</v>
      </c>
      <c r="G136" s="3">
        <v>0.088</v>
      </c>
      <c r="H136" s="3">
        <v>31</v>
      </c>
      <c r="I136">
        <v>0</v>
      </c>
    </row>
    <row r="137" spans="1:9">
      <c r="A137" s="3">
        <v>0</v>
      </c>
      <c r="B137" s="3">
        <v>100</v>
      </c>
      <c r="C137" s="3">
        <v>70</v>
      </c>
      <c r="D137" s="3">
        <v>26</v>
      </c>
      <c r="E137" s="3">
        <v>50</v>
      </c>
      <c r="F137" s="3">
        <v>30.8</v>
      </c>
      <c r="G137" s="3">
        <v>0.597</v>
      </c>
      <c r="H137" s="3">
        <v>21</v>
      </c>
      <c r="I137">
        <v>0</v>
      </c>
    </row>
    <row r="138" spans="1:9">
      <c r="A138" s="3">
        <v>0</v>
      </c>
      <c r="B138" s="3">
        <v>93</v>
      </c>
      <c r="C138" s="3">
        <v>60</v>
      </c>
      <c r="D138" s="3">
        <v>25</v>
      </c>
      <c r="E138" s="3">
        <v>92</v>
      </c>
      <c r="F138" s="3">
        <v>28.7</v>
      </c>
      <c r="G138" s="3">
        <v>0.532</v>
      </c>
      <c r="H138" s="3">
        <v>22</v>
      </c>
      <c r="I138">
        <v>0</v>
      </c>
    </row>
    <row r="139" spans="1:9">
      <c r="A139" s="3">
        <v>0</v>
      </c>
      <c r="B139" s="3">
        <v>129</v>
      </c>
      <c r="C139" s="3">
        <v>80</v>
      </c>
      <c r="D139" s="3">
        <v>0</v>
      </c>
      <c r="E139" s="3">
        <v>0</v>
      </c>
      <c r="F139" s="3">
        <v>31.2</v>
      </c>
      <c r="G139" s="3">
        <v>0.703</v>
      </c>
      <c r="H139" s="3">
        <v>29</v>
      </c>
      <c r="I139">
        <v>0</v>
      </c>
    </row>
    <row r="140" spans="1:9">
      <c r="A140" s="3">
        <v>5</v>
      </c>
      <c r="B140" s="3">
        <v>105</v>
      </c>
      <c r="C140" s="3">
        <v>72</v>
      </c>
      <c r="D140" s="3">
        <v>29</v>
      </c>
      <c r="E140" s="3">
        <v>325</v>
      </c>
      <c r="F140" s="3">
        <v>36.9</v>
      </c>
      <c r="G140" s="3">
        <v>0.159</v>
      </c>
      <c r="H140" s="3">
        <v>28</v>
      </c>
      <c r="I140">
        <v>0</v>
      </c>
    </row>
    <row r="141" spans="1:9">
      <c r="A141" s="3">
        <v>3</v>
      </c>
      <c r="B141" s="3">
        <v>128</v>
      </c>
      <c r="C141" s="3">
        <v>78</v>
      </c>
      <c r="D141" s="3">
        <v>0</v>
      </c>
      <c r="E141" s="3">
        <v>0</v>
      </c>
      <c r="F141" s="3">
        <v>21.1</v>
      </c>
      <c r="G141" s="3">
        <v>0.268</v>
      </c>
      <c r="H141" s="3">
        <v>55</v>
      </c>
      <c r="I141">
        <v>0</v>
      </c>
    </row>
    <row r="142" spans="1:9">
      <c r="A142" s="3">
        <v>5</v>
      </c>
      <c r="B142" s="3">
        <v>106</v>
      </c>
      <c r="C142" s="3">
        <v>82</v>
      </c>
      <c r="D142" s="3">
        <v>30</v>
      </c>
      <c r="E142" s="3">
        <v>0</v>
      </c>
      <c r="F142" s="3">
        <v>39.5</v>
      </c>
      <c r="G142" s="3">
        <v>0.286</v>
      </c>
      <c r="H142" s="3">
        <v>38</v>
      </c>
      <c r="I142">
        <v>0</v>
      </c>
    </row>
    <row r="143" spans="1:9">
      <c r="A143" s="3">
        <v>2</v>
      </c>
      <c r="B143" s="3">
        <v>108</v>
      </c>
      <c r="C143" s="3">
        <v>52</v>
      </c>
      <c r="D143" s="3">
        <v>26</v>
      </c>
      <c r="E143" s="3">
        <v>63</v>
      </c>
      <c r="F143" s="3">
        <v>32.5</v>
      </c>
      <c r="G143" s="3">
        <v>0.318</v>
      </c>
      <c r="H143" s="3">
        <v>22</v>
      </c>
      <c r="I143">
        <v>0</v>
      </c>
    </row>
    <row r="144" spans="1:9">
      <c r="A144" s="3">
        <v>10</v>
      </c>
      <c r="B144" s="3">
        <v>108</v>
      </c>
      <c r="C144" s="3">
        <v>66</v>
      </c>
      <c r="D144" s="3">
        <v>0</v>
      </c>
      <c r="E144" s="3">
        <v>0</v>
      </c>
      <c r="F144" s="3">
        <v>32.4</v>
      </c>
      <c r="G144" s="3">
        <v>0.272</v>
      </c>
      <c r="H144" s="3">
        <v>42</v>
      </c>
      <c r="I144">
        <v>1</v>
      </c>
    </row>
    <row r="145" spans="1:9">
      <c r="A145" s="3">
        <v>4</v>
      </c>
      <c r="B145" s="3">
        <v>154</v>
      </c>
      <c r="C145" s="3">
        <v>62</v>
      </c>
      <c r="D145" s="3">
        <v>31</v>
      </c>
      <c r="E145" s="3">
        <v>284</v>
      </c>
      <c r="F145" s="3">
        <v>32.8</v>
      </c>
      <c r="G145" s="3">
        <v>0.237</v>
      </c>
      <c r="H145" s="3">
        <v>23</v>
      </c>
      <c r="I145">
        <v>0</v>
      </c>
    </row>
    <row r="146" spans="1:9">
      <c r="A146" s="3">
        <v>0</v>
      </c>
      <c r="B146" s="3">
        <v>102</v>
      </c>
      <c r="C146" s="3">
        <v>75</v>
      </c>
      <c r="D146" s="3">
        <v>23</v>
      </c>
      <c r="E146" s="3">
        <v>0</v>
      </c>
      <c r="F146" s="3">
        <v>0</v>
      </c>
      <c r="G146" s="3">
        <v>0.572</v>
      </c>
      <c r="H146" s="3">
        <v>21</v>
      </c>
      <c r="I146">
        <v>0</v>
      </c>
    </row>
    <row r="147" spans="1:9">
      <c r="A147" s="3">
        <v>9</v>
      </c>
      <c r="B147" s="3">
        <v>57</v>
      </c>
      <c r="C147" s="3">
        <v>80</v>
      </c>
      <c r="D147" s="3">
        <v>37</v>
      </c>
      <c r="E147" s="3">
        <v>0</v>
      </c>
      <c r="F147" s="3">
        <v>32.8</v>
      </c>
      <c r="G147" s="3">
        <v>0.096</v>
      </c>
      <c r="H147" s="3">
        <v>41</v>
      </c>
      <c r="I147">
        <v>0</v>
      </c>
    </row>
    <row r="148" spans="1:9">
      <c r="A148" s="3">
        <v>2</v>
      </c>
      <c r="B148" s="3">
        <v>106</v>
      </c>
      <c r="C148" s="3">
        <v>64</v>
      </c>
      <c r="D148" s="3">
        <v>35</v>
      </c>
      <c r="E148" s="3">
        <v>119</v>
      </c>
      <c r="F148" s="3">
        <v>30.5</v>
      </c>
      <c r="G148" s="3">
        <v>1.4</v>
      </c>
      <c r="H148" s="3">
        <v>34</v>
      </c>
      <c r="I148">
        <v>0</v>
      </c>
    </row>
    <row r="149" spans="1:9">
      <c r="A149" s="3">
        <v>5</v>
      </c>
      <c r="B149" s="3">
        <v>147</v>
      </c>
      <c r="C149" s="3">
        <v>78</v>
      </c>
      <c r="D149" s="3">
        <v>0</v>
      </c>
      <c r="E149" s="3">
        <v>0</v>
      </c>
      <c r="F149" s="3">
        <v>33.7</v>
      </c>
      <c r="G149" s="3">
        <v>0.218</v>
      </c>
      <c r="H149" s="3">
        <v>65</v>
      </c>
      <c r="I149">
        <v>0</v>
      </c>
    </row>
    <row r="150" spans="1:9">
      <c r="A150" s="3">
        <v>2</v>
      </c>
      <c r="B150" s="3">
        <v>90</v>
      </c>
      <c r="C150" s="3">
        <v>70</v>
      </c>
      <c r="D150" s="3">
        <v>17</v>
      </c>
      <c r="E150" s="3">
        <v>0</v>
      </c>
      <c r="F150" s="3">
        <v>27.3</v>
      </c>
      <c r="G150" s="3">
        <v>0.085</v>
      </c>
      <c r="H150" s="3">
        <v>22</v>
      </c>
      <c r="I150">
        <v>0</v>
      </c>
    </row>
    <row r="151" spans="1:9">
      <c r="A151" s="3">
        <v>1</v>
      </c>
      <c r="B151" s="3">
        <v>136</v>
      </c>
      <c r="C151" s="3">
        <v>74</v>
      </c>
      <c r="D151" s="3">
        <v>50</v>
      </c>
      <c r="E151" s="3">
        <v>204</v>
      </c>
      <c r="F151" s="3">
        <v>37.4</v>
      </c>
      <c r="G151" s="3">
        <v>0.399</v>
      </c>
      <c r="H151" s="3">
        <v>24</v>
      </c>
      <c r="I151">
        <v>0</v>
      </c>
    </row>
    <row r="152" spans="1:9">
      <c r="A152" s="3">
        <v>4</v>
      </c>
      <c r="B152" s="3">
        <v>114</v>
      </c>
      <c r="C152" s="3">
        <v>65</v>
      </c>
      <c r="D152" s="3">
        <v>0</v>
      </c>
      <c r="E152" s="3">
        <v>0</v>
      </c>
      <c r="F152" s="3">
        <v>21.9</v>
      </c>
      <c r="G152" s="3">
        <v>0.432</v>
      </c>
      <c r="H152" s="3">
        <v>37</v>
      </c>
      <c r="I152">
        <v>0</v>
      </c>
    </row>
    <row r="153" spans="1:9">
      <c r="A153" s="3">
        <v>9</v>
      </c>
      <c r="B153" s="3">
        <v>156</v>
      </c>
      <c r="C153" s="3">
        <v>86</v>
      </c>
      <c r="D153" s="3">
        <v>28</v>
      </c>
      <c r="E153" s="3">
        <v>155</v>
      </c>
      <c r="F153" s="3">
        <v>34.3</v>
      </c>
      <c r="G153" s="3">
        <v>1.189</v>
      </c>
      <c r="H153" s="3">
        <v>42</v>
      </c>
      <c r="I153">
        <v>1</v>
      </c>
    </row>
    <row r="154" spans="1:9">
      <c r="A154" s="3">
        <v>1</v>
      </c>
      <c r="B154" s="3">
        <v>153</v>
      </c>
      <c r="C154" s="3">
        <v>82</v>
      </c>
      <c r="D154" s="3">
        <v>42</v>
      </c>
      <c r="E154" s="3">
        <v>485</v>
      </c>
      <c r="F154" s="3">
        <v>40.6</v>
      </c>
      <c r="G154" s="3">
        <v>0.687</v>
      </c>
      <c r="H154" s="3">
        <v>23</v>
      </c>
      <c r="I154">
        <v>0</v>
      </c>
    </row>
    <row r="155" spans="1:9">
      <c r="A155" s="3">
        <v>8</v>
      </c>
      <c r="B155" s="3">
        <v>188</v>
      </c>
      <c r="C155" s="3">
        <v>78</v>
      </c>
      <c r="D155" s="3">
        <v>0</v>
      </c>
      <c r="E155" s="3">
        <v>0</v>
      </c>
      <c r="F155" s="3">
        <v>47.9</v>
      </c>
      <c r="G155" s="3">
        <v>0.137</v>
      </c>
      <c r="H155" s="3">
        <v>43</v>
      </c>
      <c r="I155">
        <v>1</v>
      </c>
    </row>
    <row r="156" spans="1:9">
      <c r="A156" s="3">
        <v>7</v>
      </c>
      <c r="B156" s="3">
        <v>152</v>
      </c>
      <c r="C156" s="3">
        <v>88</v>
      </c>
      <c r="D156" s="3">
        <v>44</v>
      </c>
      <c r="E156" s="3">
        <v>0</v>
      </c>
      <c r="F156" s="3">
        <v>50</v>
      </c>
      <c r="G156" s="3">
        <v>0.337</v>
      </c>
      <c r="H156" s="3">
        <v>36</v>
      </c>
      <c r="I156">
        <v>1</v>
      </c>
    </row>
    <row r="157" spans="1:9">
      <c r="A157" s="3">
        <v>2</v>
      </c>
      <c r="B157" s="3">
        <v>99</v>
      </c>
      <c r="C157" s="3">
        <v>52</v>
      </c>
      <c r="D157" s="3">
        <v>15</v>
      </c>
      <c r="E157" s="3">
        <v>94</v>
      </c>
      <c r="F157" s="3">
        <v>24.6</v>
      </c>
      <c r="G157" s="3">
        <v>0.637</v>
      </c>
      <c r="H157" s="3">
        <v>21</v>
      </c>
      <c r="I157">
        <v>0</v>
      </c>
    </row>
    <row r="158" spans="1:9">
      <c r="A158" s="3">
        <v>1</v>
      </c>
      <c r="B158" s="3">
        <v>109</v>
      </c>
      <c r="C158" s="3">
        <v>56</v>
      </c>
      <c r="D158" s="3">
        <v>21</v>
      </c>
      <c r="E158" s="3">
        <v>135</v>
      </c>
      <c r="F158" s="3">
        <v>25.2</v>
      </c>
      <c r="G158" s="3">
        <v>0.833</v>
      </c>
      <c r="H158" s="3">
        <v>23</v>
      </c>
      <c r="I158">
        <v>0</v>
      </c>
    </row>
    <row r="159" spans="1:9">
      <c r="A159" s="3">
        <v>2</v>
      </c>
      <c r="B159" s="3">
        <v>88</v>
      </c>
      <c r="C159" s="3">
        <v>74</v>
      </c>
      <c r="D159" s="3">
        <v>19</v>
      </c>
      <c r="E159" s="3">
        <v>53</v>
      </c>
      <c r="F159" s="3">
        <v>29</v>
      </c>
      <c r="G159" s="3">
        <v>0.229</v>
      </c>
      <c r="H159" s="3">
        <v>22</v>
      </c>
      <c r="I159">
        <v>0</v>
      </c>
    </row>
    <row r="160" spans="1:9">
      <c r="A160" s="3">
        <v>17</v>
      </c>
      <c r="B160" s="3">
        <v>163</v>
      </c>
      <c r="C160" s="3">
        <v>72</v>
      </c>
      <c r="D160" s="3">
        <v>41</v>
      </c>
      <c r="E160" s="3">
        <v>114</v>
      </c>
      <c r="F160" s="3">
        <v>40.9</v>
      </c>
      <c r="G160" s="3">
        <v>0.817</v>
      </c>
      <c r="H160" s="3">
        <v>47</v>
      </c>
      <c r="I160">
        <v>1</v>
      </c>
    </row>
    <row r="161" spans="1:9">
      <c r="A161" s="3">
        <v>4</v>
      </c>
      <c r="B161" s="3">
        <v>151</v>
      </c>
      <c r="C161" s="3">
        <v>90</v>
      </c>
      <c r="D161" s="3">
        <v>38</v>
      </c>
      <c r="E161" s="3">
        <v>0</v>
      </c>
      <c r="F161" s="3">
        <v>29.7</v>
      </c>
      <c r="G161" s="3">
        <v>0.294</v>
      </c>
      <c r="H161" s="3">
        <v>36</v>
      </c>
      <c r="I161">
        <v>0</v>
      </c>
    </row>
    <row r="162" spans="1:9">
      <c r="A162" s="3">
        <v>7</v>
      </c>
      <c r="B162" s="3">
        <v>102</v>
      </c>
      <c r="C162" s="3">
        <v>74</v>
      </c>
      <c r="D162" s="3">
        <v>40</v>
      </c>
      <c r="E162" s="3">
        <v>105</v>
      </c>
      <c r="F162" s="3">
        <v>37.2</v>
      </c>
      <c r="G162" s="3">
        <v>0.204</v>
      </c>
      <c r="H162" s="3">
        <v>45</v>
      </c>
      <c r="I162">
        <v>0</v>
      </c>
    </row>
    <row r="163" spans="1:9">
      <c r="A163" s="3">
        <v>0</v>
      </c>
      <c r="B163" s="3">
        <v>114</v>
      </c>
      <c r="C163" s="3">
        <v>80</v>
      </c>
      <c r="D163" s="3">
        <v>34</v>
      </c>
      <c r="E163" s="3">
        <v>285</v>
      </c>
      <c r="F163" s="3">
        <v>44.2</v>
      </c>
      <c r="G163" s="3">
        <v>0.167</v>
      </c>
      <c r="H163" s="3">
        <v>27</v>
      </c>
      <c r="I163">
        <v>0</v>
      </c>
    </row>
    <row r="164" spans="1:9">
      <c r="A164" s="3">
        <v>2</v>
      </c>
      <c r="B164" s="3">
        <v>100</v>
      </c>
      <c r="C164" s="3">
        <v>64</v>
      </c>
      <c r="D164" s="3">
        <v>23</v>
      </c>
      <c r="E164" s="3">
        <v>0</v>
      </c>
      <c r="F164" s="3">
        <v>29.7</v>
      </c>
      <c r="G164" s="3">
        <v>0.368</v>
      </c>
      <c r="H164" s="3">
        <v>21</v>
      </c>
      <c r="I164">
        <v>0</v>
      </c>
    </row>
    <row r="165" spans="1:9">
      <c r="A165" s="3">
        <v>0</v>
      </c>
      <c r="B165" s="3">
        <v>131</v>
      </c>
      <c r="C165" s="3">
        <v>88</v>
      </c>
      <c r="D165" s="3">
        <v>0</v>
      </c>
      <c r="E165" s="3">
        <v>0</v>
      </c>
      <c r="F165" s="3">
        <v>31.6</v>
      </c>
      <c r="G165" s="3">
        <v>0.743</v>
      </c>
      <c r="H165" s="3">
        <v>32</v>
      </c>
      <c r="I165">
        <v>1</v>
      </c>
    </row>
    <row r="166" spans="1:9">
      <c r="A166" s="3">
        <v>6</v>
      </c>
      <c r="B166" s="3">
        <v>104</v>
      </c>
      <c r="C166" s="3">
        <v>74</v>
      </c>
      <c r="D166" s="3">
        <v>18</v>
      </c>
      <c r="E166" s="3">
        <v>156</v>
      </c>
      <c r="F166" s="3">
        <v>29.9</v>
      </c>
      <c r="G166" s="3">
        <v>0.722</v>
      </c>
      <c r="H166" s="3">
        <v>41</v>
      </c>
      <c r="I166">
        <v>1</v>
      </c>
    </row>
    <row r="167" spans="1:9">
      <c r="A167" s="3">
        <v>3</v>
      </c>
      <c r="B167" s="3">
        <v>148</v>
      </c>
      <c r="C167" s="3">
        <v>66</v>
      </c>
      <c r="D167" s="3">
        <v>25</v>
      </c>
      <c r="E167" s="3">
        <v>0</v>
      </c>
      <c r="F167" s="3">
        <v>32.5</v>
      </c>
      <c r="G167" s="3">
        <v>0.256</v>
      </c>
      <c r="H167" s="3">
        <v>22</v>
      </c>
      <c r="I167">
        <v>0</v>
      </c>
    </row>
    <row r="168" spans="1:9">
      <c r="A168" s="3">
        <v>4</v>
      </c>
      <c r="B168" s="3">
        <v>120</v>
      </c>
      <c r="C168" s="3">
        <v>68</v>
      </c>
      <c r="D168" s="3">
        <v>0</v>
      </c>
      <c r="E168" s="3">
        <v>0</v>
      </c>
      <c r="F168" s="3">
        <v>29.6</v>
      </c>
      <c r="G168" s="3">
        <v>0.709</v>
      </c>
      <c r="H168" s="3">
        <v>34</v>
      </c>
      <c r="I168">
        <v>0</v>
      </c>
    </row>
    <row r="169" spans="1:9">
      <c r="A169" s="3">
        <v>4</v>
      </c>
      <c r="B169" s="3">
        <v>110</v>
      </c>
      <c r="C169" s="3">
        <v>66</v>
      </c>
      <c r="D169" s="3">
        <v>0</v>
      </c>
      <c r="E169" s="3">
        <v>0</v>
      </c>
      <c r="F169" s="3">
        <v>31.9</v>
      </c>
      <c r="G169" s="3">
        <v>0.471</v>
      </c>
      <c r="H169" s="3">
        <v>29</v>
      </c>
      <c r="I169">
        <v>0</v>
      </c>
    </row>
    <row r="170" spans="1:9">
      <c r="A170" s="3">
        <v>3</v>
      </c>
      <c r="B170" s="3">
        <v>111</v>
      </c>
      <c r="C170" s="3">
        <v>90</v>
      </c>
      <c r="D170" s="3">
        <v>12</v>
      </c>
      <c r="E170" s="3">
        <v>78</v>
      </c>
      <c r="F170" s="3">
        <v>28.4</v>
      </c>
      <c r="G170" s="3">
        <v>0.495</v>
      </c>
      <c r="H170" s="3">
        <v>29</v>
      </c>
      <c r="I170">
        <v>0</v>
      </c>
    </row>
    <row r="171" spans="1:9">
      <c r="A171" s="3">
        <v>6</v>
      </c>
      <c r="B171" s="3">
        <v>102</v>
      </c>
      <c r="C171" s="3">
        <v>82</v>
      </c>
      <c r="D171" s="3">
        <v>0</v>
      </c>
      <c r="E171" s="3">
        <v>0</v>
      </c>
      <c r="F171" s="3">
        <v>30.8</v>
      </c>
      <c r="G171" s="3">
        <v>0.18</v>
      </c>
      <c r="H171" s="3">
        <v>36</v>
      </c>
      <c r="I171">
        <v>1</v>
      </c>
    </row>
    <row r="172" spans="1:9">
      <c r="A172" s="3">
        <v>6</v>
      </c>
      <c r="B172" s="3">
        <v>134</v>
      </c>
      <c r="C172" s="3">
        <v>70</v>
      </c>
      <c r="D172" s="3">
        <v>23</v>
      </c>
      <c r="E172" s="3">
        <v>130</v>
      </c>
      <c r="F172" s="3">
        <v>35.4</v>
      </c>
      <c r="G172" s="3">
        <v>0.542</v>
      </c>
      <c r="H172" s="3">
        <v>29</v>
      </c>
      <c r="I172">
        <v>1</v>
      </c>
    </row>
    <row r="173" spans="1:9">
      <c r="A173" s="3">
        <v>2</v>
      </c>
      <c r="B173" s="3">
        <v>87</v>
      </c>
      <c r="C173" s="3">
        <v>0</v>
      </c>
      <c r="D173" s="3">
        <v>23</v>
      </c>
      <c r="E173" s="3">
        <v>0</v>
      </c>
      <c r="F173" s="3">
        <v>28.9</v>
      </c>
      <c r="G173" s="3">
        <v>0.773</v>
      </c>
      <c r="H173" s="3">
        <v>25</v>
      </c>
      <c r="I173">
        <v>0</v>
      </c>
    </row>
    <row r="174" spans="1:9">
      <c r="A174" s="3">
        <v>1</v>
      </c>
      <c r="B174" s="3">
        <v>79</v>
      </c>
      <c r="C174" s="3">
        <v>60</v>
      </c>
      <c r="D174" s="3">
        <v>42</v>
      </c>
      <c r="E174" s="3">
        <v>48</v>
      </c>
      <c r="F174" s="3">
        <v>43.5</v>
      </c>
      <c r="G174" s="3">
        <v>0.678</v>
      </c>
      <c r="H174" s="3">
        <v>23</v>
      </c>
      <c r="I174">
        <v>0</v>
      </c>
    </row>
    <row r="175" spans="1:9">
      <c r="A175" s="3">
        <v>2</v>
      </c>
      <c r="B175" s="3">
        <v>75</v>
      </c>
      <c r="C175" s="3">
        <v>64</v>
      </c>
      <c r="D175" s="3">
        <v>24</v>
      </c>
      <c r="E175" s="3">
        <v>55</v>
      </c>
      <c r="F175" s="3">
        <v>29.7</v>
      </c>
      <c r="G175" s="3">
        <v>0.37</v>
      </c>
      <c r="H175" s="3">
        <v>33</v>
      </c>
      <c r="I175">
        <v>0</v>
      </c>
    </row>
    <row r="176" spans="1:9">
      <c r="A176" s="3">
        <v>8</v>
      </c>
      <c r="B176" s="3">
        <v>179</v>
      </c>
      <c r="C176" s="3">
        <v>72</v>
      </c>
      <c r="D176" s="3">
        <v>42</v>
      </c>
      <c r="E176" s="3">
        <v>130</v>
      </c>
      <c r="F176" s="3">
        <v>32.7</v>
      </c>
      <c r="G176" s="3">
        <v>0.719</v>
      </c>
      <c r="H176" s="3">
        <v>36</v>
      </c>
      <c r="I176">
        <v>1</v>
      </c>
    </row>
    <row r="177" spans="1:9">
      <c r="A177" s="3">
        <v>6</v>
      </c>
      <c r="B177" s="3">
        <v>85</v>
      </c>
      <c r="C177" s="3">
        <v>78</v>
      </c>
      <c r="D177" s="3">
        <v>0</v>
      </c>
      <c r="E177" s="3">
        <v>0</v>
      </c>
      <c r="F177" s="3">
        <v>31.2</v>
      </c>
      <c r="G177" s="3">
        <v>0.382</v>
      </c>
      <c r="H177" s="3">
        <v>42</v>
      </c>
      <c r="I177">
        <v>0</v>
      </c>
    </row>
    <row r="178" spans="1:9">
      <c r="A178" s="3">
        <v>0</v>
      </c>
      <c r="B178" s="3">
        <v>129</v>
      </c>
      <c r="C178" s="3">
        <v>110</v>
      </c>
      <c r="D178" s="3">
        <v>46</v>
      </c>
      <c r="E178" s="3">
        <v>130</v>
      </c>
      <c r="F178" s="3">
        <v>67.1</v>
      </c>
      <c r="G178" s="3">
        <v>0.319</v>
      </c>
      <c r="H178" s="3">
        <v>26</v>
      </c>
      <c r="I178">
        <v>1</v>
      </c>
    </row>
    <row r="179" spans="1:9">
      <c r="A179" s="3">
        <v>5</v>
      </c>
      <c r="B179" s="3">
        <v>143</v>
      </c>
      <c r="C179" s="3">
        <v>78</v>
      </c>
      <c r="D179" s="3">
        <v>0</v>
      </c>
      <c r="E179" s="3">
        <v>0</v>
      </c>
      <c r="F179" s="3">
        <v>45</v>
      </c>
      <c r="G179" s="3">
        <v>0.19</v>
      </c>
      <c r="H179" s="3">
        <v>47</v>
      </c>
      <c r="I179">
        <v>0</v>
      </c>
    </row>
    <row r="180" spans="1:9">
      <c r="A180" s="3">
        <v>5</v>
      </c>
      <c r="B180" s="3">
        <v>130</v>
      </c>
      <c r="C180" s="3">
        <v>82</v>
      </c>
      <c r="D180" s="3">
        <v>0</v>
      </c>
      <c r="E180" s="3">
        <v>0</v>
      </c>
      <c r="F180" s="3">
        <v>39.1</v>
      </c>
      <c r="G180" s="3">
        <v>0.956</v>
      </c>
      <c r="H180" s="3">
        <v>37</v>
      </c>
      <c r="I180">
        <v>1</v>
      </c>
    </row>
    <row r="181" spans="1:9">
      <c r="A181" s="3">
        <v>6</v>
      </c>
      <c r="B181" s="3">
        <v>87</v>
      </c>
      <c r="C181" s="3">
        <v>80</v>
      </c>
      <c r="D181" s="3">
        <v>0</v>
      </c>
      <c r="E181" s="3">
        <v>0</v>
      </c>
      <c r="F181" s="3">
        <v>23.2</v>
      </c>
      <c r="G181" s="3">
        <v>0.084</v>
      </c>
      <c r="H181" s="3">
        <v>32</v>
      </c>
      <c r="I181">
        <v>0</v>
      </c>
    </row>
    <row r="182" spans="1:9">
      <c r="A182" s="3">
        <v>0</v>
      </c>
      <c r="B182" s="3">
        <v>119</v>
      </c>
      <c r="C182" s="3">
        <v>64</v>
      </c>
      <c r="D182" s="3">
        <v>18</v>
      </c>
      <c r="E182" s="3">
        <v>92</v>
      </c>
      <c r="F182" s="3">
        <v>34.9</v>
      </c>
      <c r="G182" s="3">
        <v>0.725</v>
      </c>
      <c r="H182" s="3">
        <v>23</v>
      </c>
      <c r="I182">
        <v>0</v>
      </c>
    </row>
    <row r="183" spans="1:9">
      <c r="A183" s="3">
        <v>1</v>
      </c>
      <c r="B183" s="3">
        <v>0</v>
      </c>
      <c r="C183" s="3">
        <v>74</v>
      </c>
      <c r="D183" s="3">
        <v>20</v>
      </c>
      <c r="E183" s="3">
        <v>23</v>
      </c>
      <c r="F183" s="3">
        <v>27.7</v>
      </c>
      <c r="G183" s="3">
        <v>0.299</v>
      </c>
      <c r="H183" s="3">
        <v>21</v>
      </c>
      <c r="I183">
        <v>0</v>
      </c>
    </row>
    <row r="184" spans="1:9">
      <c r="A184" s="3">
        <v>5</v>
      </c>
      <c r="B184" s="3">
        <v>73</v>
      </c>
      <c r="C184" s="3">
        <v>60</v>
      </c>
      <c r="D184" s="3">
        <v>0</v>
      </c>
      <c r="E184" s="3">
        <v>0</v>
      </c>
      <c r="F184" s="3">
        <v>26.8</v>
      </c>
      <c r="G184" s="3">
        <v>0.268</v>
      </c>
      <c r="H184" s="3">
        <v>27</v>
      </c>
      <c r="I184">
        <v>0</v>
      </c>
    </row>
    <row r="185" spans="1:9">
      <c r="A185" s="3">
        <v>4</v>
      </c>
      <c r="B185" s="3">
        <v>141</v>
      </c>
      <c r="C185" s="3">
        <v>74</v>
      </c>
      <c r="D185" s="3">
        <v>0</v>
      </c>
      <c r="E185" s="3">
        <v>0</v>
      </c>
      <c r="F185" s="3">
        <v>27.6</v>
      </c>
      <c r="G185" s="3">
        <v>0.244</v>
      </c>
      <c r="H185" s="3">
        <v>40</v>
      </c>
      <c r="I185">
        <v>0</v>
      </c>
    </row>
    <row r="186" spans="1:9">
      <c r="A186" s="3">
        <v>7</v>
      </c>
      <c r="B186" s="3">
        <v>194</v>
      </c>
      <c r="C186" s="3">
        <v>68</v>
      </c>
      <c r="D186" s="3">
        <v>28</v>
      </c>
      <c r="E186" s="3">
        <v>0</v>
      </c>
      <c r="F186" s="3">
        <v>35.9</v>
      </c>
      <c r="G186" s="3">
        <v>0.745</v>
      </c>
      <c r="H186" s="3">
        <v>41</v>
      </c>
      <c r="I186">
        <v>1</v>
      </c>
    </row>
    <row r="187" spans="1:9">
      <c r="A187" s="3">
        <v>8</v>
      </c>
      <c r="B187" s="3">
        <v>181</v>
      </c>
      <c r="C187" s="3">
        <v>68</v>
      </c>
      <c r="D187" s="3">
        <v>36</v>
      </c>
      <c r="E187" s="3">
        <v>495</v>
      </c>
      <c r="F187" s="3">
        <v>30.1</v>
      </c>
      <c r="G187" s="3">
        <v>0.615</v>
      </c>
      <c r="H187" s="3">
        <v>60</v>
      </c>
      <c r="I187">
        <v>1</v>
      </c>
    </row>
    <row r="188" spans="1:9">
      <c r="A188" s="3">
        <v>1</v>
      </c>
      <c r="B188" s="3">
        <v>128</v>
      </c>
      <c r="C188" s="3">
        <v>98</v>
      </c>
      <c r="D188" s="3">
        <v>41</v>
      </c>
      <c r="E188" s="3">
        <v>58</v>
      </c>
      <c r="F188" s="3">
        <v>32</v>
      </c>
      <c r="G188" s="3">
        <v>1.321</v>
      </c>
      <c r="H188" s="3">
        <v>33</v>
      </c>
      <c r="I188">
        <v>1</v>
      </c>
    </row>
    <row r="189" spans="1:9">
      <c r="A189" s="3">
        <v>8</v>
      </c>
      <c r="B189" s="3">
        <v>109</v>
      </c>
      <c r="C189" s="3">
        <v>76</v>
      </c>
      <c r="D189" s="3">
        <v>39</v>
      </c>
      <c r="E189" s="3">
        <v>114</v>
      </c>
      <c r="F189" s="3">
        <v>27.9</v>
      </c>
      <c r="G189" s="3">
        <v>0.64</v>
      </c>
      <c r="H189" s="3">
        <v>31</v>
      </c>
      <c r="I189">
        <v>1</v>
      </c>
    </row>
    <row r="190" spans="1:9">
      <c r="A190" s="3">
        <v>5</v>
      </c>
      <c r="B190" s="3">
        <v>139</v>
      </c>
      <c r="C190" s="3">
        <v>80</v>
      </c>
      <c r="D190" s="3">
        <v>35</v>
      </c>
      <c r="E190" s="3">
        <v>160</v>
      </c>
      <c r="F190" s="3">
        <v>31.6</v>
      </c>
      <c r="G190" s="3">
        <v>0.361</v>
      </c>
      <c r="H190" s="3">
        <v>25</v>
      </c>
      <c r="I190">
        <v>1</v>
      </c>
    </row>
    <row r="191" spans="1:9">
      <c r="A191" s="3">
        <v>3</v>
      </c>
      <c r="B191" s="3">
        <v>111</v>
      </c>
      <c r="C191" s="3">
        <v>62</v>
      </c>
      <c r="D191" s="3">
        <v>0</v>
      </c>
      <c r="E191" s="3">
        <v>0</v>
      </c>
      <c r="F191" s="3">
        <v>22.6</v>
      </c>
      <c r="G191" s="3">
        <v>0.142</v>
      </c>
      <c r="H191" s="3">
        <v>21</v>
      </c>
      <c r="I191">
        <v>0</v>
      </c>
    </row>
    <row r="192" spans="1:9">
      <c r="A192" s="3">
        <v>9</v>
      </c>
      <c r="B192" s="3">
        <v>123</v>
      </c>
      <c r="C192" s="3">
        <v>70</v>
      </c>
      <c r="D192" s="3">
        <v>44</v>
      </c>
      <c r="E192" s="3">
        <v>94</v>
      </c>
      <c r="F192" s="3">
        <v>33.1</v>
      </c>
      <c r="G192" s="3">
        <v>0.374</v>
      </c>
      <c r="H192" s="3">
        <v>40</v>
      </c>
      <c r="I192">
        <v>0</v>
      </c>
    </row>
    <row r="193" spans="1:9">
      <c r="A193" s="3">
        <v>7</v>
      </c>
      <c r="B193" s="3">
        <v>159</v>
      </c>
      <c r="C193" s="3">
        <v>66</v>
      </c>
      <c r="D193" s="3">
        <v>0</v>
      </c>
      <c r="E193" s="3">
        <v>0</v>
      </c>
      <c r="F193" s="3">
        <v>30.4</v>
      </c>
      <c r="G193" s="3">
        <v>0.383</v>
      </c>
      <c r="H193" s="3">
        <v>36</v>
      </c>
      <c r="I193">
        <v>1</v>
      </c>
    </row>
    <row r="194" spans="1:9">
      <c r="A194" s="3">
        <v>11</v>
      </c>
      <c r="B194" s="3">
        <v>135</v>
      </c>
      <c r="C194" s="3">
        <v>0</v>
      </c>
      <c r="D194" s="3">
        <v>0</v>
      </c>
      <c r="E194" s="3">
        <v>0</v>
      </c>
      <c r="F194" s="3">
        <v>52.3</v>
      </c>
      <c r="G194" s="3">
        <v>0.578</v>
      </c>
      <c r="H194" s="3">
        <v>40</v>
      </c>
      <c r="I194">
        <v>1</v>
      </c>
    </row>
    <row r="195" spans="1:9">
      <c r="A195" s="3">
        <v>8</v>
      </c>
      <c r="B195" s="3">
        <v>85</v>
      </c>
      <c r="C195" s="3">
        <v>55</v>
      </c>
      <c r="D195" s="3">
        <v>20</v>
      </c>
      <c r="E195" s="3">
        <v>0</v>
      </c>
      <c r="F195" s="3">
        <v>24.4</v>
      </c>
      <c r="G195" s="3">
        <v>0.136</v>
      </c>
      <c r="H195" s="3">
        <v>42</v>
      </c>
      <c r="I195">
        <v>0</v>
      </c>
    </row>
    <row r="196" spans="1:9">
      <c r="A196" s="3">
        <v>5</v>
      </c>
      <c r="B196" s="3">
        <v>158</v>
      </c>
      <c r="C196" s="3">
        <v>84</v>
      </c>
      <c r="D196" s="3">
        <v>41</v>
      </c>
      <c r="E196" s="3">
        <v>210</v>
      </c>
      <c r="F196" s="3">
        <v>39.4</v>
      </c>
      <c r="G196" s="3">
        <v>0.395</v>
      </c>
      <c r="H196" s="3">
        <v>29</v>
      </c>
      <c r="I196">
        <v>1</v>
      </c>
    </row>
    <row r="197" spans="1:9">
      <c r="A197" s="3">
        <v>1</v>
      </c>
      <c r="B197" s="3">
        <v>105</v>
      </c>
      <c r="C197" s="3">
        <v>58</v>
      </c>
      <c r="D197" s="3">
        <v>0</v>
      </c>
      <c r="E197" s="3">
        <v>0</v>
      </c>
      <c r="F197" s="3">
        <v>24.3</v>
      </c>
      <c r="G197" s="3">
        <v>0.187</v>
      </c>
      <c r="H197" s="3">
        <v>21</v>
      </c>
      <c r="I197">
        <v>0</v>
      </c>
    </row>
    <row r="198" spans="1:9">
      <c r="A198" s="3">
        <v>3</v>
      </c>
      <c r="B198" s="3">
        <v>107</v>
      </c>
      <c r="C198" s="3">
        <v>62</v>
      </c>
      <c r="D198" s="3">
        <v>13</v>
      </c>
      <c r="E198" s="3">
        <v>48</v>
      </c>
      <c r="F198" s="3">
        <v>22.9</v>
      </c>
      <c r="G198" s="3">
        <v>0.678</v>
      </c>
      <c r="H198" s="3">
        <v>23</v>
      </c>
      <c r="I198">
        <v>1</v>
      </c>
    </row>
    <row r="199" spans="1:9">
      <c r="A199" s="3">
        <v>4</v>
      </c>
      <c r="B199" s="3">
        <v>109</v>
      </c>
      <c r="C199" s="3">
        <v>64</v>
      </c>
      <c r="D199" s="3">
        <v>44</v>
      </c>
      <c r="E199" s="3">
        <v>99</v>
      </c>
      <c r="F199" s="3">
        <v>34.8</v>
      </c>
      <c r="G199" s="3">
        <v>0.905</v>
      </c>
      <c r="H199" s="3">
        <v>26</v>
      </c>
      <c r="I199">
        <v>1</v>
      </c>
    </row>
    <row r="200" spans="1:9">
      <c r="A200" s="3">
        <v>4</v>
      </c>
      <c r="B200" s="3">
        <v>148</v>
      </c>
      <c r="C200" s="3">
        <v>60</v>
      </c>
      <c r="D200" s="3">
        <v>27</v>
      </c>
      <c r="E200" s="3">
        <v>318</v>
      </c>
      <c r="F200" s="3">
        <v>30.9</v>
      </c>
      <c r="G200" s="3">
        <v>0.15</v>
      </c>
      <c r="H200" s="3">
        <v>29</v>
      </c>
      <c r="I200">
        <v>1</v>
      </c>
    </row>
    <row r="201" spans="1:9">
      <c r="A201" s="3">
        <v>0</v>
      </c>
      <c r="B201" s="3">
        <v>113</v>
      </c>
      <c r="C201" s="3">
        <v>80</v>
      </c>
      <c r="D201" s="3">
        <v>16</v>
      </c>
      <c r="E201" s="3">
        <v>0</v>
      </c>
      <c r="F201" s="3">
        <v>31</v>
      </c>
      <c r="G201" s="3">
        <v>0.874</v>
      </c>
      <c r="H201" s="3">
        <v>21</v>
      </c>
      <c r="I201">
        <v>0</v>
      </c>
    </row>
    <row r="202" spans="1:9">
      <c r="A202" s="3">
        <v>1</v>
      </c>
      <c r="B202" s="3">
        <v>138</v>
      </c>
      <c r="C202" s="3">
        <v>82</v>
      </c>
      <c r="D202" s="3">
        <v>0</v>
      </c>
      <c r="E202" s="3">
        <v>0</v>
      </c>
      <c r="F202" s="3">
        <v>40.1</v>
      </c>
      <c r="G202" s="3">
        <v>0.236</v>
      </c>
      <c r="H202" s="3">
        <v>28</v>
      </c>
      <c r="I202">
        <v>0</v>
      </c>
    </row>
    <row r="203" spans="1:9">
      <c r="A203" s="3">
        <v>0</v>
      </c>
      <c r="B203" s="3">
        <v>108</v>
      </c>
      <c r="C203" s="3">
        <v>68</v>
      </c>
      <c r="D203" s="3">
        <v>20</v>
      </c>
      <c r="E203" s="3">
        <v>0</v>
      </c>
      <c r="F203" s="3">
        <v>27.3</v>
      </c>
      <c r="G203" s="3">
        <v>0.787</v>
      </c>
      <c r="H203" s="3">
        <v>32</v>
      </c>
      <c r="I203">
        <v>0</v>
      </c>
    </row>
    <row r="204" spans="1:9">
      <c r="A204" s="3">
        <v>2</v>
      </c>
      <c r="B204" s="3">
        <v>99</v>
      </c>
      <c r="C204" s="3">
        <v>70</v>
      </c>
      <c r="D204" s="3">
        <v>16</v>
      </c>
      <c r="E204" s="3">
        <v>44</v>
      </c>
      <c r="F204" s="3">
        <v>20.4</v>
      </c>
      <c r="G204" s="3">
        <v>0.235</v>
      </c>
      <c r="H204" s="3">
        <v>27</v>
      </c>
      <c r="I204">
        <v>0</v>
      </c>
    </row>
    <row r="205" spans="1:9">
      <c r="A205" s="3">
        <v>6</v>
      </c>
      <c r="B205" s="3">
        <v>103</v>
      </c>
      <c r="C205" s="3">
        <v>72</v>
      </c>
      <c r="D205" s="3">
        <v>32</v>
      </c>
      <c r="E205" s="3">
        <v>190</v>
      </c>
      <c r="F205" s="3">
        <v>37.7</v>
      </c>
      <c r="G205" s="3">
        <v>0.324</v>
      </c>
      <c r="H205" s="3">
        <v>55</v>
      </c>
      <c r="I205">
        <v>0</v>
      </c>
    </row>
    <row r="206" spans="1:9">
      <c r="A206" s="3">
        <v>5</v>
      </c>
      <c r="B206" s="3">
        <v>111</v>
      </c>
      <c r="C206" s="3">
        <v>72</v>
      </c>
      <c r="D206" s="3">
        <v>28</v>
      </c>
      <c r="E206" s="3">
        <v>0</v>
      </c>
      <c r="F206" s="3">
        <v>23.9</v>
      </c>
      <c r="G206" s="3">
        <v>0.407</v>
      </c>
      <c r="H206" s="3">
        <v>27</v>
      </c>
      <c r="I206">
        <v>0</v>
      </c>
    </row>
    <row r="207" spans="1:9">
      <c r="A207" s="3">
        <v>8</v>
      </c>
      <c r="B207" s="3">
        <v>196</v>
      </c>
      <c r="C207" s="3">
        <v>76</v>
      </c>
      <c r="D207" s="3">
        <v>29</v>
      </c>
      <c r="E207" s="3">
        <v>280</v>
      </c>
      <c r="F207" s="3">
        <v>37.5</v>
      </c>
      <c r="G207" s="3">
        <v>0.605</v>
      </c>
      <c r="H207" s="3">
        <v>57</v>
      </c>
      <c r="I207">
        <v>1</v>
      </c>
    </row>
    <row r="208" spans="1:9">
      <c r="A208" s="3">
        <v>5</v>
      </c>
      <c r="B208" s="3">
        <v>162</v>
      </c>
      <c r="C208" s="3">
        <v>104</v>
      </c>
      <c r="D208" s="3">
        <v>0</v>
      </c>
      <c r="E208" s="3">
        <v>0</v>
      </c>
      <c r="F208" s="3">
        <v>37.7</v>
      </c>
      <c r="G208" s="3">
        <v>0.151</v>
      </c>
      <c r="H208" s="3">
        <v>52</v>
      </c>
      <c r="I208">
        <v>1</v>
      </c>
    </row>
    <row r="209" spans="1:9">
      <c r="A209" s="3">
        <v>1</v>
      </c>
      <c r="B209" s="3">
        <v>96</v>
      </c>
      <c r="C209" s="3">
        <v>64</v>
      </c>
      <c r="D209" s="3">
        <v>27</v>
      </c>
      <c r="E209" s="3">
        <v>87</v>
      </c>
      <c r="F209" s="3">
        <v>33.2</v>
      </c>
      <c r="G209" s="3">
        <v>0.289</v>
      </c>
      <c r="H209" s="3">
        <v>21</v>
      </c>
      <c r="I209">
        <v>0</v>
      </c>
    </row>
    <row r="210" spans="1:9">
      <c r="A210" s="3">
        <v>7</v>
      </c>
      <c r="B210" s="3">
        <v>184</v>
      </c>
      <c r="C210" s="3">
        <v>84</v>
      </c>
      <c r="D210" s="3">
        <v>33</v>
      </c>
      <c r="E210" s="3">
        <v>0</v>
      </c>
      <c r="F210" s="3">
        <v>35.5</v>
      </c>
      <c r="G210" s="3">
        <v>0.355</v>
      </c>
      <c r="H210" s="3">
        <v>41</v>
      </c>
      <c r="I210">
        <v>1</v>
      </c>
    </row>
    <row r="211" spans="1:9">
      <c r="A211" s="3">
        <v>2</v>
      </c>
      <c r="B211" s="3">
        <v>81</v>
      </c>
      <c r="C211" s="3">
        <v>60</v>
      </c>
      <c r="D211" s="3">
        <v>22</v>
      </c>
      <c r="E211" s="3">
        <v>0</v>
      </c>
      <c r="F211" s="3">
        <v>27.7</v>
      </c>
      <c r="G211" s="3">
        <v>0.29</v>
      </c>
      <c r="H211" s="3">
        <v>25</v>
      </c>
      <c r="I211">
        <v>0</v>
      </c>
    </row>
    <row r="212" spans="1:9">
      <c r="A212" s="3">
        <v>0</v>
      </c>
      <c r="B212" s="3">
        <v>147</v>
      </c>
      <c r="C212" s="3">
        <v>85</v>
      </c>
      <c r="D212" s="3">
        <v>54</v>
      </c>
      <c r="E212" s="3">
        <v>0</v>
      </c>
      <c r="F212" s="3">
        <v>42.8</v>
      </c>
      <c r="G212" s="3">
        <v>0.375</v>
      </c>
      <c r="H212" s="3">
        <v>24</v>
      </c>
      <c r="I212">
        <v>0</v>
      </c>
    </row>
    <row r="213" spans="1:9">
      <c r="A213" s="3">
        <v>7</v>
      </c>
      <c r="B213" s="3">
        <v>179</v>
      </c>
      <c r="C213" s="3">
        <v>95</v>
      </c>
      <c r="D213" s="3">
        <v>31</v>
      </c>
      <c r="E213" s="3">
        <v>0</v>
      </c>
      <c r="F213" s="3">
        <v>34.2</v>
      </c>
      <c r="G213" s="3">
        <v>0.164</v>
      </c>
      <c r="H213" s="3">
        <v>60</v>
      </c>
      <c r="I213">
        <v>0</v>
      </c>
    </row>
    <row r="214" spans="1:9">
      <c r="A214" s="3">
        <v>0</v>
      </c>
      <c r="B214" s="3">
        <v>140</v>
      </c>
      <c r="C214" s="3">
        <v>65</v>
      </c>
      <c r="D214" s="3">
        <v>26</v>
      </c>
      <c r="E214" s="3">
        <v>130</v>
      </c>
      <c r="F214" s="3">
        <v>42.6</v>
      </c>
      <c r="G214" s="3">
        <v>0.431</v>
      </c>
      <c r="H214" s="3">
        <v>24</v>
      </c>
      <c r="I214">
        <v>1</v>
      </c>
    </row>
    <row r="215" spans="1:9">
      <c r="A215" s="3">
        <v>9</v>
      </c>
      <c r="B215" s="3">
        <v>112</v>
      </c>
      <c r="C215" s="3">
        <v>82</v>
      </c>
      <c r="D215" s="3">
        <v>32</v>
      </c>
      <c r="E215" s="3">
        <v>175</v>
      </c>
      <c r="F215" s="3">
        <v>34.2</v>
      </c>
      <c r="G215" s="3">
        <v>0.26</v>
      </c>
      <c r="H215" s="3">
        <v>36</v>
      </c>
      <c r="I215">
        <v>1</v>
      </c>
    </row>
    <row r="216" spans="1:9">
      <c r="A216" s="3">
        <v>12</v>
      </c>
      <c r="B216" s="3">
        <v>151</v>
      </c>
      <c r="C216" s="3">
        <v>70</v>
      </c>
      <c r="D216" s="3">
        <v>40</v>
      </c>
      <c r="E216" s="3">
        <v>271</v>
      </c>
      <c r="F216" s="3">
        <v>41.8</v>
      </c>
      <c r="G216" s="3">
        <v>0.742</v>
      </c>
      <c r="H216" s="3">
        <v>38</v>
      </c>
      <c r="I216">
        <v>1</v>
      </c>
    </row>
    <row r="217" spans="1:9">
      <c r="A217" s="3">
        <v>5</v>
      </c>
      <c r="B217" s="3">
        <v>109</v>
      </c>
      <c r="C217" s="3">
        <v>62</v>
      </c>
      <c r="D217" s="3">
        <v>41</v>
      </c>
      <c r="E217" s="3">
        <v>129</v>
      </c>
      <c r="F217" s="3">
        <v>35.8</v>
      </c>
      <c r="G217" s="3">
        <v>0.514</v>
      </c>
      <c r="H217" s="3">
        <v>25</v>
      </c>
      <c r="I217">
        <v>1</v>
      </c>
    </row>
    <row r="218" spans="1:9">
      <c r="A218" s="3">
        <v>6</v>
      </c>
      <c r="B218" s="3">
        <v>125</v>
      </c>
      <c r="C218" s="3">
        <v>68</v>
      </c>
      <c r="D218" s="3">
        <v>30</v>
      </c>
      <c r="E218" s="3">
        <v>120</v>
      </c>
      <c r="F218" s="3">
        <v>30</v>
      </c>
      <c r="G218" s="3">
        <v>0.464</v>
      </c>
      <c r="H218" s="3">
        <v>32</v>
      </c>
      <c r="I218">
        <v>0</v>
      </c>
    </row>
    <row r="219" spans="1:9">
      <c r="A219" s="3">
        <v>5</v>
      </c>
      <c r="B219" s="3">
        <v>85</v>
      </c>
      <c r="C219" s="3">
        <v>74</v>
      </c>
      <c r="D219" s="3">
        <v>22</v>
      </c>
      <c r="E219" s="3">
        <v>0</v>
      </c>
      <c r="F219" s="3">
        <v>29</v>
      </c>
      <c r="G219" s="3">
        <v>1.224</v>
      </c>
      <c r="H219" s="3">
        <v>32</v>
      </c>
      <c r="I219">
        <v>1</v>
      </c>
    </row>
    <row r="220" spans="1:9">
      <c r="A220" s="3">
        <v>5</v>
      </c>
      <c r="B220" s="3">
        <v>112</v>
      </c>
      <c r="C220" s="3">
        <v>66</v>
      </c>
      <c r="D220" s="3">
        <v>0</v>
      </c>
      <c r="E220" s="3">
        <v>0</v>
      </c>
      <c r="F220" s="3">
        <v>37.8</v>
      </c>
      <c r="G220" s="3">
        <v>0.261</v>
      </c>
      <c r="H220" s="3">
        <v>41</v>
      </c>
      <c r="I220">
        <v>1</v>
      </c>
    </row>
    <row r="221" spans="1:9">
      <c r="A221" s="3">
        <v>0</v>
      </c>
      <c r="B221" s="3">
        <v>177</v>
      </c>
      <c r="C221" s="3">
        <v>60</v>
      </c>
      <c r="D221" s="3">
        <v>29</v>
      </c>
      <c r="E221" s="3">
        <v>478</v>
      </c>
      <c r="F221" s="3">
        <v>34.6</v>
      </c>
      <c r="G221" s="3">
        <v>1.072</v>
      </c>
      <c r="H221" s="3">
        <v>21</v>
      </c>
      <c r="I221">
        <v>1</v>
      </c>
    </row>
    <row r="222" spans="1:9">
      <c r="A222" s="3">
        <v>2</v>
      </c>
      <c r="B222" s="3">
        <v>158</v>
      </c>
      <c r="C222" s="3">
        <v>90</v>
      </c>
      <c r="D222" s="3">
        <v>0</v>
      </c>
      <c r="E222" s="3">
        <v>0</v>
      </c>
      <c r="F222" s="3">
        <v>31.6</v>
      </c>
      <c r="G222" s="3">
        <v>0.805</v>
      </c>
      <c r="H222" s="3">
        <v>66</v>
      </c>
      <c r="I222">
        <v>1</v>
      </c>
    </row>
    <row r="223" spans="1:9">
      <c r="A223" s="3">
        <v>7</v>
      </c>
      <c r="B223" s="3">
        <v>119</v>
      </c>
      <c r="C223" s="3">
        <v>0</v>
      </c>
      <c r="D223" s="3">
        <v>0</v>
      </c>
      <c r="E223" s="3">
        <v>0</v>
      </c>
      <c r="F223" s="3">
        <v>25.2</v>
      </c>
      <c r="G223" s="3">
        <v>0.209</v>
      </c>
      <c r="H223" s="3">
        <v>37</v>
      </c>
      <c r="I223">
        <v>0</v>
      </c>
    </row>
    <row r="224" spans="1:9">
      <c r="A224" s="3">
        <v>7</v>
      </c>
      <c r="B224" s="3">
        <v>142</v>
      </c>
      <c r="C224" s="3">
        <v>60</v>
      </c>
      <c r="D224" s="3">
        <v>33</v>
      </c>
      <c r="E224" s="3">
        <v>190</v>
      </c>
      <c r="F224" s="3">
        <v>28.8</v>
      </c>
      <c r="G224" s="3">
        <v>0.687</v>
      </c>
      <c r="H224" s="3">
        <v>61</v>
      </c>
      <c r="I224">
        <v>0</v>
      </c>
    </row>
    <row r="225" spans="1:9">
      <c r="A225" s="3">
        <v>1</v>
      </c>
      <c r="B225" s="3">
        <v>100</v>
      </c>
      <c r="C225" s="3">
        <v>66</v>
      </c>
      <c r="D225" s="3">
        <v>15</v>
      </c>
      <c r="E225" s="3">
        <v>56</v>
      </c>
      <c r="F225" s="3">
        <v>23.6</v>
      </c>
      <c r="G225" s="3">
        <v>0.666</v>
      </c>
      <c r="H225" s="3">
        <v>26</v>
      </c>
      <c r="I225">
        <v>0</v>
      </c>
    </row>
    <row r="226" spans="1:9">
      <c r="A226" s="3">
        <v>1</v>
      </c>
      <c r="B226" s="3">
        <v>87</v>
      </c>
      <c r="C226" s="3">
        <v>78</v>
      </c>
      <c r="D226" s="3">
        <v>27</v>
      </c>
      <c r="E226" s="3">
        <v>32</v>
      </c>
      <c r="F226" s="3">
        <v>34.6</v>
      </c>
      <c r="G226" s="3">
        <v>0.101</v>
      </c>
      <c r="H226" s="3">
        <v>22</v>
      </c>
      <c r="I226">
        <v>0</v>
      </c>
    </row>
    <row r="227" spans="1:9">
      <c r="A227" s="3">
        <v>0</v>
      </c>
      <c r="B227" s="3">
        <v>101</v>
      </c>
      <c r="C227" s="3">
        <v>76</v>
      </c>
      <c r="D227" s="3">
        <v>0</v>
      </c>
      <c r="E227" s="3">
        <v>0</v>
      </c>
      <c r="F227" s="3">
        <v>35.7</v>
      </c>
      <c r="G227" s="3">
        <v>0.198</v>
      </c>
      <c r="H227" s="3">
        <v>26</v>
      </c>
      <c r="I227">
        <v>0</v>
      </c>
    </row>
    <row r="228" spans="1:9">
      <c r="A228" s="3">
        <v>3</v>
      </c>
      <c r="B228" s="3">
        <v>162</v>
      </c>
      <c r="C228" s="3">
        <v>52</v>
      </c>
      <c r="D228" s="3">
        <v>38</v>
      </c>
      <c r="E228" s="3">
        <v>0</v>
      </c>
      <c r="F228" s="3">
        <v>37.2</v>
      </c>
      <c r="G228" s="3">
        <v>0.652</v>
      </c>
      <c r="H228" s="3">
        <v>24</v>
      </c>
      <c r="I228">
        <v>1</v>
      </c>
    </row>
    <row r="229" spans="1:9">
      <c r="A229" s="3">
        <v>4</v>
      </c>
      <c r="B229" s="3">
        <v>197</v>
      </c>
      <c r="C229" s="3">
        <v>70</v>
      </c>
      <c r="D229" s="3">
        <v>39</v>
      </c>
      <c r="E229" s="3">
        <v>744</v>
      </c>
      <c r="F229" s="3">
        <v>36.7</v>
      </c>
      <c r="G229" s="3">
        <v>2.329</v>
      </c>
      <c r="H229" s="3">
        <v>31</v>
      </c>
      <c r="I229">
        <v>0</v>
      </c>
    </row>
    <row r="230" spans="1:9">
      <c r="A230" s="3">
        <v>0</v>
      </c>
      <c r="B230" s="3">
        <v>117</v>
      </c>
      <c r="C230" s="3">
        <v>80</v>
      </c>
      <c r="D230" s="3">
        <v>31</v>
      </c>
      <c r="E230" s="3">
        <v>53</v>
      </c>
      <c r="F230" s="3">
        <v>45.2</v>
      </c>
      <c r="G230" s="3">
        <v>0.089</v>
      </c>
      <c r="H230" s="3">
        <v>24</v>
      </c>
      <c r="I230">
        <v>0</v>
      </c>
    </row>
    <row r="231" spans="1:9">
      <c r="A231" s="3">
        <v>4</v>
      </c>
      <c r="B231" s="3">
        <v>142</v>
      </c>
      <c r="C231" s="3">
        <v>86</v>
      </c>
      <c r="D231" s="3">
        <v>0</v>
      </c>
      <c r="E231" s="3">
        <v>0</v>
      </c>
      <c r="F231" s="3">
        <v>44</v>
      </c>
      <c r="G231" s="3">
        <v>0.645</v>
      </c>
      <c r="H231" s="3">
        <v>22</v>
      </c>
      <c r="I231">
        <v>1</v>
      </c>
    </row>
    <row r="232" spans="1:9">
      <c r="A232" s="3">
        <v>6</v>
      </c>
      <c r="B232" s="3">
        <v>134</v>
      </c>
      <c r="C232" s="3">
        <v>80</v>
      </c>
      <c r="D232" s="3">
        <v>37</v>
      </c>
      <c r="E232" s="3">
        <v>370</v>
      </c>
      <c r="F232" s="3">
        <v>46.2</v>
      </c>
      <c r="G232" s="3">
        <v>0.238</v>
      </c>
      <c r="H232" s="3">
        <v>46</v>
      </c>
      <c r="I232">
        <v>1</v>
      </c>
    </row>
    <row r="233" spans="1:9">
      <c r="A233" s="3">
        <v>1</v>
      </c>
      <c r="B233" s="3">
        <v>79</v>
      </c>
      <c r="C233" s="3">
        <v>80</v>
      </c>
      <c r="D233" s="3">
        <v>25</v>
      </c>
      <c r="E233" s="3">
        <v>37</v>
      </c>
      <c r="F233" s="3">
        <v>25.4</v>
      </c>
      <c r="G233" s="3">
        <v>0.583</v>
      </c>
      <c r="H233" s="3">
        <v>22</v>
      </c>
      <c r="I233">
        <v>0</v>
      </c>
    </row>
    <row r="234" spans="1:9">
      <c r="A234" s="3">
        <v>4</v>
      </c>
      <c r="B234" s="3">
        <v>122</v>
      </c>
      <c r="C234" s="3">
        <v>68</v>
      </c>
      <c r="D234" s="3">
        <v>0</v>
      </c>
      <c r="E234" s="3">
        <v>0</v>
      </c>
      <c r="F234" s="3">
        <v>35</v>
      </c>
      <c r="G234" s="3">
        <v>0.394</v>
      </c>
      <c r="H234" s="3">
        <v>29</v>
      </c>
      <c r="I234">
        <v>0</v>
      </c>
    </row>
    <row r="235" spans="1:9">
      <c r="A235" s="3">
        <v>3</v>
      </c>
      <c r="B235" s="3">
        <v>74</v>
      </c>
      <c r="C235" s="3">
        <v>68</v>
      </c>
      <c r="D235" s="3">
        <v>28</v>
      </c>
      <c r="E235" s="3">
        <v>45</v>
      </c>
      <c r="F235" s="3">
        <v>29.7</v>
      </c>
      <c r="G235" s="3">
        <v>0.293</v>
      </c>
      <c r="H235" s="3">
        <v>23</v>
      </c>
      <c r="I235">
        <v>0</v>
      </c>
    </row>
    <row r="236" spans="1:9">
      <c r="A236" s="3">
        <v>4</v>
      </c>
      <c r="B236" s="3">
        <v>171</v>
      </c>
      <c r="C236" s="3">
        <v>72</v>
      </c>
      <c r="D236" s="3">
        <v>0</v>
      </c>
      <c r="E236" s="3">
        <v>0</v>
      </c>
      <c r="F236" s="3">
        <v>43.6</v>
      </c>
      <c r="G236" s="3">
        <v>0.479</v>
      </c>
      <c r="H236" s="3">
        <v>26</v>
      </c>
      <c r="I236">
        <v>1</v>
      </c>
    </row>
    <row r="237" spans="1:9">
      <c r="A237" s="3">
        <v>7</v>
      </c>
      <c r="B237" s="3">
        <v>181</v>
      </c>
      <c r="C237" s="3">
        <v>84</v>
      </c>
      <c r="D237" s="3">
        <v>21</v>
      </c>
      <c r="E237" s="3">
        <v>192</v>
      </c>
      <c r="F237" s="3">
        <v>35.9</v>
      </c>
      <c r="G237" s="3">
        <v>0.586</v>
      </c>
      <c r="H237" s="3">
        <v>51</v>
      </c>
      <c r="I237">
        <v>1</v>
      </c>
    </row>
    <row r="238" spans="1:9">
      <c r="A238" s="3">
        <v>0</v>
      </c>
      <c r="B238" s="3">
        <v>179</v>
      </c>
      <c r="C238" s="3">
        <v>90</v>
      </c>
      <c r="D238" s="3">
        <v>27</v>
      </c>
      <c r="E238" s="3">
        <v>0</v>
      </c>
      <c r="F238" s="3">
        <v>44.1</v>
      </c>
      <c r="G238" s="3">
        <v>0.686</v>
      </c>
      <c r="H238" s="3">
        <v>23</v>
      </c>
      <c r="I238">
        <v>1</v>
      </c>
    </row>
    <row r="239" spans="1:9">
      <c r="A239" s="3">
        <v>9</v>
      </c>
      <c r="B239" s="3">
        <v>164</v>
      </c>
      <c r="C239" s="3">
        <v>84</v>
      </c>
      <c r="D239" s="3">
        <v>21</v>
      </c>
      <c r="E239" s="3">
        <v>0</v>
      </c>
      <c r="F239" s="3">
        <v>30.8</v>
      </c>
      <c r="G239" s="3">
        <v>0.831</v>
      </c>
      <c r="H239" s="3">
        <v>32</v>
      </c>
      <c r="I239">
        <v>1</v>
      </c>
    </row>
    <row r="240" spans="1:9">
      <c r="A240" s="3">
        <v>0</v>
      </c>
      <c r="B240" s="3">
        <v>104</v>
      </c>
      <c r="C240" s="3">
        <v>76</v>
      </c>
      <c r="D240" s="3">
        <v>0</v>
      </c>
      <c r="E240" s="3">
        <v>0</v>
      </c>
      <c r="F240" s="3">
        <v>18.4</v>
      </c>
      <c r="G240" s="3">
        <v>0.582</v>
      </c>
      <c r="H240" s="3">
        <v>27</v>
      </c>
      <c r="I240">
        <v>0</v>
      </c>
    </row>
    <row r="241" spans="1:9">
      <c r="A241" s="3">
        <v>1</v>
      </c>
      <c r="B241" s="3">
        <v>91</v>
      </c>
      <c r="C241" s="3">
        <v>64</v>
      </c>
      <c r="D241" s="3">
        <v>24</v>
      </c>
      <c r="E241" s="3">
        <v>0</v>
      </c>
      <c r="F241" s="3">
        <v>29.2</v>
      </c>
      <c r="G241" s="3">
        <v>0.192</v>
      </c>
      <c r="H241" s="3">
        <v>21</v>
      </c>
      <c r="I241">
        <v>0</v>
      </c>
    </row>
    <row r="242" spans="1:9">
      <c r="A242" s="3">
        <v>4</v>
      </c>
      <c r="B242" s="3">
        <v>91</v>
      </c>
      <c r="C242" s="3">
        <v>70</v>
      </c>
      <c r="D242" s="3">
        <v>32</v>
      </c>
      <c r="E242" s="3">
        <v>88</v>
      </c>
      <c r="F242" s="3">
        <v>33.1</v>
      </c>
      <c r="G242" s="3">
        <v>0.446</v>
      </c>
      <c r="H242" s="3">
        <v>22</v>
      </c>
      <c r="I242">
        <v>0</v>
      </c>
    </row>
    <row r="243" spans="1:9">
      <c r="A243" s="3">
        <v>3</v>
      </c>
      <c r="B243" s="3">
        <v>139</v>
      </c>
      <c r="C243" s="3">
        <v>54</v>
      </c>
      <c r="D243" s="3">
        <v>0</v>
      </c>
      <c r="E243" s="3">
        <v>0</v>
      </c>
      <c r="F243" s="3">
        <v>25.6</v>
      </c>
      <c r="G243" s="3">
        <v>0.402</v>
      </c>
      <c r="H243" s="3">
        <v>22</v>
      </c>
      <c r="I243">
        <v>1</v>
      </c>
    </row>
    <row r="244" spans="1:9">
      <c r="A244" s="3">
        <v>6</v>
      </c>
      <c r="B244" s="3">
        <v>119</v>
      </c>
      <c r="C244" s="3">
        <v>50</v>
      </c>
      <c r="D244" s="3">
        <v>22</v>
      </c>
      <c r="E244" s="3">
        <v>176</v>
      </c>
      <c r="F244" s="3">
        <v>27.1</v>
      </c>
      <c r="G244" s="3">
        <v>1.318</v>
      </c>
      <c r="H244" s="3">
        <v>33</v>
      </c>
      <c r="I244">
        <v>1</v>
      </c>
    </row>
    <row r="245" spans="1:9">
      <c r="A245" s="3">
        <v>2</v>
      </c>
      <c r="B245" s="3">
        <v>146</v>
      </c>
      <c r="C245" s="3">
        <v>76</v>
      </c>
      <c r="D245" s="3">
        <v>35</v>
      </c>
      <c r="E245" s="3">
        <v>194</v>
      </c>
      <c r="F245" s="3">
        <v>38.2</v>
      </c>
      <c r="G245" s="3">
        <v>0.329</v>
      </c>
      <c r="H245" s="3">
        <v>29</v>
      </c>
      <c r="I245">
        <v>0</v>
      </c>
    </row>
    <row r="246" spans="1:9">
      <c r="A246" s="3">
        <v>9</v>
      </c>
      <c r="B246" s="3">
        <v>184</v>
      </c>
      <c r="C246" s="3">
        <v>85</v>
      </c>
      <c r="D246" s="3">
        <v>15</v>
      </c>
      <c r="E246" s="3">
        <v>0</v>
      </c>
      <c r="F246" s="3">
        <v>30</v>
      </c>
      <c r="G246" s="3">
        <v>1.213</v>
      </c>
      <c r="H246" s="3">
        <v>49</v>
      </c>
      <c r="I246">
        <v>1</v>
      </c>
    </row>
    <row r="247" spans="1:9">
      <c r="A247" s="3">
        <v>10</v>
      </c>
      <c r="B247" s="3">
        <v>122</v>
      </c>
      <c r="C247" s="3">
        <v>68</v>
      </c>
      <c r="D247" s="3">
        <v>0</v>
      </c>
      <c r="E247" s="3">
        <v>0</v>
      </c>
      <c r="F247" s="3">
        <v>31.2</v>
      </c>
      <c r="G247" s="3">
        <v>0.258</v>
      </c>
      <c r="H247" s="3">
        <v>41</v>
      </c>
      <c r="I247">
        <v>0</v>
      </c>
    </row>
    <row r="248" spans="1:9">
      <c r="A248" s="3">
        <v>0</v>
      </c>
      <c r="B248" s="3">
        <v>165</v>
      </c>
      <c r="C248" s="3">
        <v>90</v>
      </c>
      <c r="D248" s="3">
        <v>33</v>
      </c>
      <c r="E248" s="3">
        <v>680</v>
      </c>
      <c r="F248" s="3">
        <v>52.3</v>
      </c>
      <c r="G248" s="3">
        <v>0.427</v>
      </c>
      <c r="H248" s="3">
        <v>23</v>
      </c>
      <c r="I248">
        <v>0</v>
      </c>
    </row>
    <row r="249" spans="1:9">
      <c r="A249" s="3">
        <v>9</v>
      </c>
      <c r="B249" s="3">
        <v>124</v>
      </c>
      <c r="C249" s="3">
        <v>70</v>
      </c>
      <c r="D249" s="3">
        <v>33</v>
      </c>
      <c r="E249" s="3">
        <v>402</v>
      </c>
      <c r="F249" s="3">
        <v>35.4</v>
      </c>
      <c r="G249" s="3">
        <v>0.282</v>
      </c>
      <c r="H249" s="3">
        <v>34</v>
      </c>
      <c r="I249">
        <v>0</v>
      </c>
    </row>
    <row r="250" spans="1:9">
      <c r="A250" s="3">
        <v>1</v>
      </c>
      <c r="B250" s="3">
        <v>111</v>
      </c>
      <c r="C250" s="3">
        <v>86</v>
      </c>
      <c r="D250" s="3">
        <v>19</v>
      </c>
      <c r="E250" s="3">
        <v>0</v>
      </c>
      <c r="F250" s="3">
        <v>30.1</v>
      </c>
      <c r="G250" s="3">
        <v>0.143</v>
      </c>
      <c r="H250" s="3">
        <v>23</v>
      </c>
      <c r="I250">
        <v>0</v>
      </c>
    </row>
    <row r="251" spans="1:9">
      <c r="A251" s="3">
        <v>9</v>
      </c>
      <c r="B251" s="3">
        <v>106</v>
      </c>
      <c r="C251" s="3">
        <v>52</v>
      </c>
      <c r="D251" s="3">
        <v>0</v>
      </c>
      <c r="E251" s="3">
        <v>0</v>
      </c>
      <c r="F251" s="3">
        <v>31.2</v>
      </c>
      <c r="G251" s="3">
        <v>0.38</v>
      </c>
      <c r="H251" s="3">
        <v>42</v>
      </c>
      <c r="I251">
        <v>0</v>
      </c>
    </row>
    <row r="252" spans="1:9">
      <c r="A252" s="3">
        <v>2</v>
      </c>
      <c r="B252" s="3">
        <v>129</v>
      </c>
      <c r="C252" s="3">
        <v>84</v>
      </c>
      <c r="D252" s="3">
        <v>0</v>
      </c>
      <c r="E252" s="3">
        <v>0</v>
      </c>
      <c r="F252" s="3">
        <v>28</v>
      </c>
      <c r="G252" s="3">
        <v>0.284</v>
      </c>
      <c r="H252" s="3">
        <v>27</v>
      </c>
      <c r="I252">
        <v>0</v>
      </c>
    </row>
    <row r="253" spans="1:9">
      <c r="A253" s="3">
        <v>2</v>
      </c>
      <c r="B253" s="3">
        <v>90</v>
      </c>
      <c r="C253" s="3">
        <v>80</v>
      </c>
      <c r="D253" s="3">
        <v>14</v>
      </c>
      <c r="E253" s="3">
        <v>55</v>
      </c>
      <c r="F253" s="3">
        <v>24.4</v>
      </c>
      <c r="G253" s="3">
        <v>0.249</v>
      </c>
      <c r="H253" s="3">
        <v>24</v>
      </c>
      <c r="I253">
        <v>0</v>
      </c>
    </row>
    <row r="254" spans="1:9">
      <c r="A254" s="3">
        <v>0</v>
      </c>
      <c r="B254" s="3">
        <v>86</v>
      </c>
      <c r="C254" s="3">
        <v>68</v>
      </c>
      <c r="D254" s="3">
        <v>32</v>
      </c>
      <c r="E254" s="3">
        <v>0</v>
      </c>
      <c r="F254" s="3">
        <v>35.8</v>
      </c>
      <c r="G254" s="3">
        <v>0.238</v>
      </c>
      <c r="H254" s="3">
        <v>25</v>
      </c>
      <c r="I254">
        <v>0</v>
      </c>
    </row>
    <row r="255" spans="1:9">
      <c r="A255" s="3">
        <v>12</v>
      </c>
      <c r="B255" s="3">
        <v>92</v>
      </c>
      <c r="C255" s="3">
        <v>62</v>
      </c>
      <c r="D255" s="3">
        <v>7</v>
      </c>
      <c r="E255" s="3">
        <v>258</v>
      </c>
      <c r="F255" s="3">
        <v>27.6</v>
      </c>
      <c r="G255" s="3">
        <v>0.926</v>
      </c>
      <c r="H255" s="3">
        <v>44</v>
      </c>
      <c r="I255">
        <v>1</v>
      </c>
    </row>
    <row r="256" spans="1:9">
      <c r="A256" s="3">
        <v>1</v>
      </c>
      <c r="B256" s="3">
        <v>113</v>
      </c>
      <c r="C256" s="3">
        <v>64</v>
      </c>
      <c r="D256" s="3">
        <v>35</v>
      </c>
      <c r="E256" s="3">
        <v>0</v>
      </c>
      <c r="F256" s="3">
        <v>33.6</v>
      </c>
      <c r="G256" s="3">
        <v>0.543</v>
      </c>
      <c r="H256" s="3">
        <v>21</v>
      </c>
      <c r="I256">
        <v>1</v>
      </c>
    </row>
    <row r="257" spans="1:9">
      <c r="A257" s="3">
        <v>3</v>
      </c>
      <c r="B257" s="3">
        <v>111</v>
      </c>
      <c r="C257" s="3">
        <v>56</v>
      </c>
      <c r="D257" s="3">
        <v>39</v>
      </c>
      <c r="E257" s="3">
        <v>0</v>
      </c>
      <c r="F257" s="3">
        <v>30.1</v>
      </c>
      <c r="G257" s="3">
        <v>0.557</v>
      </c>
      <c r="H257" s="3">
        <v>30</v>
      </c>
      <c r="I257">
        <v>0</v>
      </c>
    </row>
    <row r="258" spans="1:9">
      <c r="A258" s="3">
        <v>2</v>
      </c>
      <c r="B258" s="3">
        <v>114</v>
      </c>
      <c r="C258" s="3">
        <v>68</v>
      </c>
      <c r="D258" s="3">
        <v>22</v>
      </c>
      <c r="E258" s="3">
        <v>0</v>
      </c>
      <c r="F258" s="3">
        <v>28.7</v>
      </c>
      <c r="G258" s="3">
        <v>0.092</v>
      </c>
      <c r="H258" s="3">
        <v>25</v>
      </c>
      <c r="I258">
        <v>0</v>
      </c>
    </row>
    <row r="259" spans="1:9">
      <c r="A259" s="3">
        <v>1</v>
      </c>
      <c r="B259" s="3">
        <v>193</v>
      </c>
      <c r="C259" s="3">
        <v>50</v>
      </c>
      <c r="D259" s="3">
        <v>16</v>
      </c>
      <c r="E259" s="3">
        <v>375</v>
      </c>
      <c r="F259" s="3">
        <v>25.9</v>
      </c>
      <c r="G259" s="3">
        <v>0.655</v>
      </c>
      <c r="H259" s="3">
        <v>24</v>
      </c>
      <c r="I259">
        <v>0</v>
      </c>
    </row>
    <row r="260" spans="1:9">
      <c r="A260" s="3">
        <v>11</v>
      </c>
      <c r="B260" s="3">
        <v>155</v>
      </c>
      <c r="C260" s="3">
        <v>76</v>
      </c>
      <c r="D260" s="3">
        <v>28</v>
      </c>
      <c r="E260" s="3">
        <v>150</v>
      </c>
      <c r="F260" s="3">
        <v>33.3</v>
      </c>
      <c r="G260" s="3">
        <v>1.353</v>
      </c>
      <c r="H260" s="3">
        <v>51</v>
      </c>
      <c r="I260">
        <v>1</v>
      </c>
    </row>
    <row r="261" spans="1:9">
      <c r="A261" s="3">
        <v>3</v>
      </c>
      <c r="B261" s="3">
        <v>191</v>
      </c>
      <c r="C261" s="3">
        <v>68</v>
      </c>
      <c r="D261" s="3">
        <v>15</v>
      </c>
      <c r="E261" s="3">
        <v>130</v>
      </c>
      <c r="F261" s="3">
        <v>30.9</v>
      </c>
      <c r="G261" s="3">
        <v>0.299</v>
      </c>
      <c r="H261" s="3">
        <v>34</v>
      </c>
      <c r="I261">
        <v>0</v>
      </c>
    </row>
    <row r="262" spans="1:9">
      <c r="A262" s="3">
        <v>3</v>
      </c>
      <c r="B262" s="3">
        <v>141</v>
      </c>
      <c r="C262" s="3">
        <v>0</v>
      </c>
      <c r="D262" s="3">
        <v>0</v>
      </c>
      <c r="E262" s="3">
        <v>0</v>
      </c>
      <c r="F262" s="3">
        <v>30</v>
      </c>
      <c r="G262" s="3">
        <v>0.761</v>
      </c>
      <c r="H262" s="3">
        <v>27</v>
      </c>
      <c r="I262">
        <v>1</v>
      </c>
    </row>
    <row r="263" spans="1:9">
      <c r="A263" s="3">
        <v>4</v>
      </c>
      <c r="B263" s="3">
        <v>95</v>
      </c>
      <c r="C263" s="3">
        <v>70</v>
      </c>
      <c r="D263" s="3">
        <v>32</v>
      </c>
      <c r="E263" s="3">
        <v>0</v>
      </c>
      <c r="F263" s="3">
        <v>32.1</v>
      </c>
      <c r="G263" s="3">
        <v>0.612</v>
      </c>
      <c r="H263" s="3">
        <v>24</v>
      </c>
      <c r="I263">
        <v>0</v>
      </c>
    </row>
    <row r="264" spans="1:9">
      <c r="A264" s="3">
        <v>3</v>
      </c>
      <c r="B264" s="3">
        <v>142</v>
      </c>
      <c r="C264" s="3">
        <v>80</v>
      </c>
      <c r="D264" s="3">
        <v>15</v>
      </c>
      <c r="E264" s="3">
        <v>0</v>
      </c>
      <c r="F264" s="3">
        <v>32.4</v>
      </c>
      <c r="G264" s="3">
        <v>0.2</v>
      </c>
      <c r="H264" s="3">
        <v>63</v>
      </c>
      <c r="I264">
        <v>0</v>
      </c>
    </row>
    <row r="265" spans="1:9">
      <c r="A265" s="3">
        <v>4</v>
      </c>
      <c r="B265" s="3">
        <v>123</v>
      </c>
      <c r="C265" s="3">
        <v>62</v>
      </c>
      <c r="D265" s="3">
        <v>0</v>
      </c>
      <c r="E265" s="3">
        <v>0</v>
      </c>
      <c r="F265" s="3">
        <v>32</v>
      </c>
      <c r="G265" s="3">
        <v>0.226</v>
      </c>
      <c r="H265" s="3">
        <v>35</v>
      </c>
      <c r="I265">
        <v>1</v>
      </c>
    </row>
    <row r="266" spans="1:9">
      <c r="A266" s="3">
        <v>5</v>
      </c>
      <c r="B266" s="3">
        <v>96</v>
      </c>
      <c r="C266" s="3">
        <v>74</v>
      </c>
      <c r="D266" s="3">
        <v>18</v>
      </c>
      <c r="E266" s="3">
        <v>67</v>
      </c>
      <c r="F266" s="3">
        <v>33.6</v>
      </c>
      <c r="G266" s="3">
        <v>0.997</v>
      </c>
      <c r="H266" s="3">
        <v>43</v>
      </c>
      <c r="I266">
        <v>0</v>
      </c>
    </row>
    <row r="267" spans="1:9">
      <c r="A267" s="3">
        <v>0</v>
      </c>
      <c r="B267" s="3">
        <v>138</v>
      </c>
      <c r="C267" s="3">
        <v>0</v>
      </c>
      <c r="D267" s="3">
        <v>0</v>
      </c>
      <c r="E267" s="3">
        <v>0</v>
      </c>
      <c r="F267" s="3">
        <v>36.3</v>
      </c>
      <c r="G267" s="3">
        <v>0.933</v>
      </c>
      <c r="H267" s="3">
        <v>25</v>
      </c>
      <c r="I267">
        <v>1</v>
      </c>
    </row>
    <row r="268" spans="1:9">
      <c r="A268" s="3">
        <v>2</v>
      </c>
      <c r="B268" s="3">
        <v>128</v>
      </c>
      <c r="C268" s="3">
        <v>64</v>
      </c>
      <c r="D268" s="3">
        <v>42</v>
      </c>
      <c r="E268" s="3">
        <v>0</v>
      </c>
      <c r="F268" s="3">
        <v>40</v>
      </c>
      <c r="G268" s="3">
        <v>1.101</v>
      </c>
      <c r="H268" s="3">
        <v>24</v>
      </c>
      <c r="I268">
        <v>0</v>
      </c>
    </row>
    <row r="269" spans="1:9">
      <c r="A269" s="3">
        <v>0</v>
      </c>
      <c r="B269" s="3">
        <v>102</v>
      </c>
      <c r="C269" s="3">
        <v>52</v>
      </c>
      <c r="D269" s="3">
        <v>0</v>
      </c>
      <c r="E269" s="3">
        <v>0</v>
      </c>
      <c r="F269" s="3">
        <v>25.1</v>
      </c>
      <c r="G269" s="3">
        <v>0.078</v>
      </c>
      <c r="H269" s="3">
        <v>21</v>
      </c>
      <c r="I269">
        <v>0</v>
      </c>
    </row>
    <row r="270" spans="1:9">
      <c r="A270" s="3">
        <v>2</v>
      </c>
      <c r="B270" s="3">
        <v>146</v>
      </c>
      <c r="C270" s="3">
        <v>0</v>
      </c>
      <c r="D270" s="3">
        <v>0</v>
      </c>
      <c r="E270" s="3">
        <v>0</v>
      </c>
      <c r="F270" s="3">
        <v>27.5</v>
      </c>
      <c r="G270" s="3">
        <v>0.24</v>
      </c>
      <c r="H270" s="3">
        <v>28</v>
      </c>
      <c r="I270">
        <v>1</v>
      </c>
    </row>
    <row r="271" spans="1:9">
      <c r="A271" s="3">
        <v>10</v>
      </c>
      <c r="B271" s="3">
        <v>101</v>
      </c>
      <c r="C271" s="3">
        <v>86</v>
      </c>
      <c r="D271" s="3">
        <v>37</v>
      </c>
      <c r="E271" s="3">
        <v>0</v>
      </c>
      <c r="F271" s="3">
        <v>45.6</v>
      </c>
      <c r="G271" s="3">
        <v>1.136</v>
      </c>
      <c r="H271" s="3">
        <v>38</v>
      </c>
      <c r="I271">
        <v>1</v>
      </c>
    </row>
    <row r="272" spans="1:9">
      <c r="A272" s="3">
        <v>2</v>
      </c>
      <c r="B272" s="3">
        <v>108</v>
      </c>
      <c r="C272" s="3">
        <v>62</v>
      </c>
      <c r="D272" s="3">
        <v>32</v>
      </c>
      <c r="E272" s="3">
        <v>56</v>
      </c>
      <c r="F272" s="3">
        <v>25.2</v>
      </c>
      <c r="G272" s="3">
        <v>0.128</v>
      </c>
      <c r="H272" s="3">
        <v>21</v>
      </c>
      <c r="I272">
        <v>0</v>
      </c>
    </row>
    <row r="273" spans="1:9">
      <c r="A273" s="3">
        <v>3</v>
      </c>
      <c r="B273" s="3">
        <v>122</v>
      </c>
      <c r="C273" s="3">
        <v>78</v>
      </c>
      <c r="D273" s="3">
        <v>0</v>
      </c>
      <c r="E273" s="3">
        <v>0</v>
      </c>
      <c r="F273" s="3">
        <v>23</v>
      </c>
      <c r="G273" s="3">
        <v>0.254</v>
      </c>
      <c r="H273" s="3">
        <v>40</v>
      </c>
      <c r="I273">
        <v>0</v>
      </c>
    </row>
    <row r="274" spans="1:9">
      <c r="A274" s="3">
        <v>1</v>
      </c>
      <c r="B274" s="3">
        <v>71</v>
      </c>
      <c r="C274" s="3">
        <v>78</v>
      </c>
      <c r="D274" s="3">
        <v>50</v>
      </c>
      <c r="E274" s="3">
        <v>45</v>
      </c>
      <c r="F274" s="3">
        <v>33.2</v>
      </c>
      <c r="G274" s="3">
        <v>0.422</v>
      </c>
      <c r="H274" s="3">
        <v>21</v>
      </c>
      <c r="I274">
        <v>0</v>
      </c>
    </row>
    <row r="275" spans="1:9">
      <c r="A275" s="3">
        <v>13</v>
      </c>
      <c r="B275" s="3">
        <v>106</v>
      </c>
      <c r="C275" s="3">
        <v>70</v>
      </c>
      <c r="D275" s="3">
        <v>0</v>
      </c>
      <c r="E275" s="3">
        <v>0</v>
      </c>
      <c r="F275" s="3">
        <v>34.2</v>
      </c>
      <c r="G275" s="3">
        <v>0.251</v>
      </c>
      <c r="H275" s="3">
        <v>52</v>
      </c>
      <c r="I275">
        <v>0</v>
      </c>
    </row>
    <row r="276" spans="1:9">
      <c r="A276" s="3">
        <v>2</v>
      </c>
      <c r="B276" s="3">
        <v>100</v>
      </c>
      <c r="C276" s="3">
        <v>70</v>
      </c>
      <c r="D276" s="3">
        <v>52</v>
      </c>
      <c r="E276" s="3">
        <v>57</v>
      </c>
      <c r="F276" s="3">
        <v>40.5</v>
      </c>
      <c r="G276" s="3">
        <v>0.677</v>
      </c>
      <c r="H276" s="3">
        <v>25</v>
      </c>
      <c r="I276">
        <v>0</v>
      </c>
    </row>
    <row r="277" spans="1:9">
      <c r="A277" s="3">
        <v>7</v>
      </c>
      <c r="B277" s="3">
        <v>106</v>
      </c>
      <c r="C277" s="3">
        <v>60</v>
      </c>
      <c r="D277" s="3">
        <v>24</v>
      </c>
      <c r="E277" s="3">
        <v>0</v>
      </c>
      <c r="F277" s="3">
        <v>26.5</v>
      </c>
      <c r="G277" s="3">
        <v>0.296</v>
      </c>
      <c r="H277" s="3">
        <v>29</v>
      </c>
      <c r="I277">
        <v>1</v>
      </c>
    </row>
    <row r="278" spans="1:9">
      <c r="A278" s="3">
        <v>0</v>
      </c>
      <c r="B278" s="3">
        <v>104</v>
      </c>
      <c r="C278" s="3">
        <v>64</v>
      </c>
      <c r="D278" s="3">
        <v>23</v>
      </c>
      <c r="E278" s="3">
        <v>116</v>
      </c>
      <c r="F278" s="3">
        <v>27.8</v>
      </c>
      <c r="G278" s="3">
        <v>0.454</v>
      </c>
      <c r="H278" s="3">
        <v>23</v>
      </c>
      <c r="I278">
        <v>0</v>
      </c>
    </row>
    <row r="279" spans="1:9">
      <c r="A279" s="3">
        <v>5</v>
      </c>
      <c r="B279" s="3">
        <v>114</v>
      </c>
      <c r="C279" s="3">
        <v>74</v>
      </c>
      <c r="D279" s="3">
        <v>0</v>
      </c>
      <c r="E279" s="3">
        <v>0</v>
      </c>
      <c r="F279" s="3">
        <v>24.9</v>
      </c>
      <c r="G279" s="3">
        <v>0.744</v>
      </c>
      <c r="H279" s="3">
        <v>57</v>
      </c>
      <c r="I279">
        <v>0</v>
      </c>
    </row>
    <row r="280" spans="1:9">
      <c r="A280" s="3">
        <v>2</v>
      </c>
      <c r="B280" s="3">
        <v>108</v>
      </c>
      <c r="C280" s="3">
        <v>62</v>
      </c>
      <c r="D280" s="3">
        <v>10</v>
      </c>
      <c r="E280" s="3">
        <v>278</v>
      </c>
      <c r="F280" s="3">
        <v>25.3</v>
      </c>
      <c r="G280" s="3">
        <v>0.881</v>
      </c>
      <c r="H280" s="3">
        <v>22</v>
      </c>
      <c r="I280">
        <v>0</v>
      </c>
    </row>
    <row r="281" spans="1:9">
      <c r="A281" s="3">
        <v>0</v>
      </c>
      <c r="B281" s="3">
        <v>146</v>
      </c>
      <c r="C281" s="3">
        <v>70</v>
      </c>
      <c r="D281" s="3">
        <v>0</v>
      </c>
      <c r="E281" s="3">
        <v>0</v>
      </c>
      <c r="F281" s="3">
        <v>37.9</v>
      </c>
      <c r="G281" s="3">
        <v>0.334</v>
      </c>
      <c r="H281" s="3">
        <v>28</v>
      </c>
      <c r="I281">
        <v>1</v>
      </c>
    </row>
    <row r="282" spans="1:9">
      <c r="A282" s="3">
        <v>10</v>
      </c>
      <c r="B282" s="3">
        <v>129</v>
      </c>
      <c r="C282" s="3">
        <v>76</v>
      </c>
      <c r="D282" s="3">
        <v>28</v>
      </c>
      <c r="E282" s="3">
        <v>122</v>
      </c>
      <c r="F282" s="3">
        <v>35.9</v>
      </c>
      <c r="G282" s="3">
        <v>0.28</v>
      </c>
      <c r="H282" s="3">
        <v>39</v>
      </c>
      <c r="I282">
        <v>0</v>
      </c>
    </row>
    <row r="283" spans="1:9">
      <c r="A283" s="3">
        <v>7</v>
      </c>
      <c r="B283" s="3">
        <v>133</v>
      </c>
      <c r="C283" s="3">
        <v>88</v>
      </c>
      <c r="D283" s="3">
        <v>15</v>
      </c>
      <c r="E283" s="3">
        <v>155</v>
      </c>
      <c r="F283" s="3">
        <v>32.4</v>
      </c>
      <c r="G283" s="3">
        <v>0.262</v>
      </c>
      <c r="H283" s="3">
        <v>37</v>
      </c>
      <c r="I283">
        <v>0</v>
      </c>
    </row>
    <row r="284" spans="1:9">
      <c r="A284" s="3">
        <v>7</v>
      </c>
      <c r="B284" s="3">
        <v>161</v>
      </c>
      <c r="C284" s="3">
        <v>86</v>
      </c>
      <c r="D284" s="3">
        <v>0</v>
      </c>
      <c r="E284" s="3">
        <v>0</v>
      </c>
      <c r="F284" s="3">
        <v>30.4</v>
      </c>
      <c r="G284" s="3">
        <v>0.165</v>
      </c>
      <c r="H284" s="3">
        <v>47</v>
      </c>
      <c r="I284">
        <v>1</v>
      </c>
    </row>
    <row r="285" spans="1:9">
      <c r="A285" s="3">
        <v>2</v>
      </c>
      <c r="B285" s="3">
        <v>108</v>
      </c>
      <c r="C285" s="3">
        <v>80</v>
      </c>
      <c r="D285" s="3">
        <v>0</v>
      </c>
      <c r="E285" s="3">
        <v>0</v>
      </c>
      <c r="F285" s="3">
        <v>27</v>
      </c>
      <c r="G285" s="3">
        <v>0.259</v>
      </c>
      <c r="H285" s="3">
        <v>52</v>
      </c>
      <c r="I285">
        <v>1</v>
      </c>
    </row>
    <row r="286" spans="1:9">
      <c r="A286" s="3">
        <v>7</v>
      </c>
      <c r="B286" s="3">
        <v>136</v>
      </c>
      <c r="C286" s="3">
        <v>74</v>
      </c>
      <c r="D286" s="3">
        <v>26</v>
      </c>
      <c r="E286" s="3">
        <v>135</v>
      </c>
      <c r="F286" s="3">
        <v>26</v>
      </c>
      <c r="G286" s="3">
        <v>0.647</v>
      </c>
      <c r="H286" s="3">
        <v>51</v>
      </c>
      <c r="I286">
        <v>0</v>
      </c>
    </row>
    <row r="287" spans="1:9">
      <c r="A287" s="3">
        <v>5</v>
      </c>
      <c r="B287" s="3">
        <v>155</v>
      </c>
      <c r="C287" s="3">
        <v>84</v>
      </c>
      <c r="D287" s="3">
        <v>44</v>
      </c>
      <c r="E287" s="3">
        <v>545</v>
      </c>
      <c r="F287" s="3">
        <v>38.7</v>
      </c>
      <c r="G287" s="3">
        <v>0.619</v>
      </c>
      <c r="H287" s="3">
        <v>34</v>
      </c>
      <c r="I287">
        <v>0</v>
      </c>
    </row>
    <row r="288" spans="1:9">
      <c r="A288" s="3">
        <v>1</v>
      </c>
      <c r="B288" s="3">
        <v>119</v>
      </c>
      <c r="C288" s="3">
        <v>86</v>
      </c>
      <c r="D288" s="3">
        <v>39</v>
      </c>
      <c r="E288" s="3">
        <v>220</v>
      </c>
      <c r="F288" s="3">
        <v>45.6</v>
      </c>
      <c r="G288" s="3">
        <v>0.808</v>
      </c>
      <c r="H288" s="3">
        <v>29</v>
      </c>
      <c r="I288">
        <v>1</v>
      </c>
    </row>
    <row r="289" spans="1:9">
      <c r="A289" s="3">
        <v>4</v>
      </c>
      <c r="B289" s="3">
        <v>96</v>
      </c>
      <c r="C289" s="3">
        <v>56</v>
      </c>
      <c r="D289" s="3">
        <v>17</v>
      </c>
      <c r="E289" s="3">
        <v>49</v>
      </c>
      <c r="F289" s="3">
        <v>20.8</v>
      </c>
      <c r="G289" s="3">
        <v>0.34</v>
      </c>
      <c r="H289" s="3">
        <v>26</v>
      </c>
      <c r="I289">
        <v>0</v>
      </c>
    </row>
    <row r="290" spans="1:9">
      <c r="A290" s="3">
        <v>5</v>
      </c>
      <c r="B290" s="3">
        <v>108</v>
      </c>
      <c r="C290" s="3">
        <v>72</v>
      </c>
      <c r="D290" s="3">
        <v>43</v>
      </c>
      <c r="E290" s="3">
        <v>75</v>
      </c>
      <c r="F290" s="3">
        <v>36.1</v>
      </c>
      <c r="G290" s="3">
        <v>0.263</v>
      </c>
      <c r="H290" s="3">
        <v>33</v>
      </c>
      <c r="I290">
        <v>0</v>
      </c>
    </row>
    <row r="291" spans="1:9">
      <c r="A291" s="3">
        <v>0</v>
      </c>
      <c r="B291" s="3">
        <v>78</v>
      </c>
      <c r="C291" s="3">
        <v>88</v>
      </c>
      <c r="D291" s="3">
        <v>29</v>
      </c>
      <c r="E291" s="3">
        <v>40</v>
      </c>
      <c r="F291" s="3">
        <v>36.9</v>
      </c>
      <c r="G291" s="3">
        <v>0.434</v>
      </c>
      <c r="H291" s="3">
        <v>21</v>
      </c>
      <c r="I291">
        <v>0</v>
      </c>
    </row>
    <row r="292" spans="1:9">
      <c r="A292" s="3">
        <v>0</v>
      </c>
      <c r="B292" s="3">
        <v>107</v>
      </c>
      <c r="C292" s="3">
        <v>62</v>
      </c>
      <c r="D292" s="3">
        <v>30</v>
      </c>
      <c r="E292" s="3">
        <v>74</v>
      </c>
      <c r="F292" s="3">
        <v>36.6</v>
      </c>
      <c r="G292" s="3">
        <v>0.757</v>
      </c>
      <c r="H292" s="3">
        <v>25</v>
      </c>
      <c r="I292">
        <v>1</v>
      </c>
    </row>
    <row r="293" spans="1:9">
      <c r="A293" s="3">
        <v>2</v>
      </c>
      <c r="B293" s="3">
        <v>128</v>
      </c>
      <c r="C293" s="3">
        <v>78</v>
      </c>
      <c r="D293" s="3">
        <v>37</v>
      </c>
      <c r="E293" s="3">
        <v>182</v>
      </c>
      <c r="F293" s="3">
        <v>43.3</v>
      </c>
      <c r="G293" s="3">
        <v>1.224</v>
      </c>
      <c r="H293" s="3">
        <v>31</v>
      </c>
      <c r="I293">
        <v>1</v>
      </c>
    </row>
    <row r="294" spans="1:9">
      <c r="A294" s="3">
        <v>1</v>
      </c>
      <c r="B294" s="3">
        <v>128</v>
      </c>
      <c r="C294" s="3">
        <v>48</v>
      </c>
      <c r="D294" s="3">
        <v>45</v>
      </c>
      <c r="E294" s="3">
        <v>194</v>
      </c>
      <c r="F294" s="3">
        <v>40.5</v>
      </c>
      <c r="G294" s="3">
        <v>0.613</v>
      </c>
      <c r="H294" s="3">
        <v>24</v>
      </c>
      <c r="I294">
        <v>1</v>
      </c>
    </row>
    <row r="295" spans="1:9">
      <c r="A295" s="3">
        <v>0</v>
      </c>
      <c r="B295" s="3">
        <v>161</v>
      </c>
      <c r="C295" s="3">
        <v>50</v>
      </c>
      <c r="D295" s="3">
        <v>0</v>
      </c>
      <c r="E295" s="3">
        <v>0</v>
      </c>
      <c r="F295" s="3">
        <v>21.9</v>
      </c>
      <c r="G295" s="3">
        <v>0.254</v>
      </c>
      <c r="H295" s="3">
        <v>65</v>
      </c>
      <c r="I295">
        <v>0</v>
      </c>
    </row>
    <row r="296" spans="1:9">
      <c r="A296" s="3">
        <v>6</v>
      </c>
      <c r="B296" s="3">
        <v>151</v>
      </c>
      <c r="C296" s="3">
        <v>62</v>
      </c>
      <c r="D296" s="3">
        <v>31</v>
      </c>
      <c r="E296" s="3">
        <v>120</v>
      </c>
      <c r="F296" s="3">
        <v>35.5</v>
      </c>
      <c r="G296" s="3">
        <v>0.692</v>
      </c>
      <c r="H296" s="3">
        <v>28</v>
      </c>
      <c r="I296">
        <v>0</v>
      </c>
    </row>
    <row r="297" spans="1:9">
      <c r="A297" s="3">
        <v>2</v>
      </c>
      <c r="B297" s="3">
        <v>146</v>
      </c>
      <c r="C297" s="3">
        <v>70</v>
      </c>
      <c r="D297" s="3">
        <v>38</v>
      </c>
      <c r="E297" s="3">
        <v>360</v>
      </c>
      <c r="F297" s="3">
        <v>28</v>
      </c>
      <c r="G297" s="3">
        <v>0.337</v>
      </c>
      <c r="H297" s="3">
        <v>29</v>
      </c>
      <c r="I297">
        <v>1</v>
      </c>
    </row>
    <row r="298" spans="1:9">
      <c r="A298" s="3">
        <v>0</v>
      </c>
      <c r="B298" s="3">
        <v>126</v>
      </c>
      <c r="C298" s="3">
        <v>84</v>
      </c>
      <c r="D298" s="3">
        <v>29</v>
      </c>
      <c r="E298" s="3">
        <v>215</v>
      </c>
      <c r="F298" s="3">
        <v>30.7</v>
      </c>
      <c r="G298" s="3">
        <v>0.52</v>
      </c>
      <c r="H298" s="3">
        <v>24</v>
      </c>
      <c r="I298">
        <v>0</v>
      </c>
    </row>
    <row r="299" spans="1:9">
      <c r="A299" s="3">
        <v>14</v>
      </c>
      <c r="B299" s="3">
        <v>100</v>
      </c>
      <c r="C299" s="3">
        <v>78</v>
      </c>
      <c r="D299" s="3">
        <v>25</v>
      </c>
      <c r="E299" s="3">
        <v>184</v>
      </c>
      <c r="F299" s="3">
        <v>36.6</v>
      </c>
      <c r="G299" s="3">
        <v>0.412</v>
      </c>
      <c r="H299" s="3">
        <v>46</v>
      </c>
      <c r="I299">
        <v>1</v>
      </c>
    </row>
    <row r="300" spans="1:9">
      <c r="A300" s="3">
        <v>8</v>
      </c>
      <c r="B300" s="3">
        <v>112</v>
      </c>
      <c r="C300" s="3">
        <v>72</v>
      </c>
      <c r="D300" s="3">
        <v>0</v>
      </c>
      <c r="E300" s="3">
        <v>0</v>
      </c>
      <c r="F300" s="3">
        <v>23.6</v>
      </c>
      <c r="G300" s="3">
        <v>0.84</v>
      </c>
      <c r="H300" s="3">
        <v>58</v>
      </c>
      <c r="I300">
        <v>0</v>
      </c>
    </row>
    <row r="301" spans="1:9">
      <c r="A301" s="3">
        <v>0</v>
      </c>
      <c r="B301" s="3">
        <v>167</v>
      </c>
      <c r="C301" s="3">
        <v>0</v>
      </c>
      <c r="D301" s="3">
        <v>0</v>
      </c>
      <c r="E301" s="3">
        <v>0</v>
      </c>
      <c r="F301" s="3">
        <v>32.3</v>
      </c>
      <c r="G301" s="3">
        <v>0.839</v>
      </c>
      <c r="H301" s="3">
        <v>30</v>
      </c>
      <c r="I301">
        <v>1</v>
      </c>
    </row>
    <row r="302" spans="1:9">
      <c r="A302" s="3">
        <v>2</v>
      </c>
      <c r="B302" s="3">
        <v>144</v>
      </c>
      <c r="C302" s="3">
        <v>58</v>
      </c>
      <c r="D302" s="3">
        <v>33</v>
      </c>
      <c r="E302" s="3">
        <v>135</v>
      </c>
      <c r="F302" s="3">
        <v>31.6</v>
      </c>
      <c r="G302" s="3">
        <v>0.422</v>
      </c>
      <c r="H302" s="3">
        <v>25</v>
      </c>
      <c r="I302">
        <v>1</v>
      </c>
    </row>
    <row r="303" spans="1:9">
      <c r="A303" s="3">
        <v>5</v>
      </c>
      <c r="B303" s="3">
        <v>77</v>
      </c>
      <c r="C303" s="3">
        <v>82</v>
      </c>
      <c r="D303" s="3">
        <v>41</v>
      </c>
      <c r="E303" s="3">
        <v>42</v>
      </c>
      <c r="F303" s="3">
        <v>35.8</v>
      </c>
      <c r="G303" s="3">
        <v>0.156</v>
      </c>
      <c r="H303" s="3">
        <v>35</v>
      </c>
      <c r="I303">
        <v>0</v>
      </c>
    </row>
    <row r="304" spans="1:9">
      <c r="A304" s="3">
        <v>5</v>
      </c>
      <c r="B304" s="3">
        <v>115</v>
      </c>
      <c r="C304" s="3">
        <v>98</v>
      </c>
      <c r="D304" s="3">
        <v>0</v>
      </c>
      <c r="E304" s="3">
        <v>0</v>
      </c>
      <c r="F304" s="3">
        <v>52.9</v>
      </c>
      <c r="G304" s="3">
        <v>0.209</v>
      </c>
      <c r="H304" s="3">
        <v>28</v>
      </c>
      <c r="I304">
        <v>1</v>
      </c>
    </row>
    <row r="305" spans="1:9">
      <c r="A305" s="3">
        <v>3</v>
      </c>
      <c r="B305" s="3">
        <v>150</v>
      </c>
      <c r="C305" s="3">
        <v>76</v>
      </c>
      <c r="D305" s="3">
        <v>0</v>
      </c>
      <c r="E305" s="3">
        <v>0</v>
      </c>
      <c r="F305" s="3">
        <v>21</v>
      </c>
      <c r="G305" s="3">
        <v>0.207</v>
      </c>
      <c r="H305" s="3">
        <v>37</v>
      </c>
      <c r="I305">
        <v>0</v>
      </c>
    </row>
    <row r="306" spans="1:9">
      <c r="A306" s="3">
        <v>2</v>
      </c>
      <c r="B306" s="3">
        <v>120</v>
      </c>
      <c r="C306" s="3">
        <v>76</v>
      </c>
      <c r="D306" s="3">
        <v>37</v>
      </c>
      <c r="E306" s="3">
        <v>105</v>
      </c>
      <c r="F306" s="3">
        <v>39.7</v>
      </c>
      <c r="G306" s="3">
        <v>0.215</v>
      </c>
      <c r="H306" s="3">
        <v>29</v>
      </c>
      <c r="I306">
        <v>0</v>
      </c>
    </row>
    <row r="307" spans="1:9">
      <c r="A307" s="3">
        <v>10</v>
      </c>
      <c r="B307" s="3">
        <v>161</v>
      </c>
      <c r="C307" s="3">
        <v>68</v>
      </c>
      <c r="D307" s="3">
        <v>23</v>
      </c>
      <c r="E307" s="3">
        <v>132</v>
      </c>
      <c r="F307" s="3">
        <v>25.5</v>
      </c>
      <c r="G307" s="3">
        <v>0.326</v>
      </c>
      <c r="H307" s="3">
        <v>47</v>
      </c>
      <c r="I307">
        <v>1</v>
      </c>
    </row>
    <row r="308" spans="1:9">
      <c r="A308" s="3">
        <v>0</v>
      </c>
      <c r="B308" s="3">
        <v>137</v>
      </c>
      <c r="C308" s="3">
        <v>68</v>
      </c>
      <c r="D308" s="3">
        <v>14</v>
      </c>
      <c r="E308" s="3">
        <v>148</v>
      </c>
      <c r="F308" s="3">
        <v>24.8</v>
      </c>
      <c r="G308" s="3">
        <v>0.143</v>
      </c>
      <c r="H308" s="3">
        <v>21</v>
      </c>
      <c r="I308">
        <v>0</v>
      </c>
    </row>
    <row r="309" spans="1:9">
      <c r="A309" s="3">
        <v>0</v>
      </c>
      <c r="B309" s="3">
        <v>128</v>
      </c>
      <c r="C309" s="3">
        <v>68</v>
      </c>
      <c r="D309" s="3">
        <v>19</v>
      </c>
      <c r="E309" s="3">
        <v>180</v>
      </c>
      <c r="F309" s="3">
        <v>30.5</v>
      </c>
      <c r="G309" s="3">
        <v>1.391</v>
      </c>
      <c r="H309" s="3">
        <v>25</v>
      </c>
      <c r="I309">
        <v>1</v>
      </c>
    </row>
    <row r="310" spans="1:9">
      <c r="A310" s="3">
        <v>2</v>
      </c>
      <c r="B310" s="3">
        <v>124</v>
      </c>
      <c r="C310" s="3">
        <v>68</v>
      </c>
      <c r="D310" s="3">
        <v>28</v>
      </c>
      <c r="E310" s="3">
        <v>205</v>
      </c>
      <c r="F310" s="3">
        <v>32.9</v>
      </c>
      <c r="G310" s="3">
        <v>0.875</v>
      </c>
      <c r="H310" s="3">
        <v>30</v>
      </c>
      <c r="I310">
        <v>1</v>
      </c>
    </row>
    <row r="311" spans="1:9">
      <c r="A311" s="3">
        <v>6</v>
      </c>
      <c r="B311" s="3">
        <v>80</v>
      </c>
      <c r="C311" s="3">
        <v>66</v>
      </c>
      <c r="D311" s="3">
        <v>30</v>
      </c>
      <c r="E311" s="3">
        <v>0</v>
      </c>
      <c r="F311" s="3">
        <v>26.2</v>
      </c>
      <c r="G311" s="3">
        <v>0.313</v>
      </c>
      <c r="H311" s="3">
        <v>41</v>
      </c>
      <c r="I311">
        <v>0</v>
      </c>
    </row>
    <row r="312" spans="1:9">
      <c r="A312" s="3">
        <v>0</v>
      </c>
      <c r="B312" s="3">
        <v>106</v>
      </c>
      <c r="C312" s="3">
        <v>70</v>
      </c>
      <c r="D312" s="3">
        <v>37</v>
      </c>
      <c r="E312" s="3">
        <v>148</v>
      </c>
      <c r="F312" s="3">
        <v>39.4</v>
      </c>
      <c r="G312" s="3">
        <v>0.605</v>
      </c>
      <c r="H312" s="3">
        <v>22</v>
      </c>
      <c r="I312">
        <v>0</v>
      </c>
    </row>
    <row r="313" spans="1:9">
      <c r="A313" s="3">
        <v>2</v>
      </c>
      <c r="B313" s="3">
        <v>155</v>
      </c>
      <c r="C313" s="3">
        <v>74</v>
      </c>
      <c r="D313" s="3">
        <v>17</v>
      </c>
      <c r="E313" s="3">
        <v>96</v>
      </c>
      <c r="F313" s="3">
        <v>26.6</v>
      </c>
      <c r="G313" s="3">
        <v>0.433</v>
      </c>
      <c r="H313" s="3">
        <v>27</v>
      </c>
      <c r="I313">
        <v>1</v>
      </c>
    </row>
    <row r="314" spans="1:9">
      <c r="A314" s="3">
        <v>3</v>
      </c>
      <c r="B314" s="3">
        <v>113</v>
      </c>
      <c r="C314" s="3">
        <v>50</v>
      </c>
      <c r="D314" s="3">
        <v>10</v>
      </c>
      <c r="E314" s="3">
        <v>85</v>
      </c>
      <c r="F314" s="3">
        <v>29.5</v>
      </c>
      <c r="G314" s="3">
        <v>0.626</v>
      </c>
      <c r="H314" s="3">
        <v>25</v>
      </c>
      <c r="I314">
        <v>0</v>
      </c>
    </row>
    <row r="315" spans="1:9">
      <c r="A315" s="3">
        <v>7</v>
      </c>
      <c r="B315" s="3">
        <v>109</v>
      </c>
      <c r="C315" s="3">
        <v>80</v>
      </c>
      <c r="D315" s="3">
        <v>31</v>
      </c>
      <c r="E315" s="3">
        <v>0</v>
      </c>
      <c r="F315" s="3">
        <v>35.9</v>
      </c>
      <c r="G315" s="3">
        <v>1.127</v>
      </c>
      <c r="H315" s="3">
        <v>43</v>
      </c>
      <c r="I315">
        <v>1</v>
      </c>
    </row>
    <row r="316" spans="1:9">
      <c r="A316" s="3">
        <v>2</v>
      </c>
      <c r="B316" s="3">
        <v>112</v>
      </c>
      <c r="C316" s="3">
        <v>68</v>
      </c>
      <c r="D316" s="3">
        <v>22</v>
      </c>
      <c r="E316" s="3">
        <v>94</v>
      </c>
      <c r="F316" s="3">
        <v>34.1</v>
      </c>
      <c r="G316" s="3">
        <v>0.315</v>
      </c>
      <c r="H316" s="3">
        <v>26</v>
      </c>
      <c r="I316">
        <v>0</v>
      </c>
    </row>
    <row r="317" spans="1:9">
      <c r="A317" s="3">
        <v>3</v>
      </c>
      <c r="B317" s="3">
        <v>99</v>
      </c>
      <c r="C317" s="3">
        <v>80</v>
      </c>
      <c r="D317" s="3">
        <v>11</v>
      </c>
      <c r="E317" s="3">
        <v>64</v>
      </c>
      <c r="F317" s="3">
        <v>19.3</v>
      </c>
      <c r="G317" s="3">
        <v>0.284</v>
      </c>
      <c r="H317" s="3">
        <v>30</v>
      </c>
      <c r="I317">
        <v>0</v>
      </c>
    </row>
    <row r="318" spans="1:9">
      <c r="A318" s="3">
        <v>3</v>
      </c>
      <c r="B318" s="3">
        <v>182</v>
      </c>
      <c r="C318" s="3">
        <v>74</v>
      </c>
      <c r="D318" s="3">
        <v>0</v>
      </c>
      <c r="E318" s="3">
        <v>0</v>
      </c>
      <c r="F318" s="3">
        <v>30.5</v>
      </c>
      <c r="G318" s="3">
        <v>0.345</v>
      </c>
      <c r="H318" s="3">
        <v>29</v>
      </c>
      <c r="I318">
        <v>1</v>
      </c>
    </row>
    <row r="319" spans="1:9">
      <c r="A319" s="3">
        <v>3</v>
      </c>
      <c r="B319" s="3">
        <v>115</v>
      </c>
      <c r="C319" s="3">
        <v>66</v>
      </c>
      <c r="D319" s="3">
        <v>39</v>
      </c>
      <c r="E319" s="3">
        <v>140</v>
      </c>
      <c r="F319" s="3">
        <v>38.1</v>
      </c>
      <c r="G319" s="3">
        <v>0.15</v>
      </c>
      <c r="H319" s="3">
        <v>28</v>
      </c>
      <c r="I319">
        <v>0</v>
      </c>
    </row>
    <row r="320" spans="1:9">
      <c r="A320" s="3">
        <v>6</v>
      </c>
      <c r="B320" s="3">
        <v>194</v>
      </c>
      <c r="C320" s="3">
        <v>78</v>
      </c>
      <c r="D320" s="3">
        <v>0</v>
      </c>
      <c r="E320" s="3">
        <v>0</v>
      </c>
      <c r="F320" s="3">
        <v>23.5</v>
      </c>
      <c r="G320" s="3">
        <v>0.129</v>
      </c>
      <c r="H320" s="3">
        <v>59</v>
      </c>
      <c r="I320">
        <v>1</v>
      </c>
    </row>
    <row r="321" spans="1:9">
      <c r="A321" s="3">
        <v>4</v>
      </c>
      <c r="B321" s="3">
        <v>129</v>
      </c>
      <c r="C321" s="3">
        <v>60</v>
      </c>
      <c r="D321" s="3">
        <v>12</v>
      </c>
      <c r="E321" s="3">
        <v>231</v>
      </c>
      <c r="F321" s="3">
        <v>27.5</v>
      </c>
      <c r="G321" s="3">
        <v>0.527</v>
      </c>
      <c r="H321" s="3">
        <v>31</v>
      </c>
      <c r="I321">
        <v>0</v>
      </c>
    </row>
    <row r="322" spans="1:9">
      <c r="A322" s="3">
        <v>3</v>
      </c>
      <c r="B322" s="3">
        <v>112</v>
      </c>
      <c r="C322" s="3">
        <v>74</v>
      </c>
      <c r="D322" s="3">
        <v>30</v>
      </c>
      <c r="E322" s="3">
        <v>0</v>
      </c>
      <c r="F322" s="3">
        <v>31.6</v>
      </c>
      <c r="G322" s="3">
        <v>0.197</v>
      </c>
      <c r="H322" s="3">
        <v>25</v>
      </c>
      <c r="I322">
        <v>1</v>
      </c>
    </row>
    <row r="323" spans="1:9">
      <c r="A323" s="3">
        <v>0</v>
      </c>
      <c r="B323" s="3">
        <v>124</v>
      </c>
      <c r="C323" s="3">
        <v>70</v>
      </c>
      <c r="D323" s="3">
        <v>20</v>
      </c>
      <c r="E323" s="3">
        <v>0</v>
      </c>
      <c r="F323" s="3">
        <v>27.4</v>
      </c>
      <c r="G323" s="3">
        <v>0.254</v>
      </c>
      <c r="H323" s="3">
        <v>36</v>
      </c>
      <c r="I323">
        <v>1</v>
      </c>
    </row>
    <row r="324" spans="1:9">
      <c r="A324" s="3">
        <v>13</v>
      </c>
      <c r="B324" s="3">
        <v>152</v>
      </c>
      <c r="C324" s="3">
        <v>90</v>
      </c>
      <c r="D324" s="3">
        <v>33</v>
      </c>
      <c r="E324" s="3">
        <v>29</v>
      </c>
      <c r="F324" s="3">
        <v>26.8</v>
      </c>
      <c r="G324" s="3">
        <v>0.731</v>
      </c>
      <c r="H324" s="3">
        <v>43</v>
      </c>
      <c r="I324">
        <v>1</v>
      </c>
    </row>
    <row r="325" spans="1:9">
      <c r="A325" s="3">
        <v>2</v>
      </c>
      <c r="B325" s="3">
        <v>112</v>
      </c>
      <c r="C325" s="3">
        <v>75</v>
      </c>
      <c r="D325" s="3">
        <v>32</v>
      </c>
      <c r="E325" s="3">
        <v>0</v>
      </c>
      <c r="F325" s="3">
        <v>35.7</v>
      </c>
      <c r="G325" s="3">
        <v>0.148</v>
      </c>
      <c r="H325" s="3">
        <v>21</v>
      </c>
      <c r="I325">
        <v>0</v>
      </c>
    </row>
    <row r="326" spans="1:9">
      <c r="A326" s="3">
        <v>1</v>
      </c>
      <c r="B326" s="3">
        <v>157</v>
      </c>
      <c r="C326" s="3">
        <v>72</v>
      </c>
      <c r="D326" s="3">
        <v>21</v>
      </c>
      <c r="E326" s="3">
        <v>168</v>
      </c>
      <c r="F326" s="3">
        <v>25.6</v>
      </c>
      <c r="G326" s="3">
        <v>0.123</v>
      </c>
      <c r="H326" s="3">
        <v>24</v>
      </c>
      <c r="I326">
        <v>0</v>
      </c>
    </row>
    <row r="327" spans="1:9">
      <c r="A327" s="3">
        <v>1</v>
      </c>
      <c r="B327" s="3">
        <v>122</v>
      </c>
      <c r="C327" s="3">
        <v>64</v>
      </c>
      <c r="D327" s="3">
        <v>32</v>
      </c>
      <c r="E327" s="3">
        <v>156</v>
      </c>
      <c r="F327" s="3">
        <v>35.1</v>
      </c>
      <c r="G327" s="3">
        <v>0.692</v>
      </c>
      <c r="H327" s="3">
        <v>30</v>
      </c>
      <c r="I327">
        <v>1</v>
      </c>
    </row>
    <row r="328" spans="1:9">
      <c r="A328" s="3">
        <v>10</v>
      </c>
      <c r="B328" s="3">
        <v>179</v>
      </c>
      <c r="C328" s="3">
        <v>70</v>
      </c>
      <c r="D328" s="3">
        <v>0</v>
      </c>
      <c r="E328" s="3">
        <v>0</v>
      </c>
      <c r="F328" s="3">
        <v>35.1</v>
      </c>
      <c r="G328" s="3">
        <v>0.2</v>
      </c>
      <c r="H328" s="3">
        <v>37</v>
      </c>
      <c r="I328">
        <v>0</v>
      </c>
    </row>
    <row r="329" spans="1:9">
      <c r="A329" s="3">
        <v>2</v>
      </c>
      <c r="B329" s="3">
        <v>102</v>
      </c>
      <c r="C329" s="3">
        <v>86</v>
      </c>
      <c r="D329" s="3">
        <v>36</v>
      </c>
      <c r="E329" s="3">
        <v>120</v>
      </c>
      <c r="F329" s="3">
        <v>45.5</v>
      </c>
      <c r="G329" s="3">
        <v>0.127</v>
      </c>
      <c r="H329" s="3">
        <v>23</v>
      </c>
      <c r="I329">
        <v>1</v>
      </c>
    </row>
    <row r="330" spans="1:9">
      <c r="A330" s="3">
        <v>6</v>
      </c>
      <c r="B330" s="3">
        <v>105</v>
      </c>
      <c r="C330" s="3">
        <v>70</v>
      </c>
      <c r="D330" s="3">
        <v>32</v>
      </c>
      <c r="E330" s="3">
        <v>68</v>
      </c>
      <c r="F330" s="3">
        <v>30.8</v>
      </c>
      <c r="G330" s="3">
        <v>0.122</v>
      </c>
      <c r="H330" s="3">
        <v>37</v>
      </c>
      <c r="I330">
        <v>0</v>
      </c>
    </row>
    <row r="331" spans="1:9">
      <c r="A331" s="3">
        <v>8</v>
      </c>
      <c r="B331" s="3">
        <v>118</v>
      </c>
      <c r="C331" s="3">
        <v>72</v>
      </c>
      <c r="D331" s="3">
        <v>19</v>
      </c>
      <c r="E331" s="3">
        <v>0</v>
      </c>
      <c r="F331" s="3">
        <v>23.1</v>
      </c>
      <c r="G331" s="3">
        <v>1.476</v>
      </c>
      <c r="H331" s="3">
        <v>46</v>
      </c>
      <c r="I331">
        <v>0</v>
      </c>
    </row>
    <row r="332" spans="1:9">
      <c r="A332" s="3">
        <v>2</v>
      </c>
      <c r="B332" s="3">
        <v>87</v>
      </c>
      <c r="C332" s="3">
        <v>58</v>
      </c>
      <c r="D332" s="3">
        <v>16</v>
      </c>
      <c r="E332" s="3">
        <v>52</v>
      </c>
      <c r="F332" s="3">
        <v>32.7</v>
      </c>
      <c r="G332" s="3">
        <v>0.166</v>
      </c>
      <c r="H332" s="3">
        <v>25</v>
      </c>
      <c r="I332">
        <v>0</v>
      </c>
    </row>
    <row r="333" spans="1:9">
      <c r="A333" s="3">
        <v>1</v>
      </c>
      <c r="B333" s="3">
        <v>180</v>
      </c>
      <c r="C333" s="3">
        <v>0</v>
      </c>
      <c r="D333" s="3">
        <v>0</v>
      </c>
      <c r="E333" s="3">
        <v>0</v>
      </c>
      <c r="F333" s="3">
        <v>43.3</v>
      </c>
      <c r="G333" s="3">
        <v>0.282</v>
      </c>
      <c r="H333" s="3">
        <v>41</v>
      </c>
      <c r="I333">
        <v>1</v>
      </c>
    </row>
    <row r="334" spans="1:9">
      <c r="A334" s="3">
        <v>12</v>
      </c>
      <c r="B334" s="3">
        <v>106</v>
      </c>
      <c r="C334" s="3">
        <v>80</v>
      </c>
      <c r="D334" s="3">
        <v>0</v>
      </c>
      <c r="E334" s="3">
        <v>0</v>
      </c>
      <c r="F334" s="3">
        <v>23.6</v>
      </c>
      <c r="G334" s="3">
        <v>0.137</v>
      </c>
      <c r="H334" s="3">
        <v>44</v>
      </c>
      <c r="I334">
        <v>0</v>
      </c>
    </row>
    <row r="335" spans="1:9">
      <c r="A335" s="3">
        <v>1</v>
      </c>
      <c r="B335" s="3">
        <v>95</v>
      </c>
      <c r="C335" s="3">
        <v>60</v>
      </c>
      <c r="D335" s="3">
        <v>18</v>
      </c>
      <c r="E335" s="3">
        <v>58</v>
      </c>
      <c r="F335" s="3">
        <v>23.9</v>
      </c>
      <c r="G335" s="3">
        <v>0.26</v>
      </c>
      <c r="H335" s="3">
        <v>22</v>
      </c>
      <c r="I335">
        <v>0</v>
      </c>
    </row>
    <row r="336" spans="1:9">
      <c r="A336" s="3">
        <v>0</v>
      </c>
      <c r="B336" s="3">
        <v>165</v>
      </c>
      <c r="C336" s="3">
        <v>76</v>
      </c>
      <c r="D336" s="3">
        <v>43</v>
      </c>
      <c r="E336" s="3">
        <v>255</v>
      </c>
      <c r="F336" s="3">
        <v>47.9</v>
      </c>
      <c r="G336" s="3">
        <v>0.259</v>
      </c>
      <c r="H336" s="3">
        <v>26</v>
      </c>
      <c r="I336">
        <v>0</v>
      </c>
    </row>
    <row r="337" spans="1:9">
      <c r="A337" s="3">
        <v>0</v>
      </c>
      <c r="B337" s="3">
        <v>117</v>
      </c>
      <c r="C337" s="3">
        <v>0</v>
      </c>
      <c r="D337" s="3">
        <v>0</v>
      </c>
      <c r="E337" s="3">
        <v>0</v>
      </c>
      <c r="F337" s="3">
        <v>33.8</v>
      </c>
      <c r="G337" s="3">
        <v>0.932</v>
      </c>
      <c r="H337" s="3">
        <v>44</v>
      </c>
      <c r="I337">
        <v>0</v>
      </c>
    </row>
    <row r="338" spans="1:9">
      <c r="A338" s="3">
        <v>5</v>
      </c>
      <c r="B338" s="3">
        <v>115</v>
      </c>
      <c r="C338" s="3">
        <v>76</v>
      </c>
      <c r="D338" s="3">
        <v>0</v>
      </c>
      <c r="E338" s="3">
        <v>0</v>
      </c>
      <c r="F338" s="3">
        <v>31.2</v>
      </c>
      <c r="G338" s="3">
        <v>0.343</v>
      </c>
      <c r="H338" s="3">
        <v>44</v>
      </c>
      <c r="I338">
        <v>1</v>
      </c>
    </row>
    <row r="339" spans="1:9">
      <c r="A339" s="3">
        <v>9</v>
      </c>
      <c r="B339" s="3">
        <v>152</v>
      </c>
      <c r="C339" s="3">
        <v>78</v>
      </c>
      <c r="D339" s="3">
        <v>34</v>
      </c>
      <c r="E339" s="3">
        <v>171</v>
      </c>
      <c r="F339" s="3">
        <v>34.2</v>
      </c>
      <c r="G339" s="3">
        <v>0.893</v>
      </c>
      <c r="H339" s="3">
        <v>33</v>
      </c>
      <c r="I339">
        <v>1</v>
      </c>
    </row>
    <row r="340" spans="1:9">
      <c r="A340" s="3">
        <v>7</v>
      </c>
      <c r="B340" s="3">
        <v>178</v>
      </c>
      <c r="C340" s="3">
        <v>84</v>
      </c>
      <c r="D340" s="3">
        <v>0</v>
      </c>
      <c r="E340" s="3">
        <v>0</v>
      </c>
      <c r="F340" s="3">
        <v>39.9</v>
      </c>
      <c r="G340" s="3">
        <v>0.331</v>
      </c>
      <c r="H340" s="3">
        <v>41</v>
      </c>
      <c r="I340">
        <v>1</v>
      </c>
    </row>
    <row r="341" spans="1:9">
      <c r="A341" s="3">
        <v>1</v>
      </c>
      <c r="B341" s="3">
        <v>130</v>
      </c>
      <c r="C341" s="3">
        <v>70</v>
      </c>
      <c r="D341" s="3">
        <v>13</v>
      </c>
      <c r="E341" s="3">
        <v>105</v>
      </c>
      <c r="F341" s="3">
        <v>25.9</v>
      </c>
      <c r="G341" s="3">
        <v>0.472</v>
      </c>
      <c r="H341" s="3">
        <v>22</v>
      </c>
      <c r="I341">
        <v>0</v>
      </c>
    </row>
    <row r="342" spans="1:9">
      <c r="A342" s="3">
        <v>1</v>
      </c>
      <c r="B342" s="3">
        <v>95</v>
      </c>
      <c r="C342" s="3">
        <v>74</v>
      </c>
      <c r="D342" s="3">
        <v>21</v>
      </c>
      <c r="E342" s="3">
        <v>73</v>
      </c>
      <c r="F342" s="3">
        <v>25.9</v>
      </c>
      <c r="G342" s="3">
        <v>0.673</v>
      </c>
      <c r="H342" s="3">
        <v>36</v>
      </c>
      <c r="I342">
        <v>0</v>
      </c>
    </row>
    <row r="343" spans="1:9">
      <c r="A343" s="3">
        <v>1</v>
      </c>
      <c r="B343" s="3">
        <v>0</v>
      </c>
      <c r="C343" s="3">
        <v>68</v>
      </c>
      <c r="D343" s="3">
        <v>35</v>
      </c>
      <c r="E343" s="3">
        <v>0</v>
      </c>
      <c r="F343" s="3">
        <v>32</v>
      </c>
      <c r="G343" s="3">
        <v>0.389</v>
      </c>
      <c r="H343" s="3">
        <v>22</v>
      </c>
      <c r="I343">
        <v>0</v>
      </c>
    </row>
    <row r="344" spans="1:9">
      <c r="A344" s="3">
        <v>5</v>
      </c>
      <c r="B344" s="3">
        <v>122</v>
      </c>
      <c r="C344" s="3">
        <v>86</v>
      </c>
      <c r="D344" s="3">
        <v>0</v>
      </c>
      <c r="E344" s="3">
        <v>0</v>
      </c>
      <c r="F344" s="3">
        <v>34.7</v>
      </c>
      <c r="G344" s="3">
        <v>0.29</v>
      </c>
      <c r="H344" s="3">
        <v>33</v>
      </c>
      <c r="I344">
        <v>0</v>
      </c>
    </row>
    <row r="345" spans="1:9">
      <c r="A345" s="3">
        <v>8</v>
      </c>
      <c r="B345" s="3">
        <v>95</v>
      </c>
      <c r="C345" s="3">
        <v>72</v>
      </c>
      <c r="D345" s="3">
        <v>0</v>
      </c>
      <c r="E345" s="3">
        <v>0</v>
      </c>
      <c r="F345" s="3">
        <v>36.8</v>
      </c>
      <c r="G345" s="3">
        <v>0.485</v>
      </c>
      <c r="H345" s="3">
        <v>57</v>
      </c>
      <c r="I345">
        <v>0</v>
      </c>
    </row>
    <row r="346" spans="1:9">
      <c r="A346" s="3">
        <v>8</v>
      </c>
      <c r="B346" s="3">
        <v>126</v>
      </c>
      <c r="C346" s="3">
        <v>88</v>
      </c>
      <c r="D346" s="3">
        <v>36</v>
      </c>
      <c r="E346" s="3">
        <v>108</v>
      </c>
      <c r="F346" s="3">
        <v>38.5</v>
      </c>
      <c r="G346" s="3">
        <v>0.349</v>
      </c>
      <c r="H346" s="3">
        <v>49</v>
      </c>
      <c r="I346">
        <v>0</v>
      </c>
    </row>
    <row r="347" spans="1:9">
      <c r="A347" s="3">
        <v>1</v>
      </c>
      <c r="B347" s="3">
        <v>139</v>
      </c>
      <c r="C347" s="3">
        <v>46</v>
      </c>
      <c r="D347" s="3">
        <v>19</v>
      </c>
      <c r="E347" s="3">
        <v>83</v>
      </c>
      <c r="F347" s="3">
        <v>28.7</v>
      </c>
      <c r="G347" s="3">
        <v>0.654</v>
      </c>
      <c r="H347" s="3">
        <v>22</v>
      </c>
      <c r="I347">
        <v>0</v>
      </c>
    </row>
    <row r="348" spans="1:9">
      <c r="A348" s="3">
        <v>3</v>
      </c>
      <c r="B348" s="3">
        <v>116</v>
      </c>
      <c r="C348" s="3">
        <v>0</v>
      </c>
      <c r="D348" s="3">
        <v>0</v>
      </c>
      <c r="E348" s="3">
        <v>0</v>
      </c>
      <c r="F348" s="3">
        <v>23.5</v>
      </c>
      <c r="G348" s="3">
        <v>0.187</v>
      </c>
      <c r="H348" s="3">
        <v>23</v>
      </c>
      <c r="I348">
        <v>0</v>
      </c>
    </row>
    <row r="349" spans="1:9">
      <c r="A349" s="3">
        <v>3</v>
      </c>
      <c r="B349" s="3">
        <v>99</v>
      </c>
      <c r="C349" s="3">
        <v>62</v>
      </c>
      <c r="D349" s="3">
        <v>19</v>
      </c>
      <c r="E349" s="3">
        <v>74</v>
      </c>
      <c r="F349" s="3">
        <v>21.8</v>
      </c>
      <c r="G349" s="3">
        <v>0.279</v>
      </c>
      <c r="H349" s="3">
        <v>26</v>
      </c>
      <c r="I349">
        <v>0</v>
      </c>
    </row>
    <row r="350" spans="1:9">
      <c r="A350" s="3">
        <v>5</v>
      </c>
      <c r="B350" s="3">
        <v>0</v>
      </c>
      <c r="C350" s="3">
        <v>80</v>
      </c>
      <c r="D350" s="3">
        <v>32</v>
      </c>
      <c r="E350" s="3">
        <v>0</v>
      </c>
      <c r="F350" s="3">
        <v>41</v>
      </c>
      <c r="G350" s="3">
        <v>0.346</v>
      </c>
      <c r="H350" s="3">
        <v>37</v>
      </c>
      <c r="I350">
        <v>1</v>
      </c>
    </row>
    <row r="351" spans="1:9">
      <c r="A351" s="3">
        <v>4</v>
      </c>
      <c r="B351" s="3">
        <v>92</v>
      </c>
      <c r="C351" s="3">
        <v>80</v>
      </c>
      <c r="D351" s="3">
        <v>0</v>
      </c>
      <c r="E351" s="3">
        <v>0</v>
      </c>
      <c r="F351" s="3">
        <v>42.2</v>
      </c>
      <c r="G351" s="3">
        <v>0.237</v>
      </c>
      <c r="H351" s="3">
        <v>29</v>
      </c>
      <c r="I351">
        <v>0</v>
      </c>
    </row>
    <row r="352" spans="1:9">
      <c r="A352" s="3">
        <v>4</v>
      </c>
      <c r="B352" s="3">
        <v>137</v>
      </c>
      <c r="C352" s="3">
        <v>84</v>
      </c>
      <c r="D352" s="3">
        <v>0</v>
      </c>
      <c r="E352" s="3">
        <v>0</v>
      </c>
      <c r="F352" s="3">
        <v>31.2</v>
      </c>
      <c r="G352" s="3">
        <v>0.252</v>
      </c>
      <c r="H352" s="3">
        <v>30</v>
      </c>
      <c r="I352">
        <v>0</v>
      </c>
    </row>
    <row r="353" spans="1:9">
      <c r="A353" s="3">
        <v>3</v>
      </c>
      <c r="B353" s="3">
        <v>61</v>
      </c>
      <c r="C353" s="3">
        <v>82</v>
      </c>
      <c r="D353" s="3">
        <v>28</v>
      </c>
      <c r="E353" s="3">
        <v>0</v>
      </c>
      <c r="F353" s="3">
        <v>34.4</v>
      </c>
      <c r="G353" s="3">
        <v>0.243</v>
      </c>
      <c r="H353" s="3">
        <v>46</v>
      </c>
      <c r="I353">
        <v>0</v>
      </c>
    </row>
    <row r="354" spans="1:9">
      <c r="A354" s="3">
        <v>1</v>
      </c>
      <c r="B354" s="3">
        <v>90</v>
      </c>
      <c r="C354" s="3">
        <v>62</v>
      </c>
      <c r="D354" s="3">
        <v>12</v>
      </c>
      <c r="E354" s="3">
        <v>43</v>
      </c>
      <c r="F354" s="3">
        <v>27.2</v>
      </c>
      <c r="G354" s="3">
        <v>0.58</v>
      </c>
      <c r="H354" s="3">
        <v>24</v>
      </c>
      <c r="I354">
        <v>0</v>
      </c>
    </row>
    <row r="355" spans="1:9">
      <c r="A355" s="3">
        <v>3</v>
      </c>
      <c r="B355" s="3">
        <v>90</v>
      </c>
      <c r="C355" s="3">
        <v>78</v>
      </c>
      <c r="D355" s="3">
        <v>0</v>
      </c>
      <c r="E355" s="3">
        <v>0</v>
      </c>
      <c r="F355" s="3">
        <v>42.7</v>
      </c>
      <c r="G355" s="3">
        <v>0.559</v>
      </c>
      <c r="H355" s="3">
        <v>21</v>
      </c>
      <c r="I355">
        <v>0</v>
      </c>
    </row>
    <row r="356" spans="1:9">
      <c r="A356" s="3">
        <v>9</v>
      </c>
      <c r="B356" s="3">
        <v>165</v>
      </c>
      <c r="C356" s="3">
        <v>88</v>
      </c>
      <c r="D356" s="3">
        <v>0</v>
      </c>
      <c r="E356" s="3">
        <v>0</v>
      </c>
      <c r="F356" s="3">
        <v>30.4</v>
      </c>
      <c r="G356" s="3">
        <v>0.302</v>
      </c>
      <c r="H356" s="3">
        <v>49</v>
      </c>
      <c r="I356">
        <v>1</v>
      </c>
    </row>
    <row r="357" spans="1:9">
      <c r="A357" s="3">
        <v>1</v>
      </c>
      <c r="B357" s="3">
        <v>125</v>
      </c>
      <c r="C357" s="3">
        <v>50</v>
      </c>
      <c r="D357" s="3">
        <v>40</v>
      </c>
      <c r="E357" s="3">
        <v>167</v>
      </c>
      <c r="F357" s="3">
        <v>33.3</v>
      </c>
      <c r="G357" s="3">
        <v>0.962</v>
      </c>
      <c r="H357" s="3">
        <v>28</v>
      </c>
      <c r="I357">
        <v>1</v>
      </c>
    </row>
    <row r="358" spans="1:9">
      <c r="A358" s="3">
        <v>13</v>
      </c>
      <c r="B358" s="3">
        <v>129</v>
      </c>
      <c r="C358" s="3">
        <v>0</v>
      </c>
      <c r="D358" s="3">
        <v>30</v>
      </c>
      <c r="E358" s="3">
        <v>0</v>
      </c>
      <c r="F358" s="3">
        <v>39.9</v>
      </c>
      <c r="G358" s="3">
        <v>0.569</v>
      </c>
      <c r="H358" s="3">
        <v>44</v>
      </c>
      <c r="I358">
        <v>1</v>
      </c>
    </row>
    <row r="359" spans="1:9">
      <c r="A359" s="3">
        <v>12</v>
      </c>
      <c r="B359" s="3">
        <v>88</v>
      </c>
      <c r="C359" s="3">
        <v>74</v>
      </c>
      <c r="D359" s="3">
        <v>40</v>
      </c>
      <c r="E359" s="3">
        <v>54</v>
      </c>
      <c r="F359" s="3">
        <v>35.3</v>
      </c>
      <c r="G359" s="3">
        <v>0.378</v>
      </c>
      <c r="H359" s="3">
        <v>48</v>
      </c>
      <c r="I359">
        <v>0</v>
      </c>
    </row>
    <row r="360" spans="1:9">
      <c r="A360" s="3">
        <v>1</v>
      </c>
      <c r="B360" s="3">
        <v>196</v>
      </c>
      <c r="C360" s="3">
        <v>76</v>
      </c>
      <c r="D360" s="3">
        <v>36</v>
      </c>
      <c r="E360" s="3">
        <v>249</v>
      </c>
      <c r="F360" s="3">
        <v>36.5</v>
      </c>
      <c r="G360" s="3">
        <v>0.875</v>
      </c>
      <c r="H360" s="3">
        <v>29</v>
      </c>
      <c r="I360">
        <v>1</v>
      </c>
    </row>
    <row r="361" spans="1:9">
      <c r="A361" s="3">
        <v>5</v>
      </c>
      <c r="B361" s="3">
        <v>189</v>
      </c>
      <c r="C361" s="3">
        <v>64</v>
      </c>
      <c r="D361" s="3">
        <v>33</v>
      </c>
      <c r="E361" s="3">
        <v>325</v>
      </c>
      <c r="F361" s="3">
        <v>31.2</v>
      </c>
      <c r="G361" s="3">
        <v>0.583</v>
      </c>
      <c r="H361" s="3">
        <v>29</v>
      </c>
      <c r="I361">
        <v>1</v>
      </c>
    </row>
    <row r="362" spans="1:9">
      <c r="A362" s="3">
        <v>5</v>
      </c>
      <c r="B362" s="3">
        <v>158</v>
      </c>
      <c r="C362" s="3">
        <v>70</v>
      </c>
      <c r="D362" s="3">
        <v>0</v>
      </c>
      <c r="E362" s="3">
        <v>0</v>
      </c>
      <c r="F362" s="3">
        <v>29.8</v>
      </c>
      <c r="G362" s="3">
        <v>0.207</v>
      </c>
      <c r="H362" s="3">
        <v>63</v>
      </c>
      <c r="I362">
        <v>0</v>
      </c>
    </row>
    <row r="363" spans="1:9">
      <c r="A363" s="3">
        <v>5</v>
      </c>
      <c r="B363" s="3">
        <v>103</v>
      </c>
      <c r="C363" s="3">
        <v>108</v>
      </c>
      <c r="D363" s="3">
        <v>37</v>
      </c>
      <c r="E363" s="3">
        <v>0</v>
      </c>
      <c r="F363" s="3">
        <v>39.2</v>
      </c>
      <c r="G363" s="3">
        <v>0.305</v>
      </c>
      <c r="H363" s="3">
        <v>65</v>
      </c>
      <c r="I363">
        <v>0</v>
      </c>
    </row>
    <row r="364" spans="1:9">
      <c r="A364" s="3">
        <v>4</v>
      </c>
      <c r="B364" s="3">
        <v>146</v>
      </c>
      <c r="C364" s="3">
        <v>78</v>
      </c>
      <c r="D364" s="3">
        <v>0</v>
      </c>
      <c r="E364" s="3">
        <v>0</v>
      </c>
      <c r="F364" s="3">
        <v>38.5</v>
      </c>
      <c r="G364" s="3">
        <v>0.52</v>
      </c>
      <c r="H364" s="3">
        <v>67</v>
      </c>
      <c r="I364">
        <v>1</v>
      </c>
    </row>
    <row r="365" spans="1:9">
      <c r="A365" s="3">
        <v>4</v>
      </c>
      <c r="B365" s="3">
        <v>147</v>
      </c>
      <c r="C365" s="3">
        <v>74</v>
      </c>
      <c r="D365" s="3">
        <v>25</v>
      </c>
      <c r="E365" s="3">
        <v>293</v>
      </c>
      <c r="F365" s="3">
        <v>34.9</v>
      </c>
      <c r="G365" s="3">
        <v>0.385</v>
      </c>
      <c r="H365" s="3">
        <v>30</v>
      </c>
      <c r="I365">
        <v>0</v>
      </c>
    </row>
    <row r="366" spans="1:9">
      <c r="A366" s="3">
        <v>5</v>
      </c>
      <c r="B366" s="3">
        <v>99</v>
      </c>
      <c r="C366" s="3">
        <v>54</v>
      </c>
      <c r="D366" s="3">
        <v>28</v>
      </c>
      <c r="E366" s="3">
        <v>83</v>
      </c>
      <c r="F366" s="3">
        <v>34</v>
      </c>
      <c r="G366" s="3">
        <v>0.499</v>
      </c>
      <c r="H366" s="3">
        <v>30</v>
      </c>
      <c r="I366">
        <v>0</v>
      </c>
    </row>
    <row r="367" spans="1:9">
      <c r="A367" s="3">
        <v>6</v>
      </c>
      <c r="B367" s="3">
        <v>124</v>
      </c>
      <c r="C367" s="3">
        <v>72</v>
      </c>
      <c r="D367" s="3">
        <v>0</v>
      </c>
      <c r="E367" s="3">
        <v>0</v>
      </c>
      <c r="F367" s="3">
        <v>27.6</v>
      </c>
      <c r="G367" s="3">
        <v>0.368</v>
      </c>
      <c r="H367" s="3">
        <v>29</v>
      </c>
      <c r="I367">
        <v>1</v>
      </c>
    </row>
    <row r="368" spans="1:9">
      <c r="A368" s="3">
        <v>0</v>
      </c>
      <c r="B368" s="3">
        <v>101</v>
      </c>
      <c r="C368" s="3">
        <v>64</v>
      </c>
      <c r="D368" s="3">
        <v>17</v>
      </c>
      <c r="E368" s="3">
        <v>0</v>
      </c>
      <c r="F368" s="3">
        <v>21</v>
      </c>
      <c r="G368" s="3">
        <v>0.252</v>
      </c>
      <c r="H368" s="3">
        <v>21</v>
      </c>
      <c r="I368">
        <v>0</v>
      </c>
    </row>
    <row r="369" spans="1:9">
      <c r="A369" s="3">
        <v>3</v>
      </c>
      <c r="B369" s="3">
        <v>81</v>
      </c>
      <c r="C369" s="3">
        <v>86</v>
      </c>
      <c r="D369" s="3">
        <v>16</v>
      </c>
      <c r="E369" s="3">
        <v>66</v>
      </c>
      <c r="F369" s="3">
        <v>27.5</v>
      </c>
      <c r="G369" s="3">
        <v>0.306</v>
      </c>
      <c r="H369" s="3">
        <v>22</v>
      </c>
      <c r="I369">
        <v>0</v>
      </c>
    </row>
    <row r="370" spans="1:9">
      <c r="A370" s="3">
        <v>1</v>
      </c>
      <c r="B370" s="3">
        <v>133</v>
      </c>
      <c r="C370" s="3">
        <v>102</v>
      </c>
      <c r="D370" s="3">
        <v>28</v>
      </c>
      <c r="E370" s="3">
        <v>140</v>
      </c>
      <c r="F370" s="3">
        <v>32.8</v>
      </c>
      <c r="G370" s="3">
        <v>0.234</v>
      </c>
      <c r="H370" s="3">
        <v>45</v>
      </c>
      <c r="I370">
        <v>1</v>
      </c>
    </row>
    <row r="371" spans="1:9">
      <c r="A371" s="3">
        <v>3</v>
      </c>
      <c r="B371" s="3">
        <v>173</v>
      </c>
      <c r="C371" s="3">
        <v>82</v>
      </c>
      <c r="D371" s="3">
        <v>48</v>
      </c>
      <c r="E371" s="3">
        <v>465</v>
      </c>
      <c r="F371" s="3">
        <v>38.4</v>
      </c>
      <c r="G371" s="3">
        <v>2.137</v>
      </c>
      <c r="H371" s="3">
        <v>25</v>
      </c>
      <c r="I371">
        <v>1</v>
      </c>
    </row>
    <row r="372" spans="1:9">
      <c r="A372" s="3">
        <v>0</v>
      </c>
      <c r="B372" s="3">
        <v>118</v>
      </c>
      <c r="C372" s="3">
        <v>64</v>
      </c>
      <c r="D372" s="3">
        <v>23</v>
      </c>
      <c r="E372" s="3">
        <v>89</v>
      </c>
      <c r="F372" s="3">
        <v>0</v>
      </c>
      <c r="G372" s="3">
        <v>1.731</v>
      </c>
      <c r="H372" s="3">
        <v>21</v>
      </c>
      <c r="I372">
        <v>0</v>
      </c>
    </row>
    <row r="373" spans="1:9">
      <c r="A373" s="3">
        <v>0</v>
      </c>
      <c r="B373" s="3">
        <v>84</v>
      </c>
      <c r="C373" s="3">
        <v>64</v>
      </c>
      <c r="D373" s="3">
        <v>22</v>
      </c>
      <c r="E373" s="3">
        <v>66</v>
      </c>
      <c r="F373" s="3">
        <v>35.8</v>
      </c>
      <c r="G373" s="3">
        <v>0.545</v>
      </c>
      <c r="H373" s="3">
        <v>21</v>
      </c>
      <c r="I373">
        <v>0</v>
      </c>
    </row>
    <row r="374" spans="1:9">
      <c r="A374" s="3">
        <v>2</v>
      </c>
      <c r="B374" s="3">
        <v>105</v>
      </c>
      <c r="C374" s="3">
        <v>58</v>
      </c>
      <c r="D374" s="3">
        <v>40</v>
      </c>
      <c r="E374" s="3">
        <v>94</v>
      </c>
      <c r="F374" s="3">
        <v>34.9</v>
      </c>
      <c r="G374" s="3">
        <v>0.225</v>
      </c>
      <c r="H374" s="3">
        <v>25</v>
      </c>
      <c r="I374">
        <v>0</v>
      </c>
    </row>
    <row r="375" spans="1:9">
      <c r="A375" s="3">
        <v>2</v>
      </c>
      <c r="B375" s="3">
        <v>122</v>
      </c>
      <c r="C375" s="3">
        <v>52</v>
      </c>
      <c r="D375" s="3">
        <v>43</v>
      </c>
      <c r="E375" s="3">
        <v>158</v>
      </c>
      <c r="F375" s="3">
        <v>36.2</v>
      </c>
      <c r="G375" s="3">
        <v>0.816</v>
      </c>
      <c r="H375" s="3">
        <v>28</v>
      </c>
      <c r="I375">
        <v>0</v>
      </c>
    </row>
    <row r="376" spans="1:9">
      <c r="A376" s="3">
        <v>12</v>
      </c>
      <c r="B376" s="3">
        <v>140</v>
      </c>
      <c r="C376" s="3">
        <v>82</v>
      </c>
      <c r="D376" s="3">
        <v>43</v>
      </c>
      <c r="E376" s="3">
        <v>325</v>
      </c>
      <c r="F376" s="3">
        <v>39.2</v>
      </c>
      <c r="G376" s="3">
        <v>0.528</v>
      </c>
      <c r="H376" s="3">
        <v>58</v>
      </c>
      <c r="I376">
        <v>1</v>
      </c>
    </row>
    <row r="377" spans="1:9">
      <c r="A377" s="3">
        <v>0</v>
      </c>
      <c r="B377" s="3">
        <v>98</v>
      </c>
      <c r="C377" s="3">
        <v>82</v>
      </c>
      <c r="D377" s="3">
        <v>15</v>
      </c>
      <c r="E377" s="3">
        <v>84</v>
      </c>
      <c r="F377" s="3">
        <v>25.2</v>
      </c>
      <c r="G377" s="3">
        <v>0.299</v>
      </c>
      <c r="H377" s="3">
        <v>22</v>
      </c>
      <c r="I377">
        <v>0</v>
      </c>
    </row>
    <row r="378" spans="1:9">
      <c r="A378" s="3">
        <v>1</v>
      </c>
      <c r="B378" s="3">
        <v>87</v>
      </c>
      <c r="C378" s="3">
        <v>60</v>
      </c>
      <c r="D378" s="3">
        <v>37</v>
      </c>
      <c r="E378" s="3">
        <v>75</v>
      </c>
      <c r="F378" s="3">
        <v>37.2</v>
      </c>
      <c r="G378" s="3">
        <v>0.509</v>
      </c>
      <c r="H378" s="3">
        <v>22</v>
      </c>
      <c r="I378">
        <v>0</v>
      </c>
    </row>
    <row r="379" spans="1:9">
      <c r="A379" s="3">
        <v>4</v>
      </c>
      <c r="B379" s="3">
        <v>156</v>
      </c>
      <c r="C379" s="3">
        <v>75</v>
      </c>
      <c r="D379" s="3">
        <v>0</v>
      </c>
      <c r="E379" s="3">
        <v>0</v>
      </c>
      <c r="F379" s="3">
        <v>48.3</v>
      </c>
      <c r="G379" s="3">
        <v>0.238</v>
      </c>
      <c r="H379" s="3">
        <v>32</v>
      </c>
      <c r="I379">
        <v>1</v>
      </c>
    </row>
    <row r="380" spans="1:9">
      <c r="A380" s="3">
        <v>0</v>
      </c>
      <c r="B380" s="3">
        <v>93</v>
      </c>
      <c r="C380" s="3">
        <v>100</v>
      </c>
      <c r="D380" s="3">
        <v>39</v>
      </c>
      <c r="E380" s="3">
        <v>72</v>
      </c>
      <c r="F380" s="3">
        <v>43.4</v>
      </c>
      <c r="G380" s="3">
        <v>1.021</v>
      </c>
      <c r="H380" s="3">
        <v>35</v>
      </c>
      <c r="I380">
        <v>0</v>
      </c>
    </row>
    <row r="381" spans="1:9">
      <c r="A381" s="3">
        <v>1</v>
      </c>
      <c r="B381" s="3">
        <v>107</v>
      </c>
      <c r="C381" s="3">
        <v>72</v>
      </c>
      <c r="D381" s="3">
        <v>30</v>
      </c>
      <c r="E381" s="3">
        <v>82</v>
      </c>
      <c r="F381" s="3">
        <v>30.8</v>
      </c>
      <c r="G381" s="3">
        <v>0.821</v>
      </c>
      <c r="H381" s="3">
        <v>24</v>
      </c>
      <c r="I381">
        <v>0</v>
      </c>
    </row>
    <row r="382" spans="1:9">
      <c r="A382" s="3">
        <v>0</v>
      </c>
      <c r="B382" s="3">
        <v>105</v>
      </c>
      <c r="C382" s="3">
        <v>68</v>
      </c>
      <c r="D382" s="3">
        <v>22</v>
      </c>
      <c r="E382" s="3">
        <v>0</v>
      </c>
      <c r="F382" s="3">
        <v>20</v>
      </c>
      <c r="G382" s="3">
        <v>0.236</v>
      </c>
      <c r="H382" s="3">
        <v>22</v>
      </c>
      <c r="I382">
        <v>0</v>
      </c>
    </row>
    <row r="383" spans="1:9">
      <c r="A383" s="3">
        <v>1</v>
      </c>
      <c r="B383" s="3">
        <v>109</v>
      </c>
      <c r="C383" s="3">
        <v>60</v>
      </c>
      <c r="D383" s="3">
        <v>8</v>
      </c>
      <c r="E383" s="3">
        <v>182</v>
      </c>
      <c r="F383" s="3">
        <v>25.4</v>
      </c>
      <c r="G383" s="3">
        <v>0.947</v>
      </c>
      <c r="H383" s="3">
        <v>21</v>
      </c>
      <c r="I383">
        <v>0</v>
      </c>
    </row>
    <row r="384" spans="1:9">
      <c r="A384" s="3">
        <v>1</v>
      </c>
      <c r="B384" s="3">
        <v>90</v>
      </c>
      <c r="C384" s="3">
        <v>62</v>
      </c>
      <c r="D384" s="3">
        <v>18</v>
      </c>
      <c r="E384" s="3">
        <v>59</v>
      </c>
      <c r="F384" s="3">
        <v>25.1</v>
      </c>
      <c r="G384" s="3">
        <v>1.268</v>
      </c>
      <c r="H384" s="3">
        <v>25</v>
      </c>
      <c r="I384">
        <v>0</v>
      </c>
    </row>
    <row r="385" spans="1:9">
      <c r="A385" s="3">
        <v>1</v>
      </c>
      <c r="B385" s="3">
        <v>125</v>
      </c>
      <c r="C385" s="3">
        <v>70</v>
      </c>
      <c r="D385" s="3">
        <v>24</v>
      </c>
      <c r="E385" s="3">
        <v>110</v>
      </c>
      <c r="F385" s="3">
        <v>24.3</v>
      </c>
      <c r="G385" s="3">
        <v>0.221</v>
      </c>
      <c r="H385" s="3">
        <v>25</v>
      </c>
      <c r="I385">
        <v>0</v>
      </c>
    </row>
    <row r="386" spans="1:9">
      <c r="A386" s="3">
        <v>1</v>
      </c>
      <c r="B386" s="3">
        <v>119</v>
      </c>
      <c r="C386" s="3">
        <v>54</v>
      </c>
      <c r="D386" s="3">
        <v>13</v>
      </c>
      <c r="E386" s="3">
        <v>50</v>
      </c>
      <c r="F386" s="3">
        <v>22.3</v>
      </c>
      <c r="G386" s="3">
        <v>0.205</v>
      </c>
      <c r="H386" s="3">
        <v>24</v>
      </c>
      <c r="I386">
        <v>0</v>
      </c>
    </row>
    <row r="387" spans="1:9">
      <c r="A387" s="3">
        <v>5</v>
      </c>
      <c r="B387" s="3">
        <v>116</v>
      </c>
      <c r="C387" s="3">
        <v>74</v>
      </c>
      <c r="D387" s="3">
        <v>29</v>
      </c>
      <c r="E387" s="3">
        <v>0</v>
      </c>
      <c r="F387" s="3">
        <v>32.3</v>
      </c>
      <c r="G387" s="3">
        <v>0.66</v>
      </c>
      <c r="H387" s="3">
        <v>35</v>
      </c>
      <c r="I387">
        <v>1</v>
      </c>
    </row>
    <row r="388" spans="1:9">
      <c r="A388" s="3">
        <v>8</v>
      </c>
      <c r="B388" s="3">
        <v>105</v>
      </c>
      <c r="C388" s="3">
        <v>100</v>
      </c>
      <c r="D388" s="3">
        <v>36</v>
      </c>
      <c r="E388" s="3">
        <v>0</v>
      </c>
      <c r="F388" s="3">
        <v>43.3</v>
      </c>
      <c r="G388" s="3">
        <v>0.239</v>
      </c>
      <c r="H388" s="3">
        <v>45</v>
      </c>
      <c r="I388">
        <v>1</v>
      </c>
    </row>
    <row r="389" spans="1:9">
      <c r="A389" s="3">
        <v>5</v>
      </c>
      <c r="B389" s="3">
        <v>144</v>
      </c>
      <c r="C389" s="3">
        <v>82</v>
      </c>
      <c r="D389" s="3">
        <v>26</v>
      </c>
      <c r="E389" s="3">
        <v>285</v>
      </c>
      <c r="F389" s="3">
        <v>32</v>
      </c>
      <c r="G389" s="3">
        <v>0.452</v>
      </c>
      <c r="H389" s="3">
        <v>58</v>
      </c>
      <c r="I389">
        <v>1</v>
      </c>
    </row>
    <row r="390" spans="1:9">
      <c r="A390" s="3">
        <v>3</v>
      </c>
      <c r="B390" s="3">
        <v>100</v>
      </c>
      <c r="C390" s="3">
        <v>68</v>
      </c>
      <c r="D390" s="3">
        <v>23</v>
      </c>
      <c r="E390" s="3">
        <v>81</v>
      </c>
      <c r="F390" s="3">
        <v>31.6</v>
      </c>
      <c r="G390" s="3">
        <v>0.949</v>
      </c>
      <c r="H390" s="3">
        <v>28</v>
      </c>
      <c r="I390">
        <v>0</v>
      </c>
    </row>
    <row r="391" spans="1:9">
      <c r="A391" s="3">
        <v>1</v>
      </c>
      <c r="B391" s="3">
        <v>100</v>
      </c>
      <c r="C391" s="3">
        <v>66</v>
      </c>
      <c r="D391" s="3">
        <v>29</v>
      </c>
      <c r="E391" s="3">
        <v>196</v>
      </c>
      <c r="F391" s="3">
        <v>32</v>
      </c>
      <c r="G391" s="3">
        <v>0.444</v>
      </c>
      <c r="H391" s="3">
        <v>42</v>
      </c>
      <c r="I391">
        <v>0</v>
      </c>
    </row>
    <row r="392" spans="1:9">
      <c r="A392" s="3">
        <v>5</v>
      </c>
      <c r="B392" s="3">
        <v>166</v>
      </c>
      <c r="C392" s="3">
        <v>76</v>
      </c>
      <c r="D392" s="3">
        <v>0</v>
      </c>
      <c r="E392" s="3">
        <v>0</v>
      </c>
      <c r="F392" s="3">
        <v>45.7</v>
      </c>
      <c r="G392" s="3">
        <v>0.34</v>
      </c>
      <c r="H392" s="3">
        <v>27</v>
      </c>
      <c r="I392">
        <v>1</v>
      </c>
    </row>
    <row r="393" spans="1:9">
      <c r="A393" s="3">
        <v>1</v>
      </c>
      <c r="B393" s="3">
        <v>131</v>
      </c>
      <c r="C393" s="3">
        <v>64</v>
      </c>
      <c r="D393" s="3">
        <v>14</v>
      </c>
      <c r="E393" s="3">
        <v>415</v>
      </c>
      <c r="F393" s="3">
        <v>23.7</v>
      </c>
      <c r="G393" s="3">
        <v>0.389</v>
      </c>
      <c r="H393" s="3">
        <v>21</v>
      </c>
      <c r="I393">
        <v>0</v>
      </c>
    </row>
    <row r="394" spans="1:9">
      <c r="A394" s="3">
        <v>4</v>
      </c>
      <c r="B394" s="3">
        <v>116</v>
      </c>
      <c r="C394" s="3">
        <v>72</v>
      </c>
      <c r="D394" s="3">
        <v>12</v>
      </c>
      <c r="E394" s="3">
        <v>87</v>
      </c>
      <c r="F394" s="3">
        <v>22.1</v>
      </c>
      <c r="G394" s="3">
        <v>0.463</v>
      </c>
      <c r="H394" s="3">
        <v>37</v>
      </c>
      <c r="I394">
        <v>0</v>
      </c>
    </row>
    <row r="395" spans="1:9">
      <c r="A395" s="3">
        <v>4</v>
      </c>
      <c r="B395" s="3">
        <v>158</v>
      </c>
      <c r="C395" s="3">
        <v>78</v>
      </c>
      <c r="D395" s="3">
        <v>0</v>
      </c>
      <c r="E395" s="3">
        <v>0</v>
      </c>
      <c r="F395" s="3">
        <v>32.9</v>
      </c>
      <c r="G395" s="3">
        <v>0.803</v>
      </c>
      <c r="H395" s="3">
        <v>31</v>
      </c>
      <c r="I395">
        <v>1</v>
      </c>
    </row>
    <row r="396" spans="1:9">
      <c r="A396" s="3">
        <v>2</v>
      </c>
      <c r="B396" s="3">
        <v>127</v>
      </c>
      <c r="C396" s="3">
        <v>58</v>
      </c>
      <c r="D396" s="3">
        <v>24</v>
      </c>
      <c r="E396" s="3">
        <v>275</v>
      </c>
      <c r="F396" s="3">
        <v>27.7</v>
      </c>
      <c r="G396" s="3">
        <v>1.6</v>
      </c>
      <c r="H396" s="3">
        <v>25</v>
      </c>
      <c r="I396">
        <v>0</v>
      </c>
    </row>
    <row r="397" spans="1:9">
      <c r="A397" s="3">
        <v>3</v>
      </c>
      <c r="B397" s="3">
        <v>96</v>
      </c>
      <c r="C397" s="3">
        <v>56</v>
      </c>
      <c r="D397" s="3">
        <v>34</v>
      </c>
      <c r="E397" s="3">
        <v>115</v>
      </c>
      <c r="F397" s="3">
        <v>24.7</v>
      </c>
      <c r="G397" s="3">
        <v>0.944</v>
      </c>
      <c r="H397" s="3">
        <v>39</v>
      </c>
      <c r="I397">
        <v>0</v>
      </c>
    </row>
    <row r="398" spans="1:9">
      <c r="A398" s="3">
        <v>0</v>
      </c>
      <c r="B398" s="3">
        <v>131</v>
      </c>
      <c r="C398" s="3">
        <v>66</v>
      </c>
      <c r="D398" s="3">
        <v>40</v>
      </c>
      <c r="E398" s="3">
        <v>0</v>
      </c>
      <c r="F398" s="3">
        <v>34.3</v>
      </c>
      <c r="G398" s="3">
        <v>0.196</v>
      </c>
      <c r="H398" s="3">
        <v>22</v>
      </c>
      <c r="I398">
        <v>1</v>
      </c>
    </row>
    <row r="399" spans="1:9">
      <c r="A399" s="3">
        <v>3</v>
      </c>
      <c r="B399" s="3">
        <v>82</v>
      </c>
      <c r="C399" s="3">
        <v>70</v>
      </c>
      <c r="D399" s="3">
        <v>0</v>
      </c>
      <c r="E399" s="3">
        <v>0</v>
      </c>
      <c r="F399" s="3">
        <v>21.1</v>
      </c>
      <c r="G399" s="3">
        <v>0.389</v>
      </c>
      <c r="H399" s="3">
        <v>25</v>
      </c>
      <c r="I399">
        <v>0</v>
      </c>
    </row>
    <row r="400" spans="1:9">
      <c r="A400" s="3">
        <v>3</v>
      </c>
      <c r="B400" s="3">
        <v>193</v>
      </c>
      <c r="C400" s="3">
        <v>70</v>
      </c>
      <c r="D400" s="3">
        <v>31</v>
      </c>
      <c r="E400" s="3">
        <v>0</v>
      </c>
      <c r="F400" s="3">
        <v>34.9</v>
      </c>
      <c r="G400" s="3">
        <v>0.241</v>
      </c>
      <c r="H400" s="3">
        <v>25</v>
      </c>
      <c r="I400">
        <v>1</v>
      </c>
    </row>
    <row r="401" spans="1:9">
      <c r="A401" s="3">
        <v>4</v>
      </c>
      <c r="B401" s="3">
        <v>95</v>
      </c>
      <c r="C401" s="3">
        <v>64</v>
      </c>
      <c r="D401" s="3">
        <v>0</v>
      </c>
      <c r="E401" s="3">
        <v>0</v>
      </c>
      <c r="F401" s="3">
        <v>32</v>
      </c>
      <c r="G401" s="3">
        <v>0.161</v>
      </c>
      <c r="H401" s="3">
        <v>31</v>
      </c>
      <c r="I401">
        <v>1</v>
      </c>
    </row>
    <row r="402" spans="1:9">
      <c r="A402" s="3">
        <v>6</v>
      </c>
      <c r="B402" s="3">
        <v>137</v>
      </c>
      <c r="C402" s="3">
        <v>61</v>
      </c>
      <c r="D402" s="3">
        <v>0</v>
      </c>
      <c r="E402" s="3">
        <v>0</v>
      </c>
      <c r="F402" s="3">
        <v>24.2</v>
      </c>
      <c r="G402" s="3">
        <v>0.151</v>
      </c>
      <c r="H402" s="3">
        <v>55</v>
      </c>
      <c r="I402">
        <v>0</v>
      </c>
    </row>
    <row r="403" spans="1:9">
      <c r="A403" s="3">
        <v>5</v>
      </c>
      <c r="B403" s="3">
        <v>136</v>
      </c>
      <c r="C403" s="3">
        <v>84</v>
      </c>
      <c r="D403" s="3">
        <v>41</v>
      </c>
      <c r="E403" s="3">
        <v>88</v>
      </c>
      <c r="F403" s="3">
        <v>35</v>
      </c>
      <c r="G403" s="3">
        <v>0.286</v>
      </c>
      <c r="H403" s="3">
        <v>35</v>
      </c>
      <c r="I403">
        <v>1</v>
      </c>
    </row>
    <row r="404" spans="1:9">
      <c r="A404" s="3">
        <v>9</v>
      </c>
      <c r="B404" s="3">
        <v>72</v>
      </c>
      <c r="C404" s="3">
        <v>78</v>
      </c>
      <c r="D404" s="3">
        <v>25</v>
      </c>
      <c r="E404" s="3">
        <v>0</v>
      </c>
      <c r="F404" s="3">
        <v>31.6</v>
      </c>
      <c r="G404" s="3">
        <v>0.28</v>
      </c>
      <c r="H404" s="3">
        <v>38</v>
      </c>
      <c r="I404">
        <v>0</v>
      </c>
    </row>
    <row r="405" spans="1:9">
      <c r="A405" s="3">
        <v>5</v>
      </c>
      <c r="B405" s="3">
        <v>168</v>
      </c>
      <c r="C405" s="3">
        <v>64</v>
      </c>
      <c r="D405" s="3">
        <v>0</v>
      </c>
      <c r="E405" s="3">
        <v>0</v>
      </c>
      <c r="F405" s="3">
        <v>32.9</v>
      </c>
      <c r="G405" s="3">
        <v>0.135</v>
      </c>
      <c r="H405" s="3">
        <v>41</v>
      </c>
      <c r="I405">
        <v>1</v>
      </c>
    </row>
    <row r="406" spans="1:9">
      <c r="A406" s="3">
        <v>2</v>
      </c>
      <c r="B406" s="3">
        <v>123</v>
      </c>
      <c r="C406" s="3">
        <v>48</v>
      </c>
      <c r="D406" s="3">
        <v>32</v>
      </c>
      <c r="E406" s="3">
        <v>165</v>
      </c>
      <c r="F406" s="3">
        <v>42.1</v>
      </c>
      <c r="G406" s="3">
        <v>0.52</v>
      </c>
      <c r="H406" s="3">
        <v>26</v>
      </c>
      <c r="I406">
        <v>0</v>
      </c>
    </row>
    <row r="407" spans="1:9">
      <c r="A407" s="3">
        <v>4</v>
      </c>
      <c r="B407" s="3">
        <v>115</v>
      </c>
      <c r="C407" s="3">
        <v>72</v>
      </c>
      <c r="D407" s="3">
        <v>0</v>
      </c>
      <c r="E407" s="3">
        <v>0</v>
      </c>
      <c r="F407" s="3">
        <v>28.9</v>
      </c>
      <c r="G407" s="3">
        <v>0.376</v>
      </c>
      <c r="H407" s="3">
        <v>46</v>
      </c>
      <c r="I407">
        <v>1</v>
      </c>
    </row>
    <row r="408" spans="1:9">
      <c r="A408" s="3">
        <v>0</v>
      </c>
      <c r="B408" s="3">
        <v>101</v>
      </c>
      <c r="C408" s="3">
        <v>62</v>
      </c>
      <c r="D408" s="3">
        <v>0</v>
      </c>
      <c r="E408" s="3">
        <v>0</v>
      </c>
      <c r="F408" s="3">
        <v>21.9</v>
      </c>
      <c r="G408" s="3">
        <v>0.336</v>
      </c>
      <c r="H408" s="3">
        <v>25</v>
      </c>
      <c r="I408">
        <v>0</v>
      </c>
    </row>
    <row r="409" spans="1:9">
      <c r="A409" s="3">
        <v>8</v>
      </c>
      <c r="B409" s="3">
        <v>197</v>
      </c>
      <c r="C409" s="3">
        <v>74</v>
      </c>
      <c r="D409" s="3">
        <v>0</v>
      </c>
      <c r="E409" s="3">
        <v>0</v>
      </c>
      <c r="F409" s="3">
        <v>25.9</v>
      </c>
      <c r="G409" s="3">
        <v>1.191</v>
      </c>
      <c r="H409" s="3">
        <v>39</v>
      </c>
      <c r="I409">
        <v>1</v>
      </c>
    </row>
    <row r="410" spans="1:9">
      <c r="A410" s="3">
        <v>1</v>
      </c>
      <c r="B410" s="3">
        <v>172</v>
      </c>
      <c r="C410" s="3">
        <v>68</v>
      </c>
      <c r="D410" s="3">
        <v>49</v>
      </c>
      <c r="E410" s="3">
        <v>579</v>
      </c>
      <c r="F410" s="3">
        <v>42.4</v>
      </c>
      <c r="G410" s="3">
        <v>0.702</v>
      </c>
      <c r="H410" s="3">
        <v>28</v>
      </c>
      <c r="I410">
        <v>1</v>
      </c>
    </row>
    <row r="411" spans="1:9">
      <c r="A411" s="3">
        <v>6</v>
      </c>
      <c r="B411" s="3">
        <v>102</v>
      </c>
      <c r="C411" s="3">
        <v>90</v>
      </c>
      <c r="D411" s="3">
        <v>39</v>
      </c>
      <c r="E411" s="3">
        <v>0</v>
      </c>
      <c r="F411" s="3">
        <v>35.7</v>
      </c>
      <c r="G411" s="3">
        <v>0.674</v>
      </c>
      <c r="H411" s="3">
        <v>28</v>
      </c>
      <c r="I411">
        <v>0</v>
      </c>
    </row>
    <row r="412" spans="1:9">
      <c r="A412" s="3">
        <v>1</v>
      </c>
      <c r="B412" s="3">
        <v>112</v>
      </c>
      <c r="C412" s="3">
        <v>72</v>
      </c>
      <c r="D412" s="3">
        <v>30</v>
      </c>
      <c r="E412" s="3">
        <v>176</v>
      </c>
      <c r="F412" s="3">
        <v>34.4</v>
      </c>
      <c r="G412" s="3">
        <v>0.528</v>
      </c>
      <c r="H412" s="3">
        <v>25</v>
      </c>
      <c r="I412">
        <v>0</v>
      </c>
    </row>
    <row r="413" spans="1:9">
      <c r="A413" s="3">
        <v>1</v>
      </c>
      <c r="B413" s="3">
        <v>143</v>
      </c>
      <c r="C413" s="3">
        <v>84</v>
      </c>
      <c r="D413" s="3">
        <v>23</v>
      </c>
      <c r="E413" s="3">
        <v>310</v>
      </c>
      <c r="F413" s="3">
        <v>42.4</v>
      </c>
      <c r="G413" s="3">
        <v>1.076</v>
      </c>
      <c r="H413" s="3">
        <v>22</v>
      </c>
      <c r="I413">
        <v>0</v>
      </c>
    </row>
    <row r="414" spans="1:9">
      <c r="A414" s="3">
        <v>1</v>
      </c>
      <c r="B414" s="3">
        <v>143</v>
      </c>
      <c r="C414" s="3">
        <v>74</v>
      </c>
      <c r="D414" s="3">
        <v>22</v>
      </c>
      <c r="E414" s="3">
        <v>61</v>
      </c>
      <c r="F414" s="3">
        <v>26.2</v>
      </c>
      <c r="G414" s="3">
        <v>0.256</v>
      </c>
      <c r="H414" s="3">
        <v>21</v>
      </c>
      <c r="I414">
        <v>0</v>
      </c>
    </row>
    <row r="415" spans="1:9">
      <c r="A415" s="3">
        <v>0</v>
      </c>
      <c r="B415" s="3">
        <v>138</v>
      </c>
      <c r="C415" s="3">
        <v>60</v>
      </c>
      <c r="D415" s="3">
        <v>35</v>
      </c>
      <c r="E415" s="3">
        <v>167</v>
      </c>
      <c r="F415" s="3">
        <v>34.6</v>
      </c>
      <c r="G415" s="3">
        <v>0.534</v>
      </c>
      <c r="H415" s="3">
        <v>21</v>
      </c>
      <c r="I415">
        <v>1</v>
      </c>
    </row>
    <row r="416" spans="1:9">
      <c r="A416" s="3">
        <v>3</v>
      </c>
      <c r="B416" s="3">
        <v>173</v>
      </c>
      <c r="C416" s="3">
        <v>84</v>
      </c>
      <c r="D416" s="3">
        <v>33</v>
      </c>
      <c r="E416" s="3">
        <v>474</v>
      </c>
      <c r="F416" s="3">
        <v>35.7</v>
      </c>
      <c r="G416" s="3">
        <v>0.258</v>
      </c>
      <c r="H416" s="3">
        <v>22</v>
      </c>
      <c r="I416">
        <v>1</v>
      </c>
    </row>
    <row r="417" spans="1:9">
      <c r="A417" s="3">
        <v>1</v>
      </c>
      <c r="B417" s="3">
        <v>97</v>
      </c>
      <c r="C417" s="3">
        <v>68</v>
      </c>
      <c r="D417" s="3">
        <v>21</v>
      </c>
      <c r="E417" s="3">
        <v>0</v>
      </c>
      <c r="F417" s="3">
        <v>27.2</v>
      </c>
      <c r="G417" s="3">
        <v>1.095</v>
      </c>
      <c r="H417" s="3">
        <v>22</v>
      </c>
      <c r="I417">
        <v>0</v>
      </c>
    </row>
    <row r="418" spans="1:9">
      <c r="A418" s="3">
        <v>4</v>
      </c>
      <c r="B418" s="3">
        <v>144</v>
      </c>
      <c r="C418" s="3">
        <v>82</v>
      </c>
      <c r="D418" s="3">
        <v>32</v>
      </c>
      <c r="E418" s="3">
        <v>0</v>
      </c>
      <c r="F418" s="3">
        <v>38.5</v>
      </c>
      <c r="G418" s="3">
        <v>0.554</v>
      </c>
      <c r="H418" s="3">
        <v>37</v>
      </c>
      <c r="I418">
        <v>1</v>
      </c>
    </row>
    <row r="419" spans="1:9">
      <c r="A419" s="3">
        <v>1</v>
      </c>
      <c r="B419" s="3">
        <v>83</v>
      </c>
      <c r="C419" s="3">
        <v>68</v>
      </c>
      <c r="D419" s="3">
        <v>0</v>
      </c>
      <c r="E419" s="3">
        <v>0</v>
      </c>
      <c r="F419" s="3">
        <v>18.2</v>
      </c>
      <c r="G419" s="3">
        <v>0.624</v>
      </c>
      <c r="H419" s="3">
        <v>27</v>
      </c>
      <c r="I419">
        <v>0</v>
      </c>
    </row>
    <row r="420" spans="1:9">
      <c r="A420" s="3">
        <v>3</v>
      </c>
      <c r="B420" s="3">
        <v>129</v>
      </c>
      <c r="C420" s="3">
        <v>64</v>
      </c>
      <c r="D420" s="3">
        <v>29</v>
      </c>
      <c r="E420" s="3">
        <v>115</v>
      </c>
      <c r="F420" s="3">
        <v>26.4</v>
      </c>
      <c r="G420" s="3">
        <v>0.219</v>
      </c>
      <c r="H420" s="3">
        <v>28</v>
      </c>
      <c r="I420">
        <v>1</v>
      </c>
    </row>
    <row r="421" spans="1:9">
      <c r="A421" s="3">
        <v>1</v>
      </c>
      <c r="B421" s="3">
        <v>119</v>
      </c>
      <c r="C421" s="3">
        <v>88</v>
      </c>
      <c r="D421" s="3">
        <v>41</v>
      </c>
      <c r="E421" s="3">
        <v>170</v>
      </c>
      <c r="F421" s="3">
        <v>45.3</v>
      </c>
      <c r="G421" s="3">
        <v>0.507</v>
      </c>
      <c r="H421" s="3">
        <v>26</v>
      </c>
      <c r="I421">
        <v>0</v>
      </c>
    </row>
    <row r="422" spans="1:9">
      <c r="A422" s="3">
        <v>2</v>
      </c>
      <c r="B422" s="3">
        <v>94</v>
      </c>
      <c r="C422" s="3">
        <v>68</v>
      </c>
      <c r="D422" s="3">
        <v>18</v>
      </c>
      <c r="E422" s="3">
        <v>76</v>
      </c>
      <c r="F422" s="3">
        <v>26</v>
      </c>
      <c r="G422" s="3">
        <v>0.561</v>
      </c>
      <c r="H422" s="3">
        <v>21</v>
      </c>
      <c r="I422">
        <v>0</v>
      </c>
    </row>
    <row r="423" spans="1:9">
      <c r="A423" s="3">
        <v>0</v>
      </c>
      <c r="B423" s="3">
        <v>102</v>
      </c>
      <c r="C423" s="3">
        <v>64</v>
      </c>
      <c r="D423" s="3">
        <v>46</v>
      </c>
      <c r="E423" s="3">
        <v>78</v>
      </c>
      <c r="F423" s="3">
        <v>40.6</v>
      </c>
      <c r="G423" s="3">
        <v>0.496</v>
      </c>
      <c r="H423" s="3">
        <v>21</v>
      </c>
      <c r="I423">
        <v>0</v>
      </c>
    </row>
    <row r="424" spans="1:9">
      <c r="A424" s="3">
        <v>2</v>
      </c>
      <c r="B424" s="3">
        <v>115</v>
      </c>
      <c r="C424" s="3">
        <v>64</v>
      </c>
      <c r="D424" s="3">
        <v>22</v>
      </c>
      <c r="E424" s="3">
        <v>0</v>
      </c>
      <c r="F424" s="3">
        <v>30.8</v>
      </c>
      <c r="G424" s="3">
        <v>0.421</v>
      </c>
      <c r="H424" s="3">
        <v>21</v>
      </c>
      <c r="I424">
        <v>0</v>
      </c>
    </row>
    <row r="425" spans="1:9">
      <c r="A425" s="3">
        <v>8</v>
      </c>
      <c r="B425" s="3">
        <v>151</v>
      </c>
      <c r="C425" s="3">
        <v>78</v>
      </c>
      <c r="D425" s="3">
        <v>32</v>
      </c>
      <c r="E425" s="3">
        <v>210</v>
      </c>
      <c r="F425" s="3">
        <v>42.9</v>
      </c>
      <c r="G425" s="3">
        <v>0.516</v>
      </c>
      <c r="H425" s="3">
        <v>36</v>
      </c>
      <c r="I425">
        <v>1</v>
      </c>
    </row>
    <row r="426" spans="1:9">
      <c r="A426" s="3">
        <v>4</v>
      </c>
      <c r="B426" s="3">
        <v>184</v>
      </c>
      <c r="C426" s="3">
        <v>78</v>
      </c>
      <c r="D426" s="3">
        <v>39</v>
      </c>
      <c r="E426" s="3">
        <v>277</v>
      </c>
      <c r="F426" s="3">
        <v>37</v>
      </c>
      <c r="G426" s="3">
        <v>0.264</v>
      </c>
      <c r="H426" s="3">
        <v>31</v>
      </c>
      <c r="I426">
        <v>1</v>
      </c>
    </row>
    <row r="427" spans="1:9">
      <c r="A427" s="3">
        <v>0</v>
      </c>
      <c r="B427" s="3">
        <v>94</v>
      </c>
      <c r="C427" s="3">
        <v>0</v>
      </c>
      <c r="D427" s="3">
        <v>0</v>
      </c>
      <c r="E427" s="3">
        <v>0</v>
      </c>
      <c r="F427" s="3">
        <v>0</v>
      </c>
      <c r="G427" s="3">
        <v>0.256</v>
      </c>
      <c r="H427" s="3">
        <v>25</v>
      </c>
      <c r="I427">
        <v>0</v>
      </c>
    </row>
    <row r="428" spans="1:9">
      <c r="A428" s="3">
        <v>1</v>
      </c>
      <c r="B428" s="3">
        <v>181</v>
      </c>
      <c r="C428" s="3">
        <v>64</v>
      </c>
      <c r="D428" s="3">
        <v>30</v>
      </c>
      <c r="E428" s="3">
        <v>180</v>
      </c>
      <c r="F428" s="3">
        <v>34.1</v>
      </c>
      <c r="G428" s="3">
        <v>0.328</v>
      </c>
      <c r="H428" s="3">
        <v>38</v>
      </c>
      <c r="I428">
        <v>1</v>
      </c>
    </row>
    <row r="429" spans="1:9">
      <c r="A429" s="3">
        <v>0</v>
      </c>
      <c r="B429" s="3">
        <v>135</v>
      </c>
      <c r="C429" s="3">
        <v>94</v>
      </c>
      <c r="D429" s="3">
        <v>46</v>
      </c>
      <c r="E429" s="3">
        <v>145</v>
      </c>
      <c r="F429" s="3">
        <v>40.6</v>
      </c>
      <c r="G429" s="3">
        <v>0.284</v>
      </c>
      <c r="H429" s="3">
        <v>26</v>
      </c>
      <c r="I429">
        <v>0</v>
      </c>
    </row>
    <row r="430" spans="1:9">
      <c r="A430" s="3">
        <v>1</v>
      </c>
      <c r="B430" s="3">
        <v>95</v>
      </c>
      <c r="C430" s="3">
        <v>82</v>
      </c>
      <c r="D430" s="3">
        <v>25</v>
      </c>
      <c r="E430" s="3">
        <v>180</v>
      </c>
      <c r="F430" s="3">
        <v>35</v>
      </c>
      <c r="G430" s="3">
        <v>0.233</v>
      </c>
      <c r="H430" s="3">
        <v>43</v>
      </c>
      <c r="I430">
        <v>1</v>
      </c>
    </row>
    <row r="431" spans="1:9">
      <c r="A431" s="3">
        <v>2</v>
      </c>
      <c r="B431" s="3">
        <v>99</v>
      </c>
      <c r="C431" s="3">
        <v>0</v>
      </c>
      <c r="D431" s="3">
        <v>0</v>
      </c>
      <c r="E431" s="3">
        <v>0</v>
      </c>
      <c r="F431" s="3">
        <v>22.2</v>
      </c>
      <c r="G431" s="3">
        <v>0.108</v>
      </c>
      <c r="H431" s="3">
        <v>23</v>
      </c>
      <c r="I431">
        <v>0</v>
      </c>
    </row>
    <row r="432" spans="1:9">
      <c r="A432" s="3">
        <v>3</v>
      </c>
      <c r="B432" s="3">
        <v>89</v>
      </c>
      <c r="C432" s="3">
        <v>74</v>
      </c>
      <c r="D432" s="3">
        <v>16</v>
      </c>
      <c r="E432" s="3">
        <v>85</v>
      </c>
      <c r="F432" s="3">
        <v>30.4</v>
      </c>
      <c r="G432" s="3">
        <v>0.551</v>
      </c>
      <c r="H432" s="3">
        <v>38</v>
      </c>
      <c r="I432">
        <v>0</v>
      </c>
    </row>
    <row r="433" spans="1:9">
      <c r="A433" s="3">
        <v>1</v>
      </c>
      <c r="B433" s="3">
        <v>80</v>
      </c>
      <c r="C433" s="3">
        <v>74</v>
      </c>
      <c r="D433" s="3">
        <v>11</v>
      </c>
      <c r="E433" s="3">
        <v>60</v>
      </c>
      <c r="F433" s="3">
        <v>30</v>
      </c>
      <c r="G433" s="3">
        <v>0.527</v>
      </c>
      <c r="H433" s="3">
        <v>22</v>
      </c>
      <c r="I433">
        <v>0</v>
      </c>
    </row>
    <row r="434" spans="1:9">
      <c r="A434" s="3">
        <v>2</v>
      </c>
      <c r="B434" s="3">
        <v>139</v>
      </c>
      <c r="C434" s="3">
        <v>75</v>
      </c>
      <c r="D434" s="3">
        <v>0</v>
      </c>
      <c r="E434" s="3">
        <v>0</v>
      </c>
      <c r="F434" s="3">
        <v>25.6</v>
      </c>
      <c r="G434" s="3">
        <v>0.167</v>
      </c>
      <c r="H434" s="3">
        <v>29</v>
      </c>
      <c r="I434">
        <v>0</v>
      </c>
    </row>
    <row r="435" spans="1:9">
      <c r="A435" s="3">
        <v>1</v>
      </c>
      <c r="B435" s="3">
        <v>90</v>
      </c>
      <c r="C435" s="3">
        <v>68</v>
      </c>
      <c r="D435" s="3">
        <v>8</v>
      </c>
      <c r="E435" s="3">
        <v>0</v>
      </c>
      <c r="F435" s="3">
        <v>24.5</v>
      </c>
      <c r="G435" s="3">
        <v>1.138</v>
      </c>
      <c r="H435" s="3">
        <v>36</v>
      </c>
      <c r="I435">
        <v>0</v>
      </c>
    </row>
    <row r="436" spans="1:9">
      <c r="A436" s="3">
        <v>0</v>
      </c>
      <c r="B436" s="3">
        <v>141</v>
      </c>
      <c r="C436" s="3">
        <v>0</v>
      </c>
      <c r="D436" s="3">
        <v>0</v>
      </c>
      <c r="E436" s="3">
        <v>0</v>
      </c>
      <c r="F436" s="3">
        <v>42.4</v>
      </c>
      <c r="G436" s="3">
        <v>0.205</v>
      </c>
      <c r="H436" s="3">
        <v>29</v>
      </c>
      <c r="I436">
        <v>1</v>
      </c>
    </row>
    <row r="437" spans="1:9">
      <c r="A437" s="3">
        <v>12</v>
      </c>
      <c r="B437" s="3">
        <v>140</v>
      </c>
      <c r="C437" s="3">
        <v>85</v>
      </c>
      <c r="D437" s="3">
        <v>33</v>
      </c>
      <c r="E437" s="3">
        <v>0</v>
      </c>
      <c r="F437" s="3">
        <v>37.4</v>
      </c>
      <c r="G437" s="3">
        <v>0.244</v>
      </c>
      <c r="H437" s="3">
        <v>41</v>
      </c>
      <c r="I437">
        <v>0</v>
      </c>
    </row>
    <row r="438" spans="1:9">
      <c r="A438" s="3">
        <v>5</v>
      </c>
      <c r="B438" s="3">
        <v>147</v>
      </c>
      <c r="C438" s="3">
        <v>75</v>
      </c>
      <c r="D438" s="3">
        <v>0</v>
      </c>
      <c r="E438" s="3">
        <v>0</v>
      </c>
      <c r="F438" s="3">
        <v>29.9</v>
      </c>
      <c r="G438" s="3">
        <v>0.434</v>
      </c>
      <c r="H438" s="3">
        <v>28</v>
      </c>
      <c r="I438">
        <v>0</v>
      </c>
    </row>
    <row r="439" spans="1:9">
      <c r="A439" s="3">
        <v>1</v>
      </c>
      <c r="B439" s="3">
        <v>97</v>
      </c>
      <c r="C439" s="3">
        <v>70</v>
      </c>
      <c r="D439" s="3">
        <v>15</v>
      </c>
      <c r="E439" s="3">
        <v>0</v>
      </c>
      <c r="F439" s="3">
        <v>18.2</v>
      </c>
      <c r="G439" s="3">
        <v>0.147</v>
      </c>
      <c r="H439" s="3">
        <v>21</v>
      </c>
      <c r="I439">
        <v>0</v>
      </c>
    </row>
    <row r="440" spans="1:9">
      <c r="A440" s="3">
        <v>6</v>
      </c>
      <c r="B440" s="3">
        <v>107</v>
      </c>
      <c r="C440" s="3">
        <v>88</v>
      </c>
      <c r="D440" s="3">
        <v>0</v>
      </c>
      <c r="E440" s="3">
        <v>0</v>
      </c>
      <c r="F440" s="3">
        <v>36.8</v>
      </c>
      <c r="G440" s="3">
        <v>0.727</v>
      </c>
      <c r="H440" s="3">
        <v>31</v>
      </c>
      <c r="I440">
        <v>0</v>
      </c>
    </row>
    <row r="441" spans="1:9">
      <c r="A441" s="3">
        <v>0</v>
      </c>
      <c r="B441" s="3">
        <v>189</v>
      </c>
      <c r="C441" s="3">
        <v>104</v>
      </c>
      <c r="D441" s="3">
        <v>25</v>
      </c>
      <c r="E441" s="3">
        <v>0</v>
      </c>
      <c r="F441" s="3">
        <v>34.3</v>
      </c>
      <c r="G441" s="3">
        <v>0.435</v>
      </c>
      <c r="H441" s="3">
        <v>41</v>
      </c>
      <c r="I441">
        <v>1</v>
      </c>
    </row>
    <row r="442" spans="1:9">
      <c r="A442" s="3">
        <v>2</v>
      </c>
      <c r="B442" s="3">
        <v>83</v>
      </c>
      <c r="C442" s="3">
        <v>66</v>
      </c>
      <c r="D442" s="3">
        <v>23</v>
      </c>
      <c r="E442" s="3">
        <v>50</v>
      </c>
      <c r="F442" s="3">
        <v>32.2</v>
      </c>
      <c r="G442" s="3">
        <v>0.497</v>
      </c>
      <c r="H442" s="3">
        <v>22</v>
      </c>
      <c r="I442">
        <v>0</v>
      </c>
    </row>
    <row r="443" spans="1:9">
      <c r="A443" s="3">
        <v>4</v>
      </c>
      <c r="B443" s="3">
        <v>117</v>
      </c>
      <c r="C443" s="3">
        <v>64</v>
      </c>
      <c r="D443" s="3">
        <v>27</v>
      </c>
      <c r="E443" s="3">
        <v>120</v>
      </c>
      <c r="F443" s="3">
        <v>33.2</v>
      </c>
      <c r="G443" s="3">
        <v>0.23</v>
      </c>
      <c r="H443" s="3">
        <v>24</v>
      </c>
      <c r="I443">
        <v>0</v>
      </c>
    </row>
    <row r="444" spans="1:9">
      <c r="A444" s="3">
        <v>8</v>
      </c>
      <c r="B444" s="3">
        <v>108</v>
      </c>
      <c r="C444" s="3">
        <v>70</v>
      </c>
      <c r="D444" s="3">
        <v>0</v>
      </c>
      <c r="E444" s="3">
        <v>0</v>
      </c>
      <c r="F444" s="3">
        <v>30.5</v>
      </c>
      <c r="G444" s="3">
        <v>0.955</v>
      </c>
      <c r="H444" s="3">
        <v>33</v>
      </c>
      <c r="I444">
        <v>1</v>
      </c>
    </row>
    <row r="445" spans="1:9">
      <c r="A445" s="3">
        <v>4</v>
      </c>
      <c r="B445" s="3">
        <v>117</v>
      </c>
      <c r="C445" s="3">
        <v>62</v>
      </c>
      <c r="D445" s="3">
        <v>12</v>
      </c>
      <c r="E445" s="3">
        <v>0</v>
      </c>
      <c r="F445" s="3">
        <v>29.7</v>
      </c>
      <c r="G445" s="3">
        <v>0.38</v>
      </c>
      <c r="H445" s="3">
        <v>30</v>
      </c>
      <c r="I445">
        <v>1</v>
      </c>
    </row>
    <row r="446" spans="1:9">
      <c r="A446" s="3">
        <v>0</v>
      </c>
      <c r="B446" s="3">
        <v>180</v>
      </c>
      <c r="C446" s="3">
        <v>78</v>
      </c>
      <c r="D446" s="3">
        <v>63</v>
      </c>
      <c r="E446" s="3">
        <v>14</v>
      </c>
      <c r="F446" s="3">
        <v>59.4</v>
      </c>
      <c r="G446" s="3">
        <v>2.42</v>
      </c>
      <c r="H446" s="3">
        <v>25</v>
      </c>
      <c r="I446">
        <v>1</v>
      </c>
    </row>
    <row r="447" spans="1:9">
      <c r="A447" s="3">
        <v>1</v>
      </c>
      <c r="B447" s="3">
        <v>100</v>
      </c>
      <c r="C447" s="3">
        <v>72</v>
      </c>
      <c r="D447" s="3">
        <v>12</v>
      </c>
      <c r="E447" s="3">
        <v>70</v>
      </c>
      <c r="F447" s="3">
        <v>25.3</v>
      </c>
      <c r="G447" s="3">
        <v>0.658</v>
      </c>
      <c r="H447" s="3">
        <v>28</v>
      </c>
      <c r="I447">
        <v>0</v>
      </c>
    </row>
    <row r="448" spans="1:9">
      <c r="A448" s="3">
        <v>0</v>
      </c>
      <c r="B448" s="3">
        <v>95</v>
      </c>
      <c r="C448" s="3">
        <v>80</v>
      </c>
      <c r="D448" s="3">
        <v>45</v>
      </c>
      <c r="E448" s="3">
        <v>92</v>
      </c>
      <c r="F448" s="3">
        <v>36.5</v>
      </c>
      <c r="G448" s="3">
        <v>0.33</v>
      </c>
      <c r="H448" s="3">
        <v>26</v>
      </c>
      <c r="I448">
        <v>0</v>
      </c>
    </row>
    <row r="449" spans="1:9">
      <c r="A449" s="3">
        <v>0</v>
      </c>
      <c r="B449" s="3">
        <v>104</v>
      </c>
      <c r="C449" s="3">
        <v>64</v>
      </c>
      <c r="D449" s="3">
        <v>37</v>
      </c>
      <c r="E449" s="3">
        <v>64</v>
      </c>
      <c r="F449" s="3">
        <v>33.6</v>
      </c>
      <c r="G449" s="3">
        <v>0.51</v>
      </c>
      <c r="H449" s="3">
        <v>22</v>
      </c>
      <c r="I449">
        <v>1</v>
      </c>
    </row>
    <row r="450" spans="1:9">
      <c r="A450" s="3">
        <v>0</v>
      </c>
      <c r="B450" s="3">
        <v>120</v>
      </c>
      <c r="C450" s="3">
        <v>74</v>
      </c>
      <c r="D450" s="3">
        <v>18</v>
      </c>
      <c r="E450" s="3">
        <v>63</v>
      </c>
      <c r="F450" s="3">
        <v>30.5</v>
      </c>
      <c r="G450" s="3">
        <v>0.285</v>
      </c>
      <c r="H450" s="3">
        <v>26</v>
      </c>
      <c r="I450">
        <v>0</v>
      </c>
    </row>
    <row r="451" spans="1:9">
      <c r="A451" s="3">
        <v>1</v>
      </c>
      <c r="B451" s="3">
        <v>82</v>
      </c>
      <c r="C451" s="3">
        <v>64</v>
      </c>
      <c r="D451" s="3">
        <v>13</v>
      </c>
      <c r="E451" s="3">
        <v>95</v>
      </c>
      <c r="F451" s="3">
        <v>21.2</v>
      </c>
      <c r="G451" s="3">
        <v>0.415</v>
      </c>
      <c r="H451" s="3">
        <v>23</v>
      </c>
      <c r="I451">
        <v>0</v>
      </c>
    </row>
    <row r="452" spans="1:9">
      <c r="A452" s="3">
        <v>2</v>
      </c>
      <c r="B452" s="3">
        <v>134</v>
      </c>
      <c r="C452" s="3">
        <v>70</v>
      </c>
      <c r="D452" s="3">
        <v>0</v>
      </c>
      <c r="E452" s="3">
        <v>0</v>
      </c>
      <c r="F452" s="3">
        <v>28.9</v>
      </c>
      <c r="G452" s="3">
        <v>0.542</v>
      </c>
      <c r="H452" s="3">
        <v>23</v>
      </c>
      <c r="I452">
        <v>1</v>
      </c>
    </row>
    <row r="453" spans="1:9">
      <c r="A453" s="3">
        <v>0</v>
      </c>
      <c r="B453" s="3">
        <v>91</v>
      </c>
      <c r="C453" s="3">
        <v>68</v>
      </c>
      <c r="D453" s="3">
        <v>32</v>
      </c>
      <c r="E453" s="3">
        <v>210</v>
      </c>
      <c r="F453" s="3">
        <v>39.9</v>
      </c>
      <c r="G453" s="3">
        <v>0.381</v>
      </c>
      <c r="H453" s="3">
        <v>25</v>
      </c>
      <c r="I453">
        <v>0</v>
      </c>
    </row>
    <row r="454" spans="1:9">
      <c r="A454" s="3">
        <v>2</v>
      </c>
      <c r="B454" s="3">
        <v>119</v>
      </c>
      <c r="C454" s="3">
        <v>0</v>
      </c>
      <c r="D454" s="3">
        <v>0</v>
      </c>
      <c r="E454" s="3">
        <v>0</v>
      </c>
      <c r="F454" s="3">
        <v>19.6</v>
      </c>
      <c r="G454" s="3">
        <v>0.832</v>
      </c>
      <c r="H454" s="3">
        <v>72</v>
      </c>
      <c r="I454">
        <v>0</v>
      </c>
    </row>
    <row r="455" spans="1:9">
      <c r="A455" s="3">
        <v>2</v>
      </c>
      <c r="B455" s="3">
        <v>100</v>
      </c>
      <c r="C455" s="3">
        <v>54</v>
      </c>
      <c r="D455" s="3">
        <v>28</v>
      </c>
      <c r="E455" s="3">
        <v>105</v>
      </c>
      <c r="F455" s="3">
        <v>37.8</v>
      </c>
      <c r="G455" s="3">
        <v>0.498</v>
      </c>
      <c r="H455" s="3">
        <v>24</v>
      </c>
      <c r="I455">
        <v>0</v>
      </c>
    </row>
    <row r="456" spans="1:9">
      <c r="A456" s="3">
        <v>14</v>
      </c>
      <c r="B456" s="3">
        <v>175</v>
      </c>
      <c r="C456" s="3">
        <v>62</v>
      </c>
      <c r="D456" s="3">
        <v>30</v>
      </c>
      <c r="E456" s="3">
        <v>0</v>
      </c>
      <c r="F456" s="3">
        <v>33.6</v>
      </c>
      <c r="G456" s="3">
        <v>0.212</v>
      </c>
      <c r="H456" s="3">
        <v>38</v>
      </c>
      <c r="I456">
        <v>1</v>
      </c>
    </row>
    <row r="457" spans="1:9">
      <c r="A457" s="3">
        <v>1</v>
      </c>
      <c r="B457" s="3">
        <v>135</v>
      </c>
      <c r="C457" s="3">
        <v>54</v>
      </c>
      <c r="D457" s="3">
        <v>0</v>
      </c>
      <c r="E457" s="3">
        <v>0</v>
      </c>
      <c r="F457" s="3">
        <v>26.7</v>
      </c>
      <c r="G457" s="3">
        <v>0.687</v>
      </c>
      <c r="H457" s="3">
        <v>62</v>
      </c>
      <c r="I457">
        <v>0</v>
      </c>
    </row>
    <row r="458" spans="1:9">
      <c r="A458" s="3">
        <v>5</v>
      </c>
      <c r="B458" s="3">
        <v>86</v>
      </c>
      <c r="C458" s="3">
        <v>68</v>
      </c>
      <c r="D458" s="3">
        <v>28</v>
      </c>
      <c r="E458" s="3">
        <v>71</v>
      </c>
      <c r="F458" s="3">
        <v>30.2</v>
      </c>
      <c r="G458" s="3">
        <v>0.364</v>
      </c>
      <c r="H458" s="3">
        <v>24</v>
      </c>
      <c r="I458">
        <v>0</v>
      </c>
    </row>
    <row r="459" spans="1:9">
      <c r="A459" s="3">
        <v>10</v>
      </c>
      <c r="B459" s="3">
        <v>148</v>
      </c>
      <c r="C459" s="3">
        <v>84</v>
      </c>
      <c r="D459" s="3">
        <v>48</v>
      </c>
      <c r="E459" s="3">
        <v>237</v>
      </c>
      <c r="F459" s="3">
        <v>37.6</v>
      </c>
      <c r="G459" s="3">
        <v>1.001</v>
      </c>
      <c r="H459" s="3">
        <v>51</v>
      </c>
      <c r="I459">
        <v>1</v>
      </c>
    </row>
    <row r="460" spans="1:9">
      <c r="A460" s="3">
        <v>9</v>
      </c>
      <c r="B460" s="3">
        <v>134</v>
      </c>
      <c r="C460" s="3">
        <v>74</v>
      </c>
      <c r="D460" s="3">
        <v>33</v>
      </c>
      <c r="E460" s="3">
        <v>60</v>
      </c>
      <c r="F460" s="3">
        <v>25.9</v>
      </c>
      <c r="G460" s="3">
        <v>0.46</v>
      </c>
      <c r="H460" s="3">
        <v>81</v>
      </c>
      <c r="I460">
        <v>0</v>
      </c>
    </row>
    <row r="461" spans="1:9">
      <c r="A461" s="3">
        <v>9</v>
      </c>
      <c r="B461" s="3">
        <v>120</v>
      </c>
      <c r="C461" s="3">
        <v>72</v>
      </c>
      <c r="D461" s="3">
        <v>22</v>
      </c>
      <c r="E461" s="3">
        <v>56</v>
      </c>
      <c r="F461" s="3">
        <v>20.8</v>
      </c>
      <c r="G461" s="3">
        <v>0.733</v>
      </c>
      <c r="H461" s="3">
        <v>48</v>
      </c>
      <c r="I461">
        <v>0</v>
      </c>
    </row>
    <row r="462" spans="1:9">
      <c r="A462" s="3">
        <v>1</v>
      </c>
      <c r="B462" s="3">
        <v>71</v>
      </c>
      <c r="C462" s="3">
        <v>62</v>
      </c>
      <c r="D462" s="3">
        <v>0</v>
      </c>
      <c r="E462" s="3">
        <v>0</v>
      </c>
      <c r="F462" s="3">
        <v>21.8</v>
      </c>
      <c r="G462" s="3">
        <v>0.416</v>
      </c>
      <c r="H462" s="3">
        <v>26</v>
      </c>
      <c r="I462">
        <v>0</v>
      </c>
    </row>
    <row r="463" spans="1:9">
      <c r="A463" s="3">
        <v>8</v>
      </c>
      <c r="B463" s="3">
        <v>74</v>
      </c>
      <c r="C463" s="3">
        <v>70</v>
      </c>
      <c r="D463" s="3">
        <v>40</v>
      </c>
      <c r="E463" s="3">
        <v>49</v>
      </c>
      <c r="F463" s="3">
        <v>35.3</v>
      </c>
      <c r="G463" s="3">
        <v>0.705</v>
      </c>
      <c r="H463" s="3">
        <v>39</v>
      </c>
      <c r="I463">
        <v>0</v>
      </c>
    </row>
    <row r="464" spans="1:9">
      <c r="A464" s="3">
        <v>5</v>
      </c>
      <c r="B464" s="3">
        <v>88</v>
      </c>
      <c r="C464" s="3">
        <v>78</v>
      </c>
      <c r="D464" s="3">
        <v>30</v>
      </c>
      <c r="E464" s="3">
        <v>0</v>
      </c>
      <c r="F464" s="3">
        <v>27.6</v>
      </c>
      <c r="G464" s="3">
        <v>0.258</v>
      </c>
      <c r="H464" s="3">
        <v>37</v>
      </c>
      <c r="I464">
        <v>0</v>
      </c>
    </row>
    <row r="465" spans="1:9">
      <c r="A465" s="3">
        <v>10</v>
      </c>
      <c r="B465" s="3">
        <v>115</v>
      </c>
      <c r="C465" s="3">
        <v>98</v>
      </c>
      <c r="D465" s="3">
        <v>0</v>
      </c>
      <c r="E465" s="3">
        <v>0</v>
      </c>
      <c r="F465" s="3">
        <v>24</v>
      </c>
      <c r="G465" s="3">
        <v>1.022</v>
      </c>
      <c r="H465" s="3">
        <v>34</v>
      </c>
      <c r="I465">
        <v>0</v>
      </c>
    </row>
    <row r="466" spans="1:9">
      <c r="A466" s="3">
        <v>0</v>
      </c>
      <c r="B466" s="3">
        <v>124</v>
      </c>
      <c r="C466" s="3">
        <v>56</v>
      </c>
      <c r="D466" s="3">
        <v>13</v>
      </c>
      <c r="E466" s="3">
        <v>105</v>
      </c>
      <c r="F466" s="3">
        <v>21.8</v>
      </c>
      <c r="G466" s="3">
        <v>0.452</v>
      </c>
      <c r="H466" s="3">
        <v>21</v>
      </c>
      <c r="I466">
        <v>0</v>
      </c>
    </row>
    <row r="467" spans="1:9">
      <c r="A467" s="3">
        <v>0</v>
      </c>
      <c r="B467" s="3">
        <v>74</v>
      </c>
      <c r="C467" s="3">
        <v>52</v>
      </c>
      <c r="D467" s="3">
        <v>10</v>
      </c>
      <c r="E467" s="3">
        <v>36</v>
      </c>
      <c r="F467" s="3">
        <v>27.8</v>
      </c>
      <c r="G467" s="3">
        <v>0.269</v>
      </c>
      <c r="H467" s="3">
        <v>22</v>
      </c>
      <c r="I467">
        <v>0</v>
      </c>
    </row>
    <row r="468" spans="1:9">
      <c r="A468" s="3">
        <v>0</v>
      </c>
      <c r="B468" s="3">
        <v>97</v>
      </c>
      <c r="C468" s="3">
        <v>64</v>
      </c>
      <c r="D468" s="3">
        <v>36</v>
      </c>
      <c r="E468" s="3">
        <v>100</v>
      </c>
      <c r="F468" s="3">
        <v>36.8</v>
      </c>
      <c r="G468" s="3">
        <v>0.6</v>
      </c>
      <c r="H468" s="3">
        <v>25</v>
      </c>
      <c r="I468">
        <v>0</v>
      </c>
    </row>
    <row r="469" spans="1:9">
      <c r="A469" s="3">
        <v>8</v>
      </c>
      <c r="B469" s="3">
        <v>120</v>
      </c>
      <c r="C469" s="3">
        <v>0</v>
      </c>
      <c r="D469" s="3">
        <v>0</v>
      </c>
      <c r="E469" s="3">
        <v>0</v>
      </c>
      <c r="F469" s="3">
        <v>30</v>
      </c>
      <c r="G469" s="3">
        <v>0.183</v>
      </c>
      <c r="H469" s="3">
        <v>38</v>
      </c>
      <c r="I469">
        <v>1</v>
      </c>
    </row>
    <row r="470" spans="1:9">
      <c r="A470" s="3">
        <v>6</v>
      </c>
      <c r="B470" s="3">
        <v>154</v>
      </c>
      <c r="C470" s="3">
        <v>78</v>
      </c>
      <c r="D470" s="3">
        <v>41</v>
      </c>
      <c r="E470" s="3">
        <v>140</v>
      </c>
      <c r="F470" s="3">
        <v>46.1</v>
      </c>
      <c r="G470" s="3">
        <v>0.571</v>
      </c>
      <c r="H470" s="3">
        <v>27</v>
      </c>
      <c r="I470">
        <v>0</v>
      </c>
    </row>
    <row r="471" spans="1:9">
      <c r="A471" s="3">
        <v>1</v>
      </c>
      <c r="B471" s="3">
        <v>144</v>
      </c>
      <c r="C471" s="3">
        <v>82</v>
      </c>
      <c r="D471" s="3">
        <v>40</v>
      </c>
      <c r="E471" s="3">
        <v>0</v>
      </c>
      <c r="F471" s="3">
        <v>41.3</v>
      </c>
      <c r="G471" s="3">
        <v>0.607</v>
      </c>
      <c r="H471" s="3">
        <v>28</v>
      </c>
      <c r="I471">
        <v>0</v>
      </c>
    </row>
    <row r="472" spans="1:9">
      <c r="A472" s="3">
        <v>0</v>
      </c>
      <c r="B472" s="3">
        <v>137</v>
      </c>
      <c r="C472" s="3">
        <v>70</v>
      </c>
      <c r="D472" s="3">
        <v>38</v>
      </c>
      <c r="E472" s="3">
        <v>0</v>
      </c>
      <c r="F472" s="3">
        <v>33.2</v>
      </c>
      <c r="G472" s="3">
        <v>0.17</v>
      </c>
      <c r="H472" s="3">
        <v>22</v>
      </c>
      <c r="I472">
        <v>0</v>
      </c>
    </row>
    <row r="473" spans="1:9">
      <c r="A473" s="3">
        <v>0</v>
      </c>
      <c r="B473" s="3">
        <v>119</v>
      </c>
      <c r="C473" s="3">
        <v>66</v>
      </c>
      <c r="D473" s="3">
        <v>27</v>
      </c>
      <c r="E473" s="3">
        <v>0</v>
      </c>
      <c r="F473" s="3">
        <v>38.8</v>
      </c>
      <c r="G473" s="3">
        <v>0.259</v>
      </c>
      <c r="H473" s="3">
        <v>22</v>
      </c>
      <c r="I473">
        <v>0</v>
      </c>
    </row>
    <row r="474" spans="1:9">
      <c r="A474" s="3">
        <v>7</v>
      </c>
      <c r="B474" s="3">
        <v>136</v>
      </c>
      <c r="C474" s="3">
        <v>90</v>
      </c>
      <c r="D474" s="3">
        <v>0</v>
      </c>
      <c r="E474" s="3">
        <v>0</v>
      </c>
      <c r="F474" s="3">
        <v>29.9</v>
      </c>
      <c r="G474" s="3">
        <v>0.21</v>
      </c>
      <c r="H474" s="3">
        <v>50</v>
      </c>
      <c r="I474">
        <v>0</v>
      </c>
    </row>
    <row r="475" spans="1:9">
      <c r="A475" s="3">
        <v>4</v>
      </c>
      <c r="B475" s="3">
        <v>114</v>
      </c>
      <c r="C475" s="3">
        <v>64</v>
      </c>
      <c r="D475" s="3">
        <v>0</v>
      </c>
      <c r="E475" s="3">
        <v>0</v>
      </c>
      <c r="F475" s="3">
        <v>28.9</v>
      </c>
      <c r="G475" s="3">
        <v>0.126</v>
      </c>
      <c r="H475" s="3">
        <v>24</v>
      </c>
      <c r="I475">
        <v>0</v>
      </c>
    </row>
    <row r="476" spans="1:9">
      <c r="A476" s="3">
        <v>0</v>
      </c>
      <c r="B476" s="3">
        <v>137</v>
      </c>
      <c r="C476" s="3">
        <v>84</v>
      </c>
      <c r="D476" s="3">
        <v>27</v>
      </c>
      <c r="E476" s="3">
        <v>0</v>
      </c>
      <c r="F476" s="3">
        <v>27.3</v>
      </c>
      <c r="G476" s="3">
        <v>0.231</v>
      </c>
      <c r="H476" s="3">
        <v>59</v>
      </c>
      <c r="I476">
        <v>0</v>
      </c>
    </row>
    <row r="477" spans="1:9">
      <c r="A477" s="3">
        <v>2</v>
      </c>
      <c r="B477" s="3">
        <v>105</v>
      </c>
      <c r="C477" s="3">
        <v>80</v>
      </c>
      <c r="D477" s="3">
        <v>45</v>
      </c>
      <c r="E477" s="3">
        <v>191</v>
      </c>
      <c r="F477" s="3">
        <v>33.7</v>
      </c>
      <c r="G477" s="3">
        <v>0.711</v>
      </c>
      <c r="H477" s="3">
        <v>29</v>
      </c>
      <c r="I477">
        <v>1</v>
      </c>
    </row>
    <row r="478" spans="1:9">
      <c r="A478" s="3">
        <v>7</v>
      </c>
      <c r="B478" s="3">
        <v>114</v>
      </c>
      <c r="C478" s="3">
        <v>76</v>
      </c>
      <c r="D478" s="3">
        <v>17</v>
      </c>
      <c r="E478" s="3">
        <v>110</v>
      </c>
      <c r="F478" s="3">
        <v>23.8</v>
      </c>
      <c r="G478" s="3">
        <v>0.466</v>
      </c>
      <c r="H478" s="3">
        <v>31</v>
      </c>
      <c r="I478">
        <v>0</v>
      </c>
    </row>
    <row r="479" spans="1:9">
      <c r="A479" s="3">
        <v>8</v>
      </c>
      <c r="B479" s="3">
        <v>126</v>
      </c>
      <c r="C479" s="3">
        <v>74</v>
      </c>
      <c r="D479" s="3">
        <v>38</v>
      </c>
      <c r="E479" s="3">
        <v>75</v>
      </c>
      <c r="F479" s="3">
        <v>25.9</v>
      </c>
      <c r="G479" s="3">
        <v>0.162</v>
      </c>
      <c r="H479" s="3">
        <v>39</v>
      </c>
      <c r="I479">
        <v>0</v>
      </c>
    </row>
    <row r="480" spans="1:9">
      <c r="A480" s="3">
        <v>4</v>
      </c>
      <c r="B480" s="3">
        <v>132</v>
      </c>
      <c r="C480" s="3">
        <v>86</v>
      </c>
      <c r="D480" s="3">
        <v>31</v>
      </c>
      <c r="E480" s="3">
        <v>0</v>
      </c>
      <c r="F480" s="3">
        <v>28</v>
      </c>
      <c r="G480" s="3">
        <v>0.419</v>
      </c>
      <c r="H480" s="3">
        <v>63</v>
      </c>
      <c r="I480">
        <v>0</v>
      </c>
    </row>
    <row r="481" spans="1:9">
      <c r="A481" s="3">
        <v>3</v>
      </c>
      <c r="B481" s="3">
        <v>158</v>
      </c>
      <c r="C481" s="3">
        <v>70</v>
      </c>
      <c r="D481" s="3">
        <v>30</v>
      </c>
      <c r="E481" s="3">
        <v>328</v>
      </c>
      <c r="F481" s="3">
        <v>35.5</v>
      </c>
      <c r="G481" s="3">
        <v>0.344</v>
      </c>
      <c r="H481" s="3">
        <v>35</v>
      </c>
      <c r="I481">
        <v>1</v>
      </c>
    </row>
    <row r="482" spans="1:9">
      <c r="A482" s="3">
        <v>0</v>
      </c>
      <c r="B482" s="3">
        <v>123</v>
      </c>
      <c r="C482" s="3">
        <v>88</v>
      </c>
      <c r="D482" s="3">
        <v>37</v>
      </c>
      <c r="E482" s="3">
        <v>0</v>
      </c>
      <c r="F482" s="3">
        <v>35.2</v>
      </c>
      <c r="G482" s="3">
        <v>0.197</v>
      </c>
      <c r="H482" s="3">
        <v>29</v>
      </c>
      <c r="I482">
        <v>0</v>
      </c>
    </row>
    <row r="483" spans="1:9">
      <c r="A483" s="3">
        <v>4</v>
      </c>
      <c r="B483" s="3">
        <v>85</v>
      </c>
      <c r="C483" s="3">
        <v>58</v>
      </c>
      <c r="D483" s="3">
        <v>22</v>
      </c>
      <c r="E483" s="3">
        <v>49</v>
      </c>
      <c r="F483" s="3">
        <v>27.8</v>
      </c>
      <c r="G483" s="3">
        <v>0.306</v>
      </c>
      <c r="H483" s="3">
        <v>28</v>
      </c>
      <c r="I483">
        <v>0</v>
      </c>
    </row>
    <row r="484" spans="1:9">
      <c r="A484" s="3">
        <v>0</v>
      </c>
      <c r="B484" s="3">
        <v>84</v>
      </c>
      <c r="C484" s="3">
        <v>82</v>
      </c>
      <c r="D484" s="3">
        <v>31</v>
      </c>
      <c r="E484" s="3">
        <v>125</v>
      </c>
      <c r="F484" s="3">
        <v>38.2</v>
      </c>
      <c r="G484" s="3">
        <v>0.233</v>
      </c>
      <c r="H484" s="3">
        <v>23</v>
      </c>
      <c r="I484">
        <v>0</v>
      </c>
    </row>
    <row r="485" spans="1:9">
      <c r="A485" s="3">
        <v>0</v>
      </c>
      <c r="B485" s="3">
        <v>145</v>
      </c>
      <c r="C485" s="3">
        <v>0</v>
      </c>
      <c r="D485" s="3">
        <v>0</v>
      </c>
      <c r="E485" s="3">
        <v>0</v>
      </c>
      <c r="F485" s="3">
        <v>44.2</v>
      </c>
      <c r="G485" s="3">
        <v>0.63</v>
      </c>
      <c r="H485" s="3">
        <v>31</v>
      </c>
      <c r="I485">
        <v>1</v>
      </c>
    </row>
    <row r="486" spans="1:9">
      <c r="A486" s="3">
        <v>0</v>
      </c>
      <c r="B486" s="3">
        <v>135</v>
      </c>
      <c r="C486" s="3">
        <v>68</v>
      </c>
      <c r="D486" s="3">
        <v>42</v>
      </c>
      <c r="E486" s="3">
        <v>250</v>
      </c>
      <c r="F486" s="3">
        <v>42.3</v>
      </c>
      <c r="G486" s="3">
        <v>0.365</v>
      </c>
      <c r="H486" s="3">
        <v>24</v>
      </c>
      <c r="I486">
        <v>1</v>
      </c>
    </row>
    <row r="487" spans="1:9">
      <c r="A487" s="3">
        <v>1</v>
      </c>
      <c r="B487" s="3">
        <v>139</v>
      </c>
      <c r="C487" s="3">
        <v>62</v>
      </c>
      <c r="D487" s="3">
        <v>41</v>
      </c>
      <c r="E487" s="3">
        <v>480</v>
      </c>
      <c r="F487" s="3">
        <v>40.7</v>
      </c>
      <c r="G487" s="3">
        <v>0.536</v>
      </c>
      <c r="H487" s="3">
        <v>21</v>
      </c>
      <c r="I487">
        <v>0</v>
      </c>
    </row>
    <row r="488" spans="1:9">
      <c r="A488" s="3">
        <v>0</v>
      </c>
      <c r="B488" s="3">
        <v>173</v>
      </c>
      <c r="C488" s="3">
        <v>78</v>
      </c>
      <c r="D488" s="3">
        <v>32</v>
      </c>
      <c r="E488" s="3">
        <v>265</v>
      </c>
      <c r="F488" s="3">
        <v>46.5</v>
      </c>
      <c r="G488" s="3">
        <v>1.159</v>
      </c>
      <c r="H488" s="3">
        <v>58</v>
      </c>
      <c r="I488">
        <v>0</v>
      </c>
    </row>
    <row r="489" spans="1:9">
      <c r="A489" s="3">
        <v>4</v>
      </c>
      <c r="B489" s="3">
        <v>99</v>
      </c>
      <c r="C489" s="3">
        <v>72</v>
      </c>
      <c r="D489" s="3">
        <v>17</v>
      </c>
      <c r="E489" s="3">
        <v>0</v>
      </c>
      <c r="F489" s="3">
        <v>25.6</v>
      </c>
      <c r="G489" s="3">
        <v>0.294</v>
      </c>
      <c r="H489" s="3">
        <v>28</v>
      </c>
      <c r="I489">
        <v>0</v>
      </c>
    </row>
    <row r="490" spans="1:9">
      <c r="A490" s="3">
        <v>8</v>
      </c>
      <c r="B490" s="3">
        <v>194</v>
      </c>
      <c r="C490" s="3">
        <v>80</v>
      </c>
      <c r="D490" s="3">
        <v>0</v>
      </c>
      <c r="E490" s="3">
        <v>0</v>
      </c>
      <c r="F490" s="3">
        <v>26.1</v>
      </c>
      <c r="G490" s="3">
        <v>0.551</v>
      </c>
      <c r="H490" s="3">
        <v>67</v>
      </c>
      <c r="I490">
        <v>0</v>
      </c>
    </row>
    <row r="491" spans="1:9">
      <c r="A491" s="3">
        <v>2</v>
      </c>
      <c r="B491" s="3">
        <v>83</v>
      </c>
      <c r="C491" s="3">
        <v>65</v>
      </c>
      <c r="D491" s="3">
        <v>28</v>
      </c>
      <c r="E491" s="3">
        <v>66</v>
      </c>
      <c r="F491" s="3">
        <v>36.8</v>
      </c>
      <c r="G491" s="3">
        <v>0.629</v>
      </c>
      <c r="H491" s="3">
        <v>24</v>
      </c>
      <c r="I491">
        <v>0</v>
      </c>
    </row>
    <row r="492" spans="1:9">
      <c r="A492" s="3">
        <v>2</v>
      </c>
      <c r="B492" s="3">
        <v>89</v>
      </c>
      <c r="C492" s="3">
        <v>90</v>
      </c>
      <c r="D492" s="3">
        <v>30</v>
      </c>
      <c r="E492" s="3">
        <v>0</v>
      </c>
      <c r="F492" s="3">
        <v>33.5</v>
      </c>
      <c r="G492" s="3">
        <v>0.292</v>
      </c>
      <c r="H492" s="3">
        <v>42</v>
      </c>
      <c r="I492">
        <v>0</v>
      </c>
    </row>
    <row r="493" spans="1:9">
      <c r="A493" s="3">
        <v>4</v>
      </c>
      <c r="B493" s="3">
        <v>99</v>
      </c>
      <c r="C493" s="3">
        <v>68</v>
      </c>
      <c r="D493" s="3">
        <v>38</v>
      </c>
      <c r="E493" s="3">
        <v>0</v>
      </c>
      <c r="F493" s="3">
        <v>32.8</v>
      </c>
      <c r="G493" s="3">
        <v>0.145</v>
      </c>
      <c r="H493" s="3">
        <v>33</v>
      </c>
      <c r="I493">
        <v>0</v>
      </c>
    </row>
    <row r="494" spans="1:9">
      <c r="A494" s="3">
        <v>4</v>
      </c>
      <c r="B494" s="3">
        <v>125</v>
      </c>
      <c r="C494" s="3">
        <v>70</v>
      </c>
      <c r="D494" s="3">
        <v>18</v>
      </c>
      <c r="E494" s="3">
        <v>122</v>
      </c>
      <c r="F494" s="3">
        <v>28.9</v>
      </c>
      <c r="G494" s="3">
        <v>1.144</v>
      </c>
      <c r="H494" s="3">
        <v>45</v>
      </c>
      <c r="I494">
        <v>1</v>
      </c>
    </row>
    <row r="495" spans="1:9">
      <c r="A495" s="3">
        <v>3</v>
      </c>
      <c r="B495" s="3">
        <v>80</v>
      </c>
      <c r="C495" s="3">
        <v>0</v>
      </c>
      <c r="D495" s="3">
        <v>0</v>
      </c>
      <c r="E495" s="3">
        <v>0</v>
      </c>
      <c r="F495" s="3">
        <v>0</v>
      </c>
      <c r="G495" s="3">
        <v>0.174</v>
      </c>
      <c r="H495" s="3">
        <v>22</v>
      </c>
      <c r="I495">
        <v>0</v>
      </c>
    </row>
    <row r="496" spans="1:9">
      <c r="A496" s="3">
        <v>6</v>
      </c>
      <c r="B496" s="3">
        <v>166</v>
      </c>
      <c r="C496" s="3">
        <v>74</v>
      </c>
      <c r="D496" s="3">
        <v>0</v>
      </c>
      <c r="E496" s="3">
        <v>0</v>
      </c>
      <c r="F496" s="3">
        <v>26.6</v>
      </c>
      <c r="G496" s="3">
        <v>0.304</v>
      </c>
      <c r="H496" s="3">
        <v>66</v>
      </c>
      <c r="I496">
        <v>0</v>
      </c>
    </row>
    <row r="497" spans="1:9">
      <c r="A497" s="3">
        <v>5</v>
      </c>
      <c r="B497" s="3">
        <v>110</v>
      </c>
      <c r="C497" s="3">
        <v>68</v>
      </c>
      <c r="D497" s="3">
        <v>0</v>
      </c>
      <c r="E497" s="3">
        <v>0</v>
      </c>
      <c r="F497" s="3">
        <v>26</v>
      </c>
      <c r="G497" s="3">
        <v>0.292</v>
      </c>
      <c r="H497" s="3">
        <v>30</v>
      </c>
      <c r="I497">
        <v>0</v>
      </c>
    </row>
    <row r="498" spans="1:9">
      <c r="A498" s="3">
        <v>2</v>
      </c>
      <c r="B498" s="3">
        <v>81</v>
      </c>
      <c r="C498" s="3">
        <v>72</v>
      </c>
      <c r="D498" s="3">
        <v>15</v>
      </c>
      <c r="E498" s="3">
        <v>76</v>
      </c>
      <c r="F498" s="3">
        <v>30.1</v>
      </c>
      <c r="G498" s="3">
        <v>0.547</v>
      </c>
      <c r="H498" s="3">
        <v>25</v>
      </c>
      <c r="I498">
        <v>0</v>
      </c>
    </row>
    <row r="499" spans="1:9">
      <c r="A499" s="3">
        <v>7</v>
      </c>
      <c r="B499" s="3">
        <v>195</v>
      </c>
      <c r="C499" s="3">
        <v>70</v>
      </c>
      <c r="D499" s="3">
        <v>33</v>
      </c>
      <c r="E499" s="3">
        <v>145</v>
      </c>
      <c r="F499" s="3">
        <v>25.1</v>
      </c>
      <c r="G499" s="3">
        <v>0.163</v>
      </c>
      <c r="H499" s="3">
        <v>55</v>
      </c>
      <c r="I499">
        <v>1</v>
      </c>
    </row>
    <row r="500" spans="1:9">
      <c r="A500" s="3">
        <v>6</v>
      </c>
      <c r="B500" s="3">
        <v>154</v>
      </c>
      <c r="C500" s="3">
        <v>74</v>
      </c>
      <c r="D500" s="3">
        <v>32</v>
      </c>
      <c r="E500" s="3">
        <v>193</v>
      </c>
      <c r="F500" s="3">
        <v>29.3</v>
      </c>
      <c r="G500" s="3">
        <v>0.839</v>
      </c>
      <c r="H500" s="3">
        <v>39</v>
      </c>
      <c r="I500">
        <v>0</v>
      </c>
    </row>
    <row r="501" spans="1:9">
      <c r="A501" s="3">
        <v>2</v>
      </c>
      <c r="B501" s="3">
        <v>117</v>
      </c>
      <c r="C501" s="3">
        <v>90</v>
      </c>
      <c r="D501" s="3">
        <v>19</v>
      </c>
      <c r="E501" s="3">
        <v>71</v>
      </c>
      <c r="F501" s="3">
        <v>25.2</v>
      </c>
      <c r="G501" s="3">
        <v>0.313</v>
      </c>
      <c r="H501" s="3">
        <v>21</v>
      </c>
      <c r="I501">
        <v>0</v>
      </c>
    </row>
    <row r="502" spans="1:9">
      <c r="A502" s="3">
        <v>3</v>
      </c>
      <c r="B502" s="3">
        <v>84</v>
      </c>
      <c r="C502" s="3">
        <v>72</v>
      </c>
      <c r="D502" s="3">
        <v>32</v>
      </c>
      <c r="E502" s="3">
        <v>0</v>
      </c>
      <c r="F502" s="3">
        <v>37.2</v>
      </c>
      <c r="G502" s="3">
        <v>0.267</v>
      </c>
      <c r="H502" s="3">
        <v>28</v>
      </c>
      <c r="I502">
        <v>0</v>
      </c>
    </row>
    <row r="503" spans="1:9">
      <c r="A503" s="3">
        <v>6</v>
      </c>
      <c r="B503" s="3">
        <v>0</v>
      </c>
      <c r="C503" s="3">
        <v>68</v>
      </c>
      <c r="D503" s="3">
        <v>41</v>
      </c>
      <c r="E503" s="3">
        <v>0</v>
      </c>
      <c r="F503" s="3">
        <v>39</v>
      </c>
      <c r="G503" s="3">
        <v>0.727</v>
      </c>
      <c r="H503" s="3">
        <v>41</v>
      </c>
      <c r="I503">
        <v>1</v>
      </c>
    </row>
    <row r="504" spans="1:9">
      <c r="A504" s="3">
        <v>7</v>
      </c>
      <c r="B504" s="3">
        <v>94</v>
      </c>
      <c r="C504" s="3">
        <v>64</v>
      </c>
      <c r="D504" s="3">
        <v>25</v>
      </c>
      <c r="E504" s="3">
        <v>79</v>
      </c>
      <c r="F504" s="3">
        <v>33.3</v>
      </c>
      <c r="G504" s="3">
        <v>0.738</v>
      </c>
      <c r="H504" s="3">
        <v>41</v>
      </c>
      <c r="I504">
        <v>0</v>
      </c>
    </row>
    <row r="505" spans="1:9">
      <c r="A505" s="3">
        <v>3</v>
      </c>
      <c r="B505" s="3">
        <v>96</v>
      </c>
      <c r="C505" s="3">
        <v>78</v>
      </c>
      <c r="D505" s="3">
        <v>39</v>
      </c>
      <c r="E505" s="3">
        <v>0</v>
      </c>
      <c r="F505" s="3">
        <v>37.3</v>
      </c>
      <c r="G505" s="3">
        <v>0.238</v>
      </c>
      <c r="H505" s="3">
        <v>40</v>
      </c>
      <c r="I505">
        <v>0</v>
      </c>
    </row>
    <row r="506" spans="1:9">
      <c r="A506" s="3">
        <v>10</v>
      </c>
      <c r="B506" s="3">
        <v>75</v>
      </c>
      <c r="C506" s="3">
        <v>82</v>
      </c>
      <c r="D506" s="3">
        <v>0</v>
      </c>
      <c r="E506" s="3">
        <v>0</v>
      </c>
      <c r="F506" s="3">
        <v>33.3</v>
      </c>
      <c r="G506" s="3">
        <v>0.263</v>
      </c>
      <c r="H506" s="3">
        <v>38</v>
      </c>
      <c r="I506">
        <v>0</v>
      </c>
    </row>
    <row r="507" spans="1:9">
      <c r="A507" s="3">
        <v>0</v>
      </c>
      <c r="B507" s="3">
        <v>180</v>
      </c>
      <c r="C507" s="3">
        <v>90</v>
      </c>
      <c r="D507" s="3">
        <v>26</v>
      </c>
      <c r="E507" s="3">
        <v>90</v>
      </c>
      <c r="F507" s="3">
        <v>36.5</v>
      </c>
      <c r="G507" s="3">
        <v>0.314</v>
      </c>
      <c r="H507" s="3">
        <v>35</v>
      </c>
      <c r="I507">
        <v>1</v>
      </c>
    </row>
    <row r="508" spans="1:9">
      <c r="A508" s="3">
        <v>1</v>
      </c>
      <c r="B508" s="3">
        <v>130</v>
      </c>
      <c r="C508" s="3">
        <v>60</v>
      </c>
      <c r="D508" s="3">
        <v>23</v>
      </c>
      <c r="E508" s="3">
        <v>170</v>
      </c>
      <c r="F508" s="3">
        <v>28.6</v>
      </c>
      <c r="G508" s="3">
        <v>0.692</v>
      </c>
      <c r="H508" s="3">
        <v>21</v>
      </c>
      <c r="I508">
        <v>0</v>
      </c>
    </row>
    <row r="509" spans="1:9">
      <c r="A509" s="3">
        <v>2</v>
      </c>
      <c r="B509" s="3">
        <v>84</v>
      </c>
      <c r="C509" s="3">
        <v>50</v>
      </c>
      <c r="D509" s="3">
        <v>23</v>
      </c>
      <c r="E509" s="3">
        <v>76</v>
      </c>
      <c r="F509" s="3">
        <v>30.4</v>
      </c>
      <c r="G509" s="3">
        <v>0.968</v>
      </c>
      <c r="H509" s="3">
        <v>21</v>
      </c>
      <c r="I509">
        <v>0</v>
      </c>
    </row>
    <row r="510" spans="1:9">
      <c r="A510" s="3">
        <v>8</v>
      </c>
      <c r="B510" s="3">
        <v>120</v>
      </c>
      <c r="C510" s="3">
        <v>78</v>
      </c>
      <c r="D510" s="3">
        <v>0</v>
      </c>
      <c r="E510" s="3">
        <v>0</v>
      </c>
      <c r="F510" s="3">
        <v>25</v>
      </c>
      <c r="G510" s="3">
        <v>0.409</v>
      </c>
      <c r="H510" s="3">
        <v>64</v>
      </c>
      <c r="I510">
        <v>0</v>
      </c>
    </row>
    <row r="511" spans="1:9">
      <c r="A511" s="3">
        <v>12</v>
      </c>
      <c r="B511" s="3">
        <v>84</v>
      </c>
      <c r="C511" s="3">
        <v>72</v>
      </c>
      <c r="D511" s="3">
        <v>31</v>
      </c>
      <c r="E511" s="3">
        <v>0</v>
      </c>
      <c r="F511" s="3">
        <v>29.7</v>
      </c>
      <c r="G511" s="3">
        <v>0.297</v>
      </c>
      <c r="H511" s="3">
        <v>46</v>
      </c>
      <c r="I511">
        <v>1</v>
      </c>
    </row>
    <row r="512" spans="1:9">
      <c r="A512" s="3">
        <v>0</v>
      </c>
      <c r="B512" s="3">
        <v>139</v>
      </c>
      <c r="C512" s="3">
        <v>62</v>
      </c>
      <c r="D512" s="3">
        <v>17</v>
      </c>
      <c r="E512" s="3">
        <v>210</v>
      </c>
      <c r="F512" s="3">
        <v>22.1</v>
      </c>
      <c r="G512" s="3">
        <v>0.207</v>
      </c>
      <c r="H512" s="3">
        <v>21</v>
      </c>
      <c r="I512">
        <v>0</v>
      </c>
    </row>
    <row r="513" spans="1:9">
      <c r="A513" s="3">
        <v>9</v>
      </c>
      <c r="B513" s="3">
        <v>91</v>
      </c>
      <c r="C513" s="3">
        <v>68</v>
      </c>
      <c r="D513" s="3">
        <v>0</v>
      </c>
      <c r="E513" s="3">
        <v>0</v>
      </c>
      <c r="F513" s="3">
        <v>24.2</v>
      </c>
      <c r="G513" s="3">
        <v>0.2</v>
      </c>
      <c r="H513" s="3">
        <v>58</v>
      </c>
      <c r="I513">
        <v>0</v>
      </c>
    </row>
    <row r="514" spans="1:9">
      <c r="A514" s="3">
        <v>2</v>
      </c>
      <c r="B514" s="3">
        <v>91</v>
      </c>
      <c r="C514" s="3">
        <v>62</v>
      </c>
      <c r="D514" s="3">
        <v>0</v>
      </c>
      <c r="E514" s="3">
        <v>0</v>
      </c>
      <c r="F514" s="3">
        <v>27.3</v>
      </c>
      <c r="G514" s="3">
        <v>0.525</v>
      </c>
      <c r="H514" s="3">
        <v>22</v>
      </c>
      <c r="I514">
        <v>0</v>
      </c>
    </row>
    <row r="515" spans="1:9">
      <c r="A515" s="3">
        <v>3</v>
      </c>
      <c r="B515" s="3">
        <v>99</v>
      </c>
      <c r="C515" s="3">
        <v>54</v>
      </c>
      <c r="D515" s="3">
        <v>19</v>
      </c>
      <c r="E515" s="3">
        <v>86</v>
      </c>
      <c r="F515" s="3">
        <v>25.6</v>
      </c>
      <c r="G515" s="3">
        <v>0.154</v>
      </c>
      <c r="H515" s="3">
        <v>24</v>
      </c>
      <c r="I515">
        <v>0</v>
      </c>
    </row>
    <row r="516" spans="1:9">
      <c r="A516" s="3">
        <v>3</v>
      </c>
      <c r="B516" s="3">
        <v>163</v>
      </c>
      <c r="C516" s="3">
        <v>70</v>
      </c>
      <c r="D516" s="3">
        <v>18</v>
      </c>
      <c r="E516" s="3">
        <v>105</v>
      </c>
      <c r="F516" s="3">
        <v>31.6</v>
      </c>
      <c r="G516" s="3">
        <v>0.268</v>
      </c>
      <c r="H516" s="3">
        <v>28</v>
      </c>
      <c r="I516">
        <v>1</v>
      </c>
    </row>
    <row r="517" spans="1:9">
      <c r="A517" s="3">
        <v>9</v>
      </c>
      <c r="B517" s="3">
        <v>145</v>
      </c>
      <c r="C517" s="3">
        <v>88</v>
      </c>
      <c r="D517" s="3">
        <v>34</v>
      </c>
      <c r="E517" s="3">
        <v>165</v>
      </c>
      <c r="F517" s="3">
        <v>30.3</v>
      </c>
      <c r="G517" s="3">
        <v>0.771</v>
      </c>
      <c r="H517" s="3">
        <v>53</v>
      </c>
      <c r="I517">
        <v>1</v>
      </c>
    </row>
    <row r="518" spans="1:9">
      <c r="A518" s="3">
        <v>7</v>
      </c>
      <c r="B518" s="3">
        <v>125</v>
      </c>
      <c r="C518" s="3">
        <v>86</v>
      </c>
      <c r="D518" s="3">
        <v>0</v>
      </c>
      <c r="E518" s="3">
        <v>0</v>
      </c>
      <c r="F518" s="3">
        <v>37.6</v>
      </c>
      <c r="G518" s="3">
        <v>0.304</v>
      </c>
      <c r="H518" s="3">
        <v>51</v>
      </c>
      <c r="I518">
        <v>0</v>
      </c>
    </row>
    <row r="519" spans="1:9">
      <c r="A519" s="3">
        <v>13</v>
      </c>
      <c r="B519" s="3">
        <v>76</v>
      </c>
      <c r="C519" s="3">
        <v>60</v>
      </c>
      <c r="D519" s="3">
        <v>0</v>
      </c>
      <c r="E519" s="3">
        <v>0</v>
      </c>
      <c r="F519" s="3">
        <v>32.8</v>
      </c>
      <c r="G519" s="3">
        <v>0.18</v>
      </c>
      <c r="H519" s="3">
        <v>41</v>
      </c>
      <c r="I519">
        <v>0</v>
      </c>
    </row>
    <row r="520" spans="1:9">
      <c r="A520" s="3">
        <v>6</v>
      </c>
      <c r="B520" s="3">
        <v>129</v>
      </c>
      <c r="C520" s="3">
        <v>90</v>
      </c>
      <c r="D520" s="3">
        <v>7</v>
      </c>
      <c r="E520" s="3">
        <v>326</v>
      </c>
      <c r="F520" s="3">
        <v>19.6</v>
      </c>
      <c r="G520" s="3">
        <v>0.582</v>
      </c>
      <c r="H520" s="3">
        <v>60</v>
      </c>
      <c r="I520">
        <v>0</v>
      </c>
    </row>
    <row r="521" spans="1:9">
      <c r="A521" s="3">
        <v>2</v>
      </c>
      <c r="B521" s="3">
        <v>68</v>
      </c>
      <c r="C521" s="3">
        <v>70</v>
      </c>
      <c r="D521" s="3">
        <v>32</v>
      </c>
      <c r="E521" s="3">
        <v>66</v>
      </c>
      <c r="F521" s="3">
        <v>25</v>
      </c>
      <c r="G521" s="3">
        <v>0.187</v>
      </c>
      <c r="H521" s="3">
        <v>25</v>
      </c>
      <c r="I521">
        <v>0</v>
      </c>
    </row>
    <row r="522" spans="1:9">
      <c r="A522" s="3">
        <v>3</v>
      </c>
      <c r="B522" s="3">
        <v>124</v>
      </c>
      <c r="C522" s="3">
        <v>80</v>
      </c>
      <c r="D522" s="3">
        <v>33</v>
      </c>
      <c r="E522" s="3">
        <v>130</v>
      </c>
      <c r="F522" s="3">
        <v>33.2</v>
      </c>
      <c r="G522" s="3">
        <v>0.305</v>
      </c>
      <c r="H522" s="3">
        <v>26</v>
      </c>
      <c r="I522">
        <v>0</v>
      </c>
    </row>
    <row r="523" spans="1:9">
      <c r="A523" s="3">
        <v>6</v>
      </c>
      <c r="B523" s="3">
        <v>114</v>
      </c>
      <c r="C523" s="3">
        <v>0</v>
      </c>
      <c r="D523" s="3">
        <v>0</v>
      </c>
      <c r="E523" s="3">
        <v>0</v>
      </c>
      <c r="F523" s="3">
        <v>0</v>
      </c>
      <c r="G523" s="3">
        <v>0.189</v>
      </c>
      <c r="H523" s="3">
        <v>26</v>
      </c>
      <c r="I523">
        <v>0</v>
      </c>
    </row>
    <row r="524" spans="1:9">
      <c r="A524" s="3">
        <v>9</v>
      </c>
      <c r="B524" s="3">
        <v>130</v>
      </c>
      <c r="C524" s="3">
        <v>70</v>
      </c>
      <c r="D524" s="3">
        <v>0</v>
      </c>
      <c r="E524" s="3">
        <v>0</v>
      </c>
      <c r="F524" s="3">
        <v>34.2</v>
      </c>
      <c r="G524" s="3">
        <v>0.652</v>
      </c>
      <c r="H524" s="3">
        <v>45</v>
      </c>
      <c r="I524">
        <v>1</v>
      </c>
    </row>
    <row r="525" spans="1:9">
      <c r="A525" s="3">
        <v>3</v>
      </c>
      <c r="B525" s="3">
        <v>125</v>
      </c>
      <c r="C525" s="3">
        <v>58</v>
      </c>
      <c r="D525" s="3">
        <v>0</v>
      </c>
      <c r="E525" s="3">
        <v>0</v>
      </c>
      <c r="F525" s="3">
        <v>31.6</v>
      </c>
      <c r="G525" s="3">
        <v>0.151</v>
      </c>
      <c r="H525" s="3">
        <v>24</v>
      </c>
      <c r="I525">
        <v>0</v>
      </c>
    </row>
    <row r="526" spans="1:9">
      <c r="A526" s="3">
        <v>3</v>
      </c>
      <c r="B526" s="3">
        <v>87</v>
      </c>
      <c r="C526" s="3">
        <v>60</v>
      </c>
      <c r="D526" s="3">
        <v>18</v>
      </c>
      <c r="E526" s="3">
        <v>0</v>
      </c>
      <c r="F526" s="3">
        <v>21.8</v>
      </c>
      <c r="G526" s="3">
        <v>0.444</v>
      </c>
      <c r="H526" s="3">
        <v>21</v>
      </c>
      <c r="I526">
        <v>0</v>
      </c>
    </row>
    <row r="527" spans="1:9">
      <c r="A527" s="3">
        <v>1</v>
      </c>
      <c r="B527" s="3">
        <v>97</v>
      </c>
      <c r="C527" s="3">
        <v>64</v>
      </c>
      <c r="D527" s="3">
        <v>19</v>
      </c>
      <c r="E527" s="3">
        <v>82</v>
      </c>
      <c r="F527" s="3">
        <v>18.2</v>
      </c>
      <c r="G527" s="3">
        <v>0.299</v>
      </c>
      <c r="H527" s="3">
        <v>21</v>
      </c>
      <c r="I527">
        <v>0</v>
      </c>
    </row>
    <row r="528" spans="1:9">
      <c r="A528" s="3">
        <v>3</v>
      </c>
      <c r="B528" s="3">
        <v>116</v>
      </c>
      <c r="C528" s="3">
        <v>74</v>
      </c>
      <c r="D528" s="3">
        <v>15</v>
      </c>
      <c r="E528" s="3">
        <v>105</v>
      </c>
      <c r="F528" s="3">
        <v>26.3</v>
      </c>
      <c r="G528" s="3">
        <v>0.107</v>
      </c>
      <c r="H528" s="3">
        <v>24</v>
      </c>
      <c r="I528">
        <v>0</v>
      </c>
    </row>
    <row r="529" spans="1:9">
      <c r="A529" s="3">
        <v>0</v>
      </c>
      <c r="B529" s="3">
        <v>117</v>
      </c>
      <c r="C529" s="3">
        <v>66</v>
      </c>
      <c r="D529" s="3">
        <v>31</v>
      </c>
      <c r="E529" s="3">
        <v>188</v>
      </c>
      <c r="F529" s="3">
        <v>30.8</v>
      </c>
      <c r="G529" s="3">
        <v>0.493</v>
      </c>
      <c r="H529" s="3">
        <v>22</v>
      </c>
      <c r="I529">
        <v>0</v>
      </c>
    </row>
    <row r="530" spans="1:9">
      <c r="A530" s="3">
        <v>0</v>
      </c>
      <c r="B530" s="3">
        <v>111</v>
      </c>
      <c r="C530" s="3">
        <v>65</v>
      </c>
      <c r="D530" s="3">
        <v>0</v>
      </c>
      <c r="E530" s="3">
        <v>0</v>
      </c>
      <c r="F530" s="3">
        <v>24.6</v>
      </c>
      <c r="G530" s="3">
        <v>0.66</v>
      </c>
      <c r="H530" s="3">
        <v>31</v>
      </c>
      <c r="I530">
        <v>0</v>
      </c>
    </row>
    <row r="531" spans="1:9">
      <c r="A531" s="3">
        <v>2</v>
      </c>
      <c r="B531" s="3">
        <v>122</v>
      </c>
      <c r="C531" s="3">
        <v>60</v>
      </c>
      <c r="D531" s="3">
        <v>18</v>
      </c>
      <c r="E531" s="3">
        <v>106</v>
      </c>
      <c r="F531" s="3">
        <v>29.8</v>
      </c>
      <c r="G531" s="3">
        <v>0.717</v>
      </c>
      <c r="H531" s="3">
        <v>22</v>
      </c>
      <c r="I531">
        <v>0</v>
      </c>
    </row>
    <row r="532" spans="1:9">
      <c r="A532" s="3">
        <v>0</v>
      </c>
      <c r="B532" s="3">
        <v>107</v>
      </c>
      <c r="C532" s="3">
        <v>76</v>
      </c>
      <c r="D532" s="3">
        <v>0</v>
      </c>
      <c r="E532" s="3">
        <v>0</v>
      </c>
      <c r="F532" s="3">
        <v>45.3</v>
      </c>
      <c r="G532" s="3">
        <v>0.686</v>
      </c>
      <c r="H532" s="3">
        <v>24</v>
      </c>
      <c r="I532">
        <v>0</v>
      </c>
    </row>
    <row r="533" spans="1:9">
      <c r="A533" s="3">
        <v>1</v>
      </c>
      <c r="B533" s="3">
        <v>86</v>
      </c>
      <c r="C533" s="3">
        <v>66</v>
      </c>
      <c r="D533" s="3">
        <v>52</v>
      </c>
      <c r="E533" s="3">
        <v>65</v>
      </c>
      <c r="F533" s="3">
        <v>41.3</v>
      </c>
      <c r="G533" s="3">
        <v>0.917</v>
      </c>
      <c r="H533" s="3">
        <v>29</v>
      </c>
      <c r="I533">
        <v>0</v>
      </c>
    </row>
    <row r="534" spans="1:9">
      <c r="A534" s="3">
        <v>6</v>
      </c>
      <c r="B534" s="3">
        <v>91</v>
      </c>
      <c r="C534" s="3">
        <v>0</v>
      </c>
      <c r="D534" s="3">
        <v>0</v>
      </c>
      <c r="E534" s="3">
        <v>0</v>
      </c>
      <c r="F534" s="3">
        <v>29.8</v>
      </c>
      <c r="G534" s="3">
        <v>0.501</v>
      </c>
      <c r="H534" s="3">
        <v>31</v>
      </c>
      <c r="I534">
        <v>0</v>
      </c>
    </row>
    <row r="535" spans="1:9">
      <c r="A535" s="3">
        <v>1</v>
      </c>
      <c r="B535" s="3">
        <v>77</v>
      </c>
      <c r="C535" s="3">
        <v>56</v>
      </c>
      <c r="D535" s="3">
        <v>30</v>
      </c>
      <c r="E535" s="3">
        <v>56</v>
      </c>
      <c r="F535" s="3">
        <v>33.3</v>
      </c>
      <c r="G535" s="3">
        <v>1.251</v>
      </c>
      <c r="H535" s="3">
        <v>24</v>
      </c>
      <c r="I535">
        <v>0</v>
      </c>
    </row>
    <row r="536" spans="1:9">
      <c r="A536" s="3">
        <v>4</v>
      </c>
      <c r="B536" s="3">
        <v>132</v>
      </c>
      <c r="C536" s="3">
        <v>0</v>
      </c>
      <c r="D536" s="3">
        <v>0</v>
      </c>
      <c r="E536" s="3">
        <v>0</v>
      </c>
      <c r="F536" s="3">
        <v>32.9</v>
      </c>
      <c r="G536" s="3">
        <v>0.302</v>
      </c>
      <c r="H536" s="3">
        <v>23</v>
      </c>
      <c r="I536">
        <v>1</v>
      </c>
    </row>
    <row r="537" spans="1:9">
      <c r="A537" s="3">
        <v>0</v>
      </c>
      <c r="B537" s="3">
        <v>105</v>
      </c>
      <c r="C537" s="3">
        <v>90</v>
      </c>
      <c r="D537" s="3">
        <v>0</v>
      </c>
      <c r="E537" s="3">
        <v>0</v>
      </c>
      <c r="F537" s="3">
        <v>29.6</v>
      </c>
      <c r="G537" s="3">
        <v>0.197</v>
      </c>
      <c r="H537" s="3">
        <v>46</v>
      </c>
      <c r="I537">
        <v>0</v>
      </c>
    </row>
    <row r="538" spans="1:9">
      <c r="A538" s="3">
        <v>0</v>
      </c>
      <c r="B538" s="3">
        <v>57</v>
      </c>
      <c r="C538" s="3">
        <v>60</v>
      </c>
      <c r="D538" s="3">
        <v>0</v>
      </c>
      <c r="E538" s="3">
        <v>0</v>
      </c>
      <c r="F538" s="3">
        <v>21.7</v>
      </c>
      <c r="G538" s="3">
        <v>0.735</v>
      </c>
      <c r="H538" s="3">
        <v>67</v>
      </c>
      <c r="I538">
        <v>0</v>
      </c>
    </row>
    <row r="539" spans="1:9">
      <c r="A539" s="3">
        <v>0</v>
      </c>
      <c r="B539" s="3">
        <v>127</v>
      </c>
      <c r="C539" s="3">
        <v>80</v>
      </c>
      <c r="D539" s="3">
        <v>37</v>
      </c>
      <c r="E539" s="3">
        <v>210</v>
      </c>
      <c r="F539" s="3">
        <v>36.3</v>
      </c>
      <c r="G539" s="3">
        <v>0.804</v>
      </c>
      <c r="H539" s="3">
        <v>23</v>
      </c>
      <c r="I539">
        <v>0</v>
      </c>
    </row>
    <row r="540" spans="1:9">
      <c r="A540" s="3">
        <v>3</v>
      </c>
      <c r="B540" s="3">
        <v>129</v>
      </c>
      <c r="C540" s="3">
        <v>92</v>
      </c>
      <c r="D540" s="3">
        <v>49</v>
      </c>
      <c r="E540" s="3">
        <v>155</v>
      </c>
      <c r="F540" s="3">
        <v>36.4</v>
      </c>
      <c r="G540" s="3">
        <v>0.968</v>
      </c>
      <c r="H540" s="3">
        <v>32</v>
      </c>
      <c r="I540">
        <v>1</v>
      </c>
    </row>
    <row r="541" spans="1:9">
      <c r="A541" s="3">
        <v>8</v>
      </c>
      <c r="B541" s="3">
        <v>100</v>
      </c>
      <c r="C541" s="3">
        <v>74</v>
      </c>
      <c r="D541" s="3">
        <v>40</v>
      </c>
      <c r="E541" s="3">
        <v>215</v>
      </c>
      <c r="F541" s="3">
        <v>39.4</v>
      </c>
      <c r="G541" s="3">
        <v>0.661</v>
      </c>
      <c r="H541" s="3">
        <v>43</v>
      </c>
      <c r="I541">
        <v>1</v>
      </c>
    </row>
    <row r="542" spans="1:9">
      <c r="A542" s="3">
        <v>3</v>
      </c>
      <c r="B542" s="3">
        <v>128</v>
      </c>
      <c r="C542" s="3">
        <v>72</v>
      </c>
      <c r="D542" s="3">
        <v>25</v>
      </c>
      <c r="E542" s="3">
        <v>190</v>
      </c>
      <c r="F542" s="3">
        <v>32.4</v>
      </c>
      <c r="G542" s="3">
        <v>0.549</v>
      </c>
      <c r="H542" s="3">
        <v>27</v>
      </c>
      <c r="I542">
        <v>1</v>
      </c>
    </row>
    <row r="543" spans="1:9">
      <c r="A543" s="3">
        <v>10</v>
      </c>
      <c r="B543" s="3">
        <v>90</v>
      </c>
      <c r="C543" s="3">
        <v>85</v>
      </c>
      <c r="D543" s="3">
        <v>32</v>
      </c>
      <c r="E543" s="3">
        <v>0</v>
      </c>
      <c r="F543" s="3">
        <v>34.9</v>
      </c>
      <c r="G543" s="3">
        <v>0.825</v>
      </c>
      <c r="H543" s="3">
        <v>56</v>
      </c>
      <c r="I543">
        <v>1</v>
      </c>
    </row>
    <row r="544" spans="1:9">
      <c r="A544" s="3">
        <v>4</v>
      </c>
      <c r="B544" s="3">
        <v>84</v>
      </c>
      <c r="C544" s="3">
        <v>90</v>
      </c>
      <c r="D544" s="3">
        <v>23</v>
      </c>
      <c r="E544" s="3">
        <v>56</v>
      </c>
      <c r="F544" s="3">
        <v>39.5</v>
      </c>
      <c r="G544" s="3">
        <v>0.159</v>
      </c>
      <c r="H544" s="3">
        <v>25</v>
      </c>
      <c r="I544">
        <v>0</v>
      </c>
    </row>
    <row r="545" spans="1:9">
      <c r="A545" s="3">
        <v>1</v>
      </c>
      <c r="B545" s="3">
        <v>88</v>
      </c>
      <c r="C545" s="3">
        <v>78</v>
      </c>
      <c r="D545" s="3">
        <v>29</v>
      </c>
      <c r="E545" s="3">
        <v>76</v>
      </c>
      <c r="F545" s="3">
        <v>32</v>
      </c>
      <c r="G545" s="3">
        <v>0.365</v>
      </c>
      <c r="H545" s="3">
        <v>29</v>
      </c>
      <c r="I545">
        <v>0</v>
      </c>
    </row>
    <row r="546" spans="1:9">
      <c r="A546" s="3">
        <v>8</v>
      </c>
      <c r="B546" s="3">
        <v>186</v>
      </c>
      <c r="C546" s="3">
        <v>90</v>
      </c>
      <c r="D546" s="3">
        <v>35</v>
      </c>
      <c r="E546" s="3">
        <v>225</v>
      </c>
      <c r="F546" s="3">
        <v>34.5</v>
      </c>
      <c r="G546" s="3">
        <v>0.423</v>
      </c>
      <c r="H546" s="3">
        <v>37</v>
      </c>
      <c r="I546">
        <v>1</v>
      </c>
    </row>
    <row r="547" spans="1:9">
      <c r="A547" s="3">
        <v>5</v>
      </c>
      <c r="B547" s="3">
        <v>187</v>
      </c>
      <c r="C547" s="3">
        <v>76</v>
      </c>
      <c r="D547" s="3">
        <v>27</v>
      </c>
      <c r="E547" s="3">
        <v>207</v>
      </c>
      <c r="F547" s="3">
        <v>43.6</v>
      </c>
      <c r="G547" s="3">
        <v>1.034</v>
      </c>
      <c r="H547" s="3">
        <v>53</v>
      </c>
      <c r="I547">
        <v>1</v>
      </c>
    </row>
    <row r="548" spans="1:9">
      <c r="A548" s="3">
        <v>4</v>
      </c>
      <c r="B548" s="3">
        <v>131</v>
      </c>
      <c r="C548" s="3">
        <v>68</v>
      </c>
      <c r="D548" s="3">
        <v>21</v>
      </c>
      <c r="E548" s="3">
        <v>166</v>
      </c>
      <c r="F548" s="3">
        <v>33.1</v>
      </c>
      <c r="G548" s="3">
        <v>0.16</v>
      </c>
      <c r="H548" s="3">
        <v>28</v>
      </c>
      <c r="I548">
        <v>0</v>
      </c>
    </row>
    <row r="549" spans="1:9">
      <c r="A549" s="3">
        <v>1</v>
      </c>
      <c r="B549" s="3">
        <v>164</v>
      </c>
      <c r="C549" s="3">
        <v>82</v>
      </c>
      <c r="D549" s="3">
        <v>43</v>
      </c>
      <c r="E549" s="3">
        <v>67</v>
      </c>
      <c r="F549" s="3">
        <v>32.8</v>
      </c>
      <c r="G549" s="3">
        <v>0.341</v>
      </c>
      <c r="H549" s="3">
        <v>50</v>
      </c>
      <c r="I549">
        <v>0</v>
      </c>
    </row>
    <row r="550" spans="1:9">
      <c r="A550" s="3">
        <v>4</v>
      </c>
      <c r="B550" s="3">
        <v>189</v>
      </c>
      <c r="C550" s="3">
        <v>110</v>
      </c>
      <c r="D550" s="3">
        <v>31</v>
      </c>
      <c r="E550" s="3">
        <v>0</v>
      </c>
      <c r="F550" s="3">
        <v>28.5</v>
      </c>
      <c r="G550" s="3">
        <v>0.68</v>
      </c>
      <c r="H550" s="3">
        <v>37</v>
      </c>
      <c r="I550">
        <v>0</v>
      </c>
    </row>
    <row r="551" spans="1:9">
      <c r="A551" s="3">
        <v>1</v>
      </c>
      <c r="B551" s="3">
        <v>116</v>
      </c>
      <c r="C551" s="3">
        <v>70</v>
      </c>
      <c r="D551" s="3">
        <v>28</v>
      </c>
      <c r="E551" s="3">
        <v>0</v>
      </c>
      <c r="F551" s="3">
        <v>27.4</v>
      </c>
      <c r="G551" s="3">
        <v>0.204</v>
      </c>
      <c r="H551" s="3">
        <v>21</v>
      </c>
      <c r="I551">
        <v>0</v>
      </c>
    </row>
    <row r="552" spans="1:9">
      <c r="A552" s="3">
        <v>3</v>
      </c>
      <c r="B552" s="3">
        <v>84</v>
      </c>
      <c r="C552" s="3">
        <v>68</v>
      </c>
      <c r="D552" s="3">
        <v>30</v>
      </c>
      <c r="E552" s="3">
        <v>106</v>
      </c>
      <c r="F552" s="3">
        <v>31.9</v>
      </c>
      <c r="G552" s="3">
        <v>0.591</v>
      </c>
      <c r="H552" s="3">
        <v>25</v>
      </c>
      <c r="I552">
        <v>0</v>
      </c>
    </row>
    <row r="553" spans="1:9">
      <c r="A553" s="3">
        <v>6</v>
      </c>
      <c r="B553" s="3">
        <v>114</v>
      </c>
      <c r="C553" s="3">
        <v>88</v>
      </c>
      <c r="D553" s="3">
        <v>0</v>
      </c>
      <c r="E553" s="3">
        <v>0</v>
      </c>
      <c r="F553" s="3">
        <v>27.8</v>
      </c>
      <c r="G553" s="3">
        <v>0.247</v>
      </c>
      <c r="H553" s="3">
        <v>66</v>
      </c>
      <c r="I553">
        <v>0</v>
      </c>
    </row>
    <row r="554" spans="1:9">
      <c r="A554" s="3">
        <v>1</v>
      </c>
      <c r="B554" s="3">
        <v>88</v>
      </c>
      <c r="C554" s="3">
        <v>62</v>
      </c>
      <c r="D554" s="3">
        <v>24</v>
      </c>
      <c r="E554" s="3">
        <v>44</v>
      </c>
      <c r="F554" s="3">
        <v>29.9</v>
      </c>
      <c r="G554" s="3">
        <v>0.422</v>
      </c>
      <c r="H554" s="3">
        <v>23</v>
      </c>
      <c r="I554">
        <v>0</v>
      </c>
    </row>
    <row r="555" spans="1:9">
      <c r="A555" s="3">
        <v>1</v>
      </c>
      <c r="B555" s="3">
        <v>84</v>
      </c>
      <c r="C555" s="3">
        <v>64</v>
      </c>
      <c r="D555" s="3">
        <v>23</v>
      </c>
      <c r="E555" s="3">
        <v>115</v>
      </c>
      <c r="F555" s="3">
        <v>36.9</v>
      </c>
      <c r="G555" s="3">
        <v>0.471</v>
      </c>
      <c r="H555" s="3">
        <v>28</v>
      </c>
      <c r="I555">
        <v>0</v>
      </c>
    </row>
    <row r="556" spans="1:9">
      <c r="A556" s="3">
        <v>7</v>
      </c>
      <c r="B556" s="3">
        <v>124</v>
      </c>
      <c r="C556" s="3">
        <v>70</v>
      </c>
      <c r="D556" s="3">
        <v>33</v>
      </c>
      <c r="E556" s="3">
        <v>215</v>
      </c>
      <c r="F556" s="3">
        <v>25.5</v>
      </c>
      <c r="G556" s="3">
        <v>0.161</v>
      </c>
      <c r="H556" s="3">
        <v>37</v>
      </c>
      <c r="I556">
        <v>0</v>
      </c>
    </row>
    <row r="557" spans="1:9">
      <c r="A557" s="3">
        <v>1</v>
      </c>
      <c r="B557" s="3">
        <v>97</v>
      </c>
      <c r="C557" s="3">
        <v>70</v>
      </c>
      <c r="D557" s="3">
        <v>40</v>
      </c>
      <c r="E557" s="3">
        <v>0</v>
      </c>
      <c r="F557" s="3">
        <v>38.1</v>
      </c>
      <c r="G557" s="3">
        <v>0.218</v>
      </c>
      <c r="H557" s="3">
        <v>30</v>
      </c>
      <c r="I557">
        <v>0</v>
      </c>
    </row>
    <row r="558" spans="1:9">
      <c r="A558" s="3">
        <v>8</v>
      </c>
      <c r="B558" s="3">
        <v>110</v>
      </c>
      <c r="C558" s="3">
        <v>76</v>
      </c>
      <c r="D558" s="3">
        <v>0</v>
      </c>
      <c r="E558" s="3">
        <v>0</v>
      </c>
      <c r="F558" s="3">
        <v>27.8</v>
      </c>
      <c r="G558" s="3">
        <v>0.237</v>
      </c>
      <c r="H558" s="3">
        <v>58</v>
      </c>
      <c r="I558">
        <v>0</v>
      </c>
    </row>
    <row r="559" spans="1:9">
      <c r="A559" s="3">
        <v>11</v>
      </c>
      <c r="B559" s="3">
        <v>103</v>
      </c>
      <c r="C559" s="3">
        <v>68</v>
      </c>
      <c r="D559" s="3">
        <v>40</v>
      </c>
      <c r="E559" s="3">
        <v>0</v>
      </c>
      <c r="F559" s="3">
        <v>46.2</v>
      </c>
      <c r="G559" s="3">
        <v>0.126</v>
      </c>
      <c r="H559" s="3">
        <v>42</v>
      </c>
      <c r="I559">
        <v>0</v>
      </c>
    </row>
    <row r="560" spans="1:9">
      <c r="A560" s="3">
        <v>11</v>
      </c>
      <c r="B560" s="3">
        <v>85</v>
      </c>
      <c r="C560" s="3">
        <v>74</v>
      </c>
      <c r="D560" s="3">
        <v>0</v>
      </c>
      <c r="E560" s="3">
        <v>0</v>
      </c>
      <c r="F560" s="3">
        <v>30.1</v>
      </c>
      <c r="G560" s="3">
        <v>0.3</v>
      </c>
      <c r="H560" s="3">
        <v>35</v>
      </c>
      <c r="I560">
        <v>0</v>
      </c>
    </row>
    <row r="561" spans="1:9">
      <c r="A561" s="3">
        <v>6</v>
      </c>
      <c r="B561" s="3">
        <v>125</v>
      </c>
      <c r="C561" s="3">
        <v>76</v>
      </c>
      <c r="D561" s="3">
        <v>0</v>
      </c>
      <c r="E561" s="3">
        <v>0</v>
      </c>
      <c r="F561" s="3">
        <v>33.8</v>
      </c>
      <c r="G561" s="3">
        <v>0.121</v>
      </c>
      <c r="H561" s="3">
        <v>54</v>
      </c>
      <c r="I561">
        <v>1</v>
      </c>
    </row>
    <row r="562" spans="1:9">
      <c r="A562" s="3">
        <v>0</v>
      </c>
      <c r="B562" s="3">
        <v>198</v>
      </c>
      <c r="C562" s="3">
        <v>66</v>
      </c>
      <c r="D562" s="3">
        <v>32</v>
      </c>
      <c r="E562" s="3">
        <v>274</v>
      </c>
      <c r="F562" s="3">
        <v>41.3</v>
      </c>
      <c r="G562" s="3">
        <v>0.502</v>
      </c>
      <c r="H562" s="3">
        <v>28</v>
      </c>
      <c r="I562">
        <v>1</v>
      </c>
    </row>
    <row r="563" spans="1:9">
      <c r="A563" s="3">
        <v>1</v>
      </c>
      <c r="B563" s="3">
        <v>87</v>
      </c>
      <c r="C563" s="3">
        <v>68</v>
      </c>
      <c r="D563" s="3">
        <v>34</v>
      </c>
      <c r="E563" s="3">
        <v>77</v>
      </c>
      <c r="F563" s="3">
        <v>37.6</v>
      </c>
      <c r="G563" s="3">
        <v>0.401</v>
      </c>
      <c r="H563" s="3">
        <v>24</v>
      </c>
      <c r="I563">
        <v>0</v>
      </c>
    </row>
    <row r="564" spans="1:9">
      <c r="A564" s="3">
        <v>6</v>
      </c>
      <c r="B564" s="3">
        <v>99</v>
      </c>
      <c r="C564" s="3">
        <v>60</v>
      </c>
      <c r="D564" s="3">
        <v>19</v>
      </c>
      <c r="E564" s="3">
        <v>54</v>
      </c>
      <c r="F564" s="3">
        <v>26.9</v>
      </c>
      <c r="G564" s="3">
        <v>0.497</v>
      </c>
      <c r="H564" s="3">
        <v>32</v>
      </c>
      <c r="I564">
        <v>0</v>
      </c>
    </row>
    <row r="565" spans="1:9">
      <c r="A565" s="3">
        <v>0</v>
      </c>
      <c r="B565" s="3">
        <v>91</v>
      </c>
      <c r="C565" s="3">
        <v>80</v>
      </c>
      <c r="D565" s="3">
        <v>0</v>
      </c>
      <c r="E565" s="3">
        <v>0</v>
      </c>
      <c r="F565" s="3">
        <v>32.4</v>
      </c>
      <c r="G565" s="3">
        <v>0.601</v>
      </c>
      <c r="H565" s="3">
        <v>27</v>
      </c>
      <c r="I565">
        <v>0</v>
      </c>
    </row>
    <row r="566" spans="1:9">
      <c r="A566" s="3">
        <v>2</v>
      </c>
      <c r="B566" s="3">
        <v>95</v>
      </c>
      <c r="C566" s="3">
        <v>54</v>
      </c>
      <c r="D566" s="3">
        <v>14</v>
      </c>
      <c r="E566" s="3">
        <v>88</v>
      </c>
      <c r="F566" s="3">
        <v>26.1</v>
      </c>
      <c r="G566" s="3">
        <v>0.748</v>
      </c>
      <c r="H566" s="3">
        <v>22</v>
      </c>
      <c r="I566">
        <v>0</v>
      </c>
    </row>
    <row r="567" spans="1:9">
      <c r="A567" s="3">
        <v>1</v>
      </c>
      <c r="B567" s="3">
        <v>99</v>
      </c>
      <c r="C567" s="3">
        <v>72</v>
      </c>
      <c r="D567" s="3">
        <v>30</v>
      </c>
      <c r="E567" s="3">
        <v>18</v>
      </c>
      <c r="F567" s="3">
        <v>38.6</v>
      </c>
      <c r="G567" s="3">
        <v>0.412</v>
      </c>
      <c r="H567" s="3">
        <v>21</v>
      </c>
      <c r="I567">
        <v>0</v>
      </c>
    </row>
    <row r="568" spans="1:9">
      <c r="A568" s="3">
        <v>6</v>
      </c>
      <c r="B568" s="3">
        <v>92</v>
      </c>
      <c r="C568" s="3">
        <v>62</v>
      </c>
      <c r="D568" s="3">
        <v>32</v>
      </c>
      <c r="E568" s="3">
        <v>126</v>
      </c>
      <c r="F568" s="3">
        <v>32</v>
      </c>
      <c r="G568" s="3">
        <v>0.085</v>
      </c>
      <c r="H568" s="3">
        <v>46</v>
      </c>
      <c r="I568">
        <v>0</v>
      </c>
    </row>
    <row r="569" spans="1:9">
      <c r="A569" s="3">
        <v>4</v>
      </c>
      <c r="B569" s="3">
        <v>154</v>
      </c>
      <c r="C569" s="3">
        <v>72</v>
      </c>
      <c r="D569" s="3">
        <v>29</v>
      </c>
      <c r="E569" s="3">
        <v>126</v>
      </c>
      <c r="F569" s="3">
        <v>31.3</v>
      </c>
      <c r="G569" s="3">
        <v>0.338</v>
      </c>
      <c r="H569" s="3">
        <v>37</v>
      </c>
      <c r="I569">
        <v>0</v>
      </c>
    </row>
    <row r="570" spans="1:9">
      <c r="A570" s="3">
        <v>0</v>
      </c>
      <c r="B570" s="3">
        <v>121</v>
      </c>
      <c r="C570" s="3">
        <v>66</v>
      </c>
      <c r="D570" s="3">
        <v>30</v>
      </c>
      <c r="E570" s="3">
        <v>165</v>
      </c>
      <c r="F570" s="3">
        <v>34.3</v>
      </c>
      <c r="G570" s="3">
        <v>0.203</v>
      </c>
      <c r="H570" s="3">
        <v>33</v>
      </c>
      <c r="I570">
        <v>1</v>
      </c>
    </row>
    <row r="571" spans="1:9">
      <c r="A571" s="3">
        <v>3</v>
      </c>
      <c r="B571" s="3">
        <v>78</v>
      </c>
      <c r="C571" s="3">
        <v>70</v>
      </c>
      <c r="D571" s="3">
        <v>0</v>
      </c>
      <c r="E571" s="3">
        <v>0</v>
      </c>
      <c r="F571" s="3">
        <v>32.5</v>
      </c>
      <c r="G571" s="3">
        <v>0.27</v>
      </c>
      <c r="H571" s="3">
        <v>39</v>
      </c>
      <c r="I571">
        <v>0</v>
      </c>
    </row>
    <row r="572" spans="1:9">
      <c r="A572" s="3">
        <v>2</v>
      </c>
      <c r="B572" s="3">
        <v>130</v>
      </c>
      <c r="C572" s="3">
        <v>96</v>
      </c>
      <c r="D572" s="3">
        <v>0</v>
      </c>
      <c r="E572" s="3">
        <v>0</v>
      </c>
      <c r="F572" s="3">
        <v>22.6</v>
      </c>
      <c r="G572" s="3">
        <v>0.268</v>
      </c>
      <c r="H572" s="3">
        <v>21</v>
      </c>
      <c r="I572">
        <v>0</v>
      </c>
    </row>
    <row r="573" spans="1:9">
      <c r="A573" s="3">
        <v>3</v>
      </c>
      <c r="B573" s="3">
        <v>111</v>
      </c>
      <c r="C573" s="3">
        <v>58</v>
      </c>
      <c r="D573" s="3">
        <v>31</v>
      </c>
      <c r="E573" s="3">
        <v>44</v>
      </c>
      <c r="F573" s="3">
        <v>29.5</v>
      </c>
      <c r="G573" s="3">
        <v>0.43</v>
      </c>
      <c r="H573" s="3">
        <v>22</v>
      </c>
      <c r="I573">
        <v>0</v>
      </c>
    </row>
    <row r="574" spans="1:9">
      <c r="A574" s="3">
        <v>2</v>
      </c>
      <c r="B574" s="3">
        <v>98</v>
      </c>
      <c r="C574" s="3">
        <v>60</v>
      </c>
      <c r="D574" s="3">
        <v>17</v>
      </c>
      <c r="E574" s="3">
        <v>120</v>
      </c>
      <c r="F574" s="3">
        <v>34.7</v>
      </c>
      <c r="G574" s="3">
        <v>0.198</v>
      </c>
      <c r="H574" s="3">
        <v>22</v>
      </c>
      <c r="I574">
        <v>0</v>
      </c>
    </row>
    <row r="575" spans="1:9">
      <c r="A575" s="3">
        <v>1</v>
      </c>
      <c r="B575" s="3">
        <v>143</v>
      </c>
      <c r="C575" s="3">
        <v>86</v>
      </c>
      <c r="D575" s="3">
        <v>30</v>
      </c>
      <c r="E575" s="3">
        <v>330</v>
      </c>
      <c r="F575" s="3">
        <v>30.1</v>
      </c>
      <c r="G575" s="3">
        <v>0.892</v>
      </c>
      <c r="H575" s="3">
        <v>23</v>
      </c>
      <c r="I575">
        <v>0</v>
      </c>
    </row>
    <row r="576" spans="1:9">
      <c r="A576" s="3">
        <v>1</v>
      </c>
      <c r="B576" s="3">
        <v>119</v>
      </c>
      <c r="C576" s="3">
        <v>44</v>
      </c>
      <c r="D576" s="3">
        <v>47</v>
      </c>
      <c r="E576" s="3">
        <v>63</v>
      </c>
      <c r="F576" s="3">
        <v>35.5</v>
      </c>
      <c r="G576" s="3">
        <v>0.28</v>
      </c>
      <c r="H576" s="3">
        <v>25</v>
      </c>
      <c r="I576">
        <v>0</v>
      </c>
    </row>
    <row r="577" spans="1:9">
      <c r="A577" s="3">
        <v>6</v>
      </c>
      <c r="B577" s="3">
        <v>108</v>
      </c>
      <c r="C577" s="3">
        <v>44</v>
      </c>
      <c r="D577" s="3">
        <v>20</v>
      </c>
      <c r="E577" s="3">
        <v>130</v>
      </c>
      <c r="F577" s="3">
        <v>24</v>
      </c>
      <c r="G577" s="3">
        <v>0.813</v>
      </c>
      <c r="H577" s="3">
        <v>35</v>
      </c>
      <c r="I577">
        <v>0</v>
      </c>
    </row>
    <row r="578" spans="1:9">
      <c r="A578" s="3">
        <v>2</v>
      </c>
      <c r="B578" s="3">
        <v>118</v>
      </c>
      <c r="C578" s="3">
        <v>80</v>
      </c>
      <c r="D578" s="3">
        <v>0</v>
      </c>
      <c r="E578" s="3">
        <v>0</v>
      </c>
      <c r="F578" s="3">
        <v>42.9</v>
      </c>
      <c r="G578" s="3">
        <v>0.693</v>
      </c>
      <c r="H578" s="3">
        <v>21</v>
      </c>
      <c r="I578">
        <v>1</v>
      </c>
    </row>
    <row r="579" spans="1:9">
      <c r="A579" s="3">
        <v>10</v>
      </c>
      <c r="B579" s="3">
        <v>133</v>
      </c>
      <c r="C579" s="3">
        <v>68</v>
      </c>
      <c r="D579" s="3">
        <v>0</v>
      </c>
      <c r="E579" s="3">
        <v>0</v>
      </c>
      <c r="F579" s="3">
        <v>27</v>
      </c>
      <c r="G579" s="3">
        <v>0.245</v>
      </c>
      <c r="H579" s="3">
        <v>36</v>
      </c>
      <c r="I579">
        <v>0</v>
      </c>
    </row>
    <row r="580" spans="1:9">
      <c r="A580" s="3">
        <v>2</v>
      </c>
      <c r="B580" s="3">
        <v>197</v>
      </c>
      <c r="C580" s="3">
        <v>70</v>
      </c>
      <c r="D580" s="3">
        <v>99</v>
      </c>
      <c r="E580" s="3">
        <v>0</v>
      </c>
      <c r="F580" s="3">
        <v>34.7</v>
      </c>
      <c r="G580" s="3">
        <v>0.575</v>
      </c>
      <c r="H580" s="3">
        <v>62</v>
      </c>
      <c r="I580">
        <v>1</v>
      </c>
    </row>
    <row r="581" spans="1:9">
      <c r="A581" s="3">
        <v>0</v>
      </c>
      <c r="B581" s="3">
        <v>151</v>
      </c>
      <c r="C581" s="3">
        <v>90</v>
      </c>
      <c r="D581" s="3">
        <v>46</v>
      </c>
      <c r="E581" s="3">
        <v>0</v>
      </c>
      <c r="F581" s="3">
        <v>42.1</v>
      </c>
      <c r="G581" s="3">
        <v>0.371</v>
      </c>
      <c r="H581" s="3">
        <v>21</v>
      </c>
      <c r="I581">
        <v>1</v>
      </c>
    </row>
    <row r="582" spans="1:9">
      <c r="A582" s="3">
        <v>6</v>
      </c>
      <c r="B582" s="3">
        <v>109</v>
      </c>
      <c r="C582" s="3">
        <v>60</v>
      </c>
      <c r="D582" s="3">
        <v>27</v>
      </c>
      <c r="E582" s="3">
        <v>0</v>
      </c>
      <c r="F582" s="3">
        <v>25</v>
      </c>
      <c r="G582" s="3">
        <v>0.206</v>
      </c>
      <c r="H582" s="3">
        <v>27</v>
      </c>
      <c r="I582">
        <v>0</v>
      </c>
    </row>
    <row r="583" spans="1:9">
      <c r="A583" s="3">
        <v>12</v>
      </c>
      <c r="B583" s="3">
        <v>121</v>
      </c>
      <c r="C583" s="3">
        <v>78</v>
      </c>
      <c r="D583" s="3">
        <v>17</v>
      </c>
      <c r="E583" s="3">
        <v>0</v>
      </c>
      <c r="F583" s="3">
        <v>26.5</v>
      </c>
      <c r="G583" s="3">
        <v>0.259</v>
      </c>
      <c r="H583" s="3">
        <v>62</v>
      </c>
      <c r="I583">
        <v>0</v>
      </c>
    </row>
    <row r="584" spans="1:9">
      <c r="A584" s="3">
        <v>8</v>
      </c>
      <c r="B584" s="3">
        <v>100</v>
      </c>
      <c r="C584" s="3">
        <v>76</v>
      </c>
      <c r="D584" s="3">
        <v>0</v>
      </c>
      <c r="E584" s="3">
        <v>0</v>
      </c>
      <c r="F584" s="3">
        <v>38.7</v>
      </c>
      <c r="G584" s="3">
        <v>0.19</v>
      </c>
      <c r="H584" s="3">
        <v>42</v>
      </c>
      <c r="I584">
        <v>0</v>
      </c>
    </row>
    <row r="585" spans="1:9">
      <c r="A585" s="3">
        <v>8</v>
      </c>
      <c r="B585" s="3">
        <v>124</v>
      </c>
      <c r="C585" s="3">
        <v>76</v>
      </c>
      <c r="D585" s="3">
        <v>24</v>
      </c>
      <c r="E585" s="3">
        <v>600</v>
      </c>
      <c r="F585" s="3">
        <v>28.7</v>
      </c>
      <c r="G585" s="3">
        <v>0.687</v>
      </c>
      <c r="H585" s="3">
        <v>52</v>
      </c>
      <c r="I585">
        <v>1</v>
      </c>
    </row>
    <row r="586" spans="1:9">
      <c r="A586" s="3">
        <v>1</v>
      </c>
      <c r="B586" s="3">
        <v>93</v>
      </c>
      <c r="C586" s="3">
        <v>56</v>
      </c>
      <c r="D586" s="3">
        <v>11</v>
      </c>
      <c r="E586" s="3">
        <v>0</v>
      </c>
      <c r="F586" s="3">
        <v>22.5</v>
      </c>
      <c r="G586" s="3">
        <v>0.417</v>
      </c>
      <c r="H586" s="3">
        <v>22</v>
      </c>
      <c r="I586">
        <v>0</v>
      </c>
    </row>
    <row r="587" spans="1:9">
      <c r="A587" s="3">
        <v>8</v>
      </c>
      <c r="B587" s="3">
        <v>143</v>
      </c>
      <c r="C587" s="3">
        <v>66</v>
      </c>
      <c r="D587" s="3">
        <v>0</v>
      </c>
      <c r="E587" s="3">
        <v>0</v>
      </c>
      <c r="F587" s="3">
        <v>34.9</v>
      </c>
      <c r="G587" s="3">
        <v>0.129</v>
      </c>
      <c r="H587" s="3">
        <v>41</v>
      </c>
      <c r="I587">
        <v>1</v>
      </c>
    </row>
    <row r="588" spans="1:9">
      <c r="A588" s="3">
        <v>6</v>
      </c>
      <c r="B588" s="3">
        <v>103</v>
      </c>
      <c r="C588" s="3">
        <v>66</v>
      </c>
      <c r="D588" s="3">
        <v>0</v>
      </c>
      <c r="E588" s="3">
        <v>0</v>
      </c>
      <c r="F588" s="3">
        <v>24.3</v>
      </c>
      <c r="G588" s="3">
        <v>0.249</v>
      </c>
      <c r="H588" s="3">
        <v>29</v>
      </c>
      <c r="I588">
        <v>0</v>
      </c>
    </row>
    <row r="589" spans="1:9">
      <c r="A589" s="3">
        <v>3</v>
      </c>
      <c r="B589" s="3">
        <v>176</v>
      </c>
      <c r="C589" s="3">
        <v>86</v>
      </c>
      <c r="D589" s="3">
        <v>27</v>
      </c>
      <c r="E589" s="3">
        <v>156</v>
      </c>
      <c r="F589" s="3">
        <v>33.3</v>
      </c>
      <c r="G589" s="3">
        <v>1.154</v>
      </c>
      <c r="H589" s="3">
        <v>52</v>
      </c>
      <c r="I589">
        <v>1</v>
      </c>
    </row>
    <row r="590" spans="1:9">
      <c r="A590" s="3">
        <v>0</v>
      </c>
      <c r="B590" s="3">
        <v>73</v>
      </c>
      <c r="C590" s="3">
        <v>0</v>
      </c>
      <c r="D590" s="3">
        <v>0</v>
      </c>
      <c r="E590" s="3">
        <v>0</v>
      </c>
      <c r="F590" s="3">
        <v>21.1</v>
      </c>
      <c r="G590" s="3">
        <v>0.342</v>
      </c>
      <c r="H590" s="3">
        <v>25</v>
      </c>
      <c r="I590">
        <v>0</v>
      </c>
    </row>
    <row r="591" spans="1:9">
      <c r="A591" s="3">
        <v>11</v>
      </c>
      <c r="B591" s="3">
        <v>111</v>
      </c>
      <c r="C591" s="3">
        <v>84</v>
      </c>
      <c r="D591" s="3">
        <v>40</v>
      </c>
      <c r="E591" s="3">
        <v>0</v>
      </c>
      <c r="F591" s="3">
        <v>46.8</v>
      </c>
      <c r="G591" s="3">
        <v>0.925</v>
      </c>
      <c r="H591" s="3">
        <v>45</v>
      </c>
      <c r="I591">
        <v>1</v>
      </c>
    </row>
    <row r="592" spans="1:9">
      <c r="A592" s="3">
        <v>2</v>
      </c>
      <c r="B592" s="3">
        <v>112</v>
      </c>
      <c r="C592" s="3">
        <v>78</v>
      </c>
      <c r="D592" s="3">
        <v>50</v>
      </c>
      <c r="E592" s="3">
        <v>140</v>
      </c>
      <c r="F592" s="3">
        <v>39.4</v>
      </c>
      <c r="G592" s="3">
        <v>0.175</v>
      </c>
      <c r="H592" s="3">
        <v>24</v>
      </c>
      <c r="I592">
        <v>0</v>
      </c>
    </row>
    <row r="593" spans="1:9">
      <c r="A593" s="3">
        <v>3</v>
      </c>
      <c r="B593" s="3">
        <v>132</v>
      </c>
      <c r="C593" s="3">
        <v>80</v>
      </c>
      <c r="D593" s="3">
        <v>0</v>
      </c>
      <c r="E593" s="3">
        <v>0</v>
      </c>
      <c r="F593" s="3">
        <v>34.4</v>
      </c>
      <c r="G593" s="3">
        <v>0.402</v>
      </c>
      <c r="H593" s="3">
        <v>44</v>
      </c>
      <c r="I593">
        <v>1</v>
      </c>
    </row>
    <row r="594" spans="1:9">
      <c r="A594" s="3">
        <v>2</v>
      </c>
      <c r="B594" s="3">
        <v>82</v>
      </c>
      <c r="C594" s="3">
        <v>52</v>
      </c>
      <c r="D594" s="3">
        <v>22</v>
      </c>
      <c r="E594" s="3">
        <v>115</v>
      </c>
      <c r="F594" s="3">
        <v>28.5</v>
      </c>
      <c r="G594" s="3">
        <v>1.699</v>
      </c>
      <c r="H594" s="3">
        <v>25</v>
      </c>
      <c r="I594">
        <v>0</v>
      </c>
    </row>
    <row r="595" spans="1:9">
      <c r="A595" s="3">
        <v>6</v>
      </c>
      <c r="B595" s="3">
        <v>123</v>
      </c>
      <c r="C595" s="3">
        <v>72</v>
      </c>
      <c r="D595" s="3">
        <v>45</v>
      </c>
      <c r="E595" s="3">
        <v>230</v>
      </c>
      <c r="F595" s="3">
        <v>33.6</v>
      </c>
      <c r="G595" s="3">
        <v>0.733</v>
      </c>
      <c r="H595" s="3">
        <v>34</v>
      </c>
      <c r="I595">
        <v>0</v>
      </c>
    </row>
    <row r="596" spans="1:9">
      <c r="A596" s="3">
        <v>0</v>
      </c>
      <c r="B596" s="3">
        <v>188</v>
      </c>
      <c r="C596" s="3">
        <v>82</v>
      </c>
      <c r="D596" s="3">
        <v>14</v>
      </c>
      <c r="E596" s="3">
        <v>185</v>
      </c>
      <c r="F596" s="3">
        <v>32</v>
      </c>
      <c r="G596" s="3">
        <v>0.682</v>
      </c>
      <c r="H596" s="3">
        <v>22</v>
      </c>
      <c r="I596">
        <v>1</v>
      </c>
    </row>
    <row r="597" spans="1:9">
      <c r="A597" s="3">
        <v>0</v>
      </c>
      <c r="B597" s="3">
        <v>67</v>
      </c>
      <c r="C597" s="3">
        <v>76</v>
      </c>
      <c r="D597" s="3">
        <v>0</v>
      </c>
      <c r="E597" s="3">
        <v>0</v>
      </c>
      <c r="F597" s="3">
        <v>45.3</v>
      </c>
      <c r="G597" s="3">
        <v>0.194</v>
      </c>
      <c r="H597" s="3">
        <v>46</v>
      </c>
      <c r="I597">
        <v>0</v>
      </c>
    </row>
    <row r="598" spans="1:9">
      <c r="A598" s="3">
        <v>1</v>
      </c>
      <c r="B598" s="3">
        <v>89</v>
      </c>
      <c r="C598" s="3">
        <v>24</v>
      </c>
      <c r="D598" s="3">
        <v>19</v>
      </c>
      <c r="E598" s="3">
        <v>25</v>
      </c>
      <c r="F598" s="3">
        <v>27.8</v>
      </c>
      <c r="G598" s="3">
        <v>0.559</v>
      </c>
      <c r="H598" s="3">
        <v>21</v>
      </c>
      <c r="I598">
        <v>0</v>
      </c>
    </row>
    <row r="599" spans="1:9">
      <c r="A599" s="3">
        <v>1</v>
      </c>
      <c r="B599" s="3">
        <v>173</v>
      </c>
      <c r="C599" s="3">
        <v>74</v>
      </c>
      <c r="D599" s="3">
        <v>0</v>
      </c>
      <c r="E599" s="3">
        <v>0</v>
      </c>
      <c r="F599" s="3">
        <v>36.8</v>
      </c>
      <c r="G599" s="3">
        <v>0.088</v>
      </c>
      <c r="H599" s="3">
        <v>38</v>
      </c>
      <c r="I599">
        <v>1</v>
      </c>
    </row>
    <row r="600" spans="1:9">
      <c r="A600" s="3">
        <v>1</v>
      </c>
      <c r="B600" s="3">
        <v>109</v>
      </c>
      <c r="C600" s="3">
        <v>38</v>
      </c>
      <c r="D600" s="3">
        <v>18</v>
      </c>
      <c r="E600" s="3">
        <v>120</v>
      </c>
      <c r="F600" s="3">
        <v>23.1</v>
      </c>
      <c r="G600" s="3">
        <v>0.407</v>
      </c>
      <c r="H600" s="3">
        <v>26</v>
      </c>
      <c r="I600">
        <v>0</v>
      </c>
    </row>
    <row r="601" spans="1:9">
      <c r="A601" s="3">
        <v>1</v>
      </c>
      <c r="B601" s="3">
        <v>108</v>
      </c>
      <c r="C601" s="3">
        <v>88</v>
      </c>
      <c r="D601" s="3">
        <v>19</v>
      </c>
      <c r="E601" s="3">
        <v>0</v>
      </c>
      <c r="F601" s="3">
        <v>27.1</v>
      </c>
      <c r="G601" s="3">
        <v>0.4</v>
      </c>
      <c r="H601" s="3">
        <v>24</v>
      </c>
      <c r="I601">
        <v>0</v>
      </c>
    </row>
    <row r="602" spans="1:9">
      <c r="A602" s="3">
        <v>6</v>
      </c>
      <c r="B602" s="3">
        <v>96</v>
      </c>
      <c r="C602" s="3">
        <v>0</v>
      </c>
      <c r="D602" s="3">
        <v>0</v>
      </c>
      <c r="E602" s="3">
        <v>0</v>
      </c>
      <c r="F602" s="3">
        <v>23.7</v>
      </c>
      <c r="G602" s="3">
        <v>0.19</v>
      </c>
      <c r="H602" s="3">
        <v>28</v>
      </c>
      <c r="I602">
        <v>0</v>
      </c>
    </row>
    <row r="603" spans="1:9">
      <c r="A603" s="3">
        <v>1</v>
      </c>
      <c r="B603" s="3">
        <v>124</v>
      </c>
      <c r="C603" s="3">
        <v>74</v>
      </c>
      <c r="D603" s="3">
        <v>36</v>
      </c>
      <c r="E603" s="3">
        <v>0</v>
      </c>
      <c r="F603" s="3">
        <v>27.8</v>
      </c>
      <c r="G603" s="3">
        <v>0.1</v>
      </c>
      <c r="H603" s="3">
        <v>30</v>
      </c>
      <c r="I603">
        <v>0</v>
      </c>
    </row>
    <row r="604" spans="1:9">
      <c r="A604" s="3">
        <v>7</v>
      </c>
      <c r="B604" s="3">
        <v>150</v>
      </c>
      <c r="C604" s="3">
        <v>78</v>
      </c>
      <c r="D604" s="3">
        <v>29</v>
      </c>
      <c r="E604" s="3">
        <v>126</v>
      </c>
      <c r="F604" s="3">
        <v>35.2</v>
      </c>
      <c r="G604" s="3">
        <v>0.692</v>
      </c>
      <c r="H604" s="3">
        <v>54</v>
      </c>
      <c r="I604">
        <v>1</v>
      </c>
    </row>
    <row r="605" spans="1:9">
      <c r="A605" s="3">
        <v>4</v>
      </c>
      <c r="B605" s="3">
        <v>183</v>
      </c>
      <c r="C605" s="3">
        <v>0</v>
      </c>
      <c r="D605" s="3">
        <v>0</v>
      </c>
      <c r="E605" s="3">
        <v>0</v>
      </c>
      <c r="F605" s="3">
        <v>28.4</v>
      </c>
      <c r="G605" s="3">
        <v>0.212</v>
      </c>
      <c r="H605" s="3">
        <v>36</v>
      </c>
      <c r="I605">
        <v>1</v>
      </c>
    </row>
    <row r="606" spans="1:9">
      <c r="A606" s="3">
        <v>1</v>
      </c>
      <c r="B606" s="3">
        <v>124</v>
      </c>
      <c r="C606" s="3">
        <v>60</v>
      </c>
      <c r="D606" s="3">
        <v>32</v>
      </c>
      <c r="E606" s="3">
        <v>0</v>
      </c>
      <c r="F606" s="3">
        <v>35.8</v>
      </c>
      <c r="G606" s="3">
        <v>0.514</v>
      </c>
      <c r="H606" s="3">
        <v>21</v>
      </c>
      <c r="I606">
        <v>0</v>
      </c>
    </row>
    <row r="607" spans="1:9">
      <c r="A607" s="3">
        <v>1</v>
      </c>
      <c r="B607" s="3">
        <v>181</v>
      </c>
      <c r="C607" s="3">
        <v>78</v>
      </c>
      <c r="D607" s="3">
        <v>42</v>
      </c>
      <c r="E607" s="3">
        <v>293</v>
      </c>
      <c r="F607" s="3">
        <v>40</v>
      </c>
      <c r="G607" s="3">
        <v>1.258</v>
      </c>
      <c r="H607" s="3">
        <v>22</v>
      </c>
      <c r="I607">
        <v>1</v>
      </c>
    </row>
    <row r="608" spans="1:9">
      <c r="A608" s="3">
        <v>1</v>
      </c>
      <c r="B608" s="3">
        <v>92</v>
      </c>
      <c r="C608" s="3">
        <v>62</v>
      </c>
      <c r="D608" s="3">
        <v>25</v>
      </c>
      <c r="E608" s="3">
        <v>41</v>
      </c>
      <c r="F608" s="3">
        <v>19.5</v>
      </c>
      <c r="G608" s="3">
        <v>0.482</v>
      </c>
      <c r="H608" s="3">
        <v>25</v>
      </c>
      <c r="I608">
        <v>0</v>
      </c>
    </row>
    <row r="609" spans="1:9">
      <c r="A609" s="3">
        <v>0</v>
      </c>
      <c r="B609" s="3">
        <v>152</v>
      </c>
      <c r="C609" s="3">
        <v>82</v>
      </c>
      <c r="D609" s="3">
        <v>39</v>
      </c>
      <c r="E609" s="3">
        <v>272</v>
      </c>
      <c r="F609" s="3">
        <v>41.5</v>
      </c>
      <c r="G609" s="3">
        <v>0.27</v>
      </c>
      <c r="H609" s="3">
        <v>27</v>
      </c>
      <c r="I609">
        <v>0</v>
      </c>
    </row>
    <row r="610" spans="1:9">
      <c r="A610" s="3">
        <v>1</v>
      </c>
      <c r="B610" s="3">
        <v>111</v>
      </c>
      <c r="C610" s="3">
        <v>62</v>
      </c>
      <c r="D610" s="3">
        <v>13</v>
      </c>
      <c r="E610" s="3">
        <v>182</v>
      </c>
      <c r="F610" s="3">
        <v>24</v>
      </c>
      <c r="G610" s="3">
        <v>0.138</v>
      </c>
      <c r="H610" s="3">
        <v>23</v>
      </c>
      <c r="I610">
        <v>0</v>
      </c>
    </row>
    <row r="611" spans="1:9">
      <c r="A611" s="3">
        <v>3</v>
      </c>
      <c r="B611" s="3">
        <v>106</v>
      </c>
      <c r="C611" s="3">
        <v>54</v>
      </c>
      <c r="D611" s="3">
        <v>21</v>
      </c>
      <c r="E611" s="3">
        <v>158</v>
      </c>
      <c r="F611" s="3">
        <v>30.9</v>
      </c>
      <c r="G611" s="3">
        <v>0.292</v>
      </c>
      <c r="H611" s="3">
        <v>24</v>
      </c>
      <c r="I611">
        <v>0</v>
      </c>
    </row>
    <row r="612" spans="1:9">
      <c r="A612" s="3">
        <v>3</v>
      </c>
      <c r="B612" s="3">
        <v>174</v>
      </c>
      <c r="C612" s="3">
        <v>58</v>
      </c>
      <c r="D612" s="3">
        <v>22</v>
      </c>
      <c r="E612" s="3">
        <v>194</v>
      </c>
      <c r="F612" s="3">
        <v>32.9</v>
      </c>
      <c r="G612" s="3">
        <v>0.593</v>
      </c>
      <c r="H612" s="3">
        <v>36</v>
      </c>
      <c r="I612">
        <v>1</v>
      </c>
    </row>
    <row r="613" spans="1:9">
      <c r="A613" s="3">
        <v>7</v>
      </c>
      <c r="B613" s="3">
        <v>168</v>
      </c>
      <c r="C613" s="3">
        <v>88</v>
      </c>
      <c r="D613" s="3">
        <v>42</v>
      </c>
      <c r="E613" s="3">
        <v>321</v>
      </c>
      <c r="F613" s="3">
        <v>38.2</v>
      </c>
      <c r="G613" s="3">
        <v>0.787</v>
      </c>
      <c r="H613" s="3">
        <v>40</v>
      </c>
      <c r="I613">
        <v>1</v>
      </c>
    </row>
    <row r="614" spans="1:9">
      <c r="A614" s="3">
        <v>6</v>
      </c>
      <c r="B614" s="3">
        <v>105</v>
      </c>
      <c r="C614" s="3">
        <v>80</v>
      </c>
      <c r="D614" s="3">
        <v>28</v>
      </c>
      <c r="E614" s="3">
        <v>0</v>
      </c>
      <c r="F614" s="3">
        <v>32.5</v>
      </c>
      <c r="G614" s="3">
        <v>0.878</v>
      </c>
      <c r="H614" s="3">
        <v>26</v>
      </c>
      <c r="I614">
        <v>0</v>
      </c>
    </row>
    <row r="615" spans="1:9">
      <c r="A615" s="3">
        <v>11</v>
      </c>
      <c r="B615" s="3">
        <v>138</v>
      </c>
      <c r="C615" s="3">
        <v>74</v>
      </c>
      <c r="D615" s="3">
        <v>26</v>
      </c>
      <c r="E615" s="3">
        <v>144</v>
      </c>
      <c r="F615" s="3">
        <v>36.1</v>
      </c>
      <c r="G615" s="3">
        <v>0.557</v>
      </c>
      <c r="H615" s="3">
        <v>50</v>
      </c>
      <c r="I615">
        <v>1</v>
      </c>
    </row>
    <row r="616" spans="1:9">
      <c r="A616" s="3">
        <v>3</v>
      </c>
      <c r="B616" s="3">
        <v>106</v>
      </c>
      <c r="C616" s="3">
        <v>72</v>
      </c>
      <c r="D616" s="3">
        <v>0</v>
      </c>
      <c r="E616" s="3">
        <v>0</v>
      </c>
      <c r="F616" s="3">
        <v>25.8</v>
      </c>
      <c r="G616" s="3">
        <v>0.207</v>
      </c>
      <c r="H616" s="3">
        <v>27</v>
      </c>
      <c r="I616">
        <v>0</v>
      </c>
    </row>
    <row r="617" spans="1:9">
      <c r="A617" s="3">
        <v>6</v>
      </c>
      <c r="B617" s="3">
        <v>117</v>
      </c>
      <c r="C617" s="3">
        <v>96</v>
      </c>
      <c r="D617" s="3">
        <v>0</v>
      </c>
      <c r="E617" s="3">
        <v>0</v>
      </c>
      <c r="F617" s="3">
        <v>28.7</v>
      </c>
      <c r="G617" s="3">
        <v>0.157</v>
      </c>
      <c r="H617" s="3">
        <v>30</v>
      </c>
      <c r="I617">
        <v>0</v>
      </c>
    </row>
    <row r="618" spans="1:9">
      <c r="A618" s="3">
        <v>2</v>
      </c>
      <c r="B618" s="3">
        <v>68</v>
      </c>
      <c r="C618" s="3">
        <v>62</v>
      </c>
      <c r="D618" s="3">
        <v>13</v>
      </c>
      <c r="E618" s="3">
        <v>15</v>
      </c>
      <c r="F618" s="3">
        <v>20.1</v>
      </c>
      <c r="G618" s="3">
        <v>0.257</v>
      </c>
      <c r="H618" s="3">
        <v>23</v>
      </c>
      <c r="I618">
        <v>0</v>
      </c>
    </row>
    <row r="619" spans="1:9">
      <c r="A619" s="3">
        <v>9</v>
      </c>
      <c r="B619" s="3">
        <v>112</v>
      </c>
      <c r="C619" s="3">
        <v>82</v>
      </c>
      <c r="D619" s="3">
        <v>24</v>
      </c>
      <c r="E619" s="3">
        <v>0</v>
      </c>
      <c r="F619" s="3">
        <v>28.2</v>
      </c>
      <c r="G619" s="3">
        <v>1.282</v>
      </c>
      <c r="H619" s="3">
        <v>50</v>
      </c>
      <c r="I619">
        <v>1</v>
      </c>
    </row>
    <row r="620" spans="1:9">
      <c r="A620" s="3">
        <v>0</v>
      </c>
      <c r="B620" s="3">
        <v>119</v>
      </c>
      <c r="C620" s="3">
        <v>0</v>
      </c>
      <c r="D620" s="3">
        <v>0</v>
      </c>
      <c r="E620" s="3">
        <v>0</v>
      </c>
      <c r="F620" s="3">
        <v>32.4</v>
      </c>
      <c r="G620" s="3">
        <v>0.141</v>
      </c>
      <c r="H620" s="3">
        <v>24</v>
      </c>
      <c r="I620">
        <v>1</v>
      </c>
    </row>
    <row r="621" spans="1:9">
      <c r="A621" s="3">
        <v>2</v>
      </c>
      <c r="B621" s="3">
        <v>112</v>
      </c>
      <c r="C621" s="3">
        <v>86</v>
      </c>
      <c r="D621" s="3">
        <v>42</v>
      </c>
      <c r="E621" s="3">
        <v>160</v>
      </c>
      <c r="F621" s="3">
        <v>38.4</v>
      </c>
      <c r="G621" s="3">
        <v>0.246</v>
      </c>
      <c r="H621" s="3">
        <v>28</v>
      </c>
      <c r="I621">
        <v>0</v>
      </c>
    </row>
    <row r="622" spans="1:9">
      <c r="A622" s="3">
        <v>2</v>
      </c>
      <c r="B622" s="3">
        <v>92</v>
      </c>
      <c r="C622" s="3">
        <v>76</v>
      </c>
      <c r="D622" s="3">
        <v>20</v>
      </c>
      <c r="E622" s="3">
        <v>0</v>
      </c>
      <c r="F622" s="3">
        <v>24.2</v>
      </c>
      <c r="G622" s="3">
        <v>1.698</v>
      </c>
      <c r="H622" s="3">
        <v>28</v>
      </c>
      <c r="I622">
        <v>0</v>
      </c>
    </row>
    <row r="623" spans="1:9">
      <c r="A623" s="3">
        <v>6</v>
      </c>
      <c r="B623" s="3">
        <v>183</v>
      </c>
      <c r="C623" s="3">
        <v>94</v>
      </c>
      <c r="D623" s="3">
        <v>0</v>
      </c>
      <c r="E623" s="3">
        <v>0</v>
      </c>
      <c r="F623" s="3">
        <v>40.8</v>
      </c>
      <c r="G623" s="3">
        <v>1.461</v>
      </c>
      <c r="H623" s="3">
        <v>45</v>
      </c>
      <c r="I623">
        <v>0</v>
      </c>
    </row>
    <row r="624" spans="1:9">
      <c r="A624" s="3">
        <v>0</v>
      </c>
      <c r="B624" s="3">
        <v>94</v>
      </c>
      <c r="C624" s="3">
        <v>70</v>
      </c>
      <c r="D624" s="3">
        <v>27</v>
      </c>
      <c r="E624" s="3">
        <v>115</v>
      </c>
      <c r="F624" s="3">
        <v>43.5</v>
      </c>
      <c r="G624" s="3">
        <v>0.347</v>
      </c>
      <c r="H624" s="3">
        <v>21</v>
      </c>
      <c r="I624">
        <v>0</v>
      </c>
    </row>
    <row r="625" spans="1:9">
      <c r="A625" s="3">
        <v>2</v>
      </c>
      <c r="B625" s="3">
        <v>108</v>
      </c>
      <c r="C625" s="3">
        <v>64</v>
      </c>
      <c r="D625" s="3">
        <v>0</v>
      </c>
      <c r="E625" s="3">
        <v>0</v>
      </c>
      <c r="F625" s="3">
        <v>30.8</v>
      </c>
      <c r="G625" s="3">
        <v>0.158</v>
      </c>
      <c r="H625" s="3">
        <v>21</v>
      </c>
      <c r="I625">
        <v>0</v>
      </c>
    </row>
    <row r="626" spans="1:9">
      <c r="A626" s="3">
        <v>4</v>
      </c>
      <c r="B626" s="3">
        <v>90</v>
      </c>
      <c r="C626" s="3">
        <v>88</v>
      </c>
      <c r="D626" s="3">
        <v>47</v>
      </c>
      <c r="E626" s="3">
        <v>54</v>
      </c>
      <c r="F626" s="3">
        <v>37.7</v>
      </c>
      <c r="G626" s="3">
        <v>0.362</v>
      </c>
      <c r="H626" s="3">
        <v>29</v>
      </c>
      <c r="I626">
        <v>0</v>
      </c>
    </row>
    <row r="627" spans="1:9">
      <c r="A627" s="3">
        <v>0</v>
      </c>
      <c r="B627" s="3">
        <v>125</v>
      </c>
      <c r="C627" s="3">
        <v>68</v>
      </c>
      <c r="D627" s="3">
        <v>0</v>
      </c>
      <c r="E627" s="3">
        <v>0</v>
      </c>
      <c r="F627" s="3">
        <v>24.7</v>
      </c>
      <c r="G627" s="3">
        <v>0.206</v>
      </c>
      <c r="H627" s="3">
        <v>21</v>
      </c>
      <c r="I627">
        <v>0</v>
      </c>
    </row>
    <row r="628" spans="1:9">
      <c r="A628" s="3">
        <v>0</v>
      </c>
      <c r="B628" s="3">
        <v>132</v>
      </c>
      <c r="C628" s="3">
        <v>78</v>
      </c>
      <c r="D628" s="3">
        <v>0</v>
      </c>
      <c r="E628" s="3">
        <v>0</v>
      </c>
      <c r="F628" s="3">
        <v>32.4</v>
      </c>
      <c r="G628" s="3">
        <v>0.393</v>
      </c>
      <c r="H628" s="3">
        <v>21</v>
      </c>
      <c r="I628">
        <v>0</v>
      </c>
    </row>
    <row r="629" spans="1:9">
      <c r="A629" s="3">
        <v>5</v>
      </c>
      <c r="B629" s="3">
        <v>128</v>
      </c>
      <c r="C629" s="3">
        <v>80</v>
      </c>
      <c r="D629" s="3">
        <v>0</v>
      </c>
      <c r="E629" s="3">
        <v>0</v>
      </c>
      <c r="F629" s="3">
        <v>34.6</v>
      </c>
      <c r="G629" s="3">
        <v>0.144</v>
      </c>
      <c r="H629" s="3">
        <v>45</v>
      </c>
      <c r="I629">
        <v>0</v>
      </c>
    </row>
    <row r="630" spans="1:9">
      <c r="A630" s="3">
        <v>4</v>
      </c>
      <c r="B630" s="3">
        <v>94</v>
      </c>
      <c r="C630" s="3">
        <v>65</v>
      </c>
      <c r="D630" s="3">
        <v>22</v>
      </c>
      <c r="E630" s="3">
        <v>0</v>
      </c>
      <c r="F630" s="3">
        <v>24.7</v>
      </c>
      <c r="G630" s="3">
        <v>0.148</v>
      </c>
      <c r="H630" s="3">
        <v>21</v>
      </c>
      <c r="I630">
        <v>0</v>
      </c>
    </row>
    <row r="631" spans="1:9">
      <c r="A631" s="3">
        <v>7</v>
      </c>
      <c r="B631" s="3">
        <v>114</v>
      </c>
      <c r="C631" s="3">
        <v>64</v>
      </c>
      <c r="D631" s="3">
        <v>0</v>
      </c>
      <c r="E631" s="3">
        <v>0</v>
      </c>
      <c r="F631" s="3">
        <v>27.4</v>
      </c>
      <c r="G631" s="3">
        <v>0.732</v>
      </c>
      <c r="H631" s="3">
        <v>34</v>
      </c>
      <c r="I631">
        <v>1</v>
      </c>
    </row>
    <row r="632" spans="1:9">
      <c r="A632" s="3">
        <v>0</v>
      </c>
      <c r="B632" s="3">
        <v>102</v>
      </c>
      <c r="C632" s="3">
        <v>78</v>
      </c>
      <c r="D632" s="3">
        <v>40</v>
      </c>
      <c r="E632" s="3">
        <v>90</v>
      </c>
      <c r="F632" s="3">
        <v>34.5</v>
      </c>
      <c r="G632" s="3">
        <v>0.238</v>
      </c>
      <c r="H632" s="3">
        <v>24</v>
      </c>
      <c r="I632">
        <v>0</v>
      </c>
    </row>
    <row r="633" spans="1:9">
      <c r="A633" s="3">
        <v>2</v>
      </c>
      <c r="B633" s="3">
        <v>111</v>
      </c>
      <c r="C633" s="3">
        <v>60</v>
      </c>
      <c r="D633" s="3">
        <v>0</v>
      </c>
      <c r="E633" s="3">
        <v>0</v>
      </c>
      <c r="F633" s="3">
        <v>26.2</v>
      </c>
      <c r="G633" s="3">
        <v>0.343</v>
      </c>
      <c r="H633" s="3">
        <v>23</v>
      </c>
      <c r="I633">
        <v>0</v>
      </c>
    </row>
    <row r="634" spans="1:9">
      <c r="A634" s="3">
        <v>1</v>
      </c>
      <c r="B634" s="3">
        <v>128</v>
      </c>
      <c r="C634" s="3">
        <v>82</v>
      </c>
      <c r="D634" s="3">
        <v>17</v>
      </c>
      <c r="E634" s="3">
        <v>183</v>
      </c>
      <c r="F634" s="3">
        <v>27.5</v>
      </c>
      <c r="G634" s="3">
        <v>0.115</v>
      </c>
      <c r="H634" s="3">
        <v>22</v>
      </c>
      <c r="I634">
        <v>0</v>
      </c>
    </row>
    <row r="635" spans="1:9">
      <c r="A635" s="3">
        <v>10</v>
      </c>
      <c r="B635" s="3">
        <v>92</v>
      </c>
      <c r="C635" s="3">
        <v>62</v>
      </c>
      <c r="D635" s="3">
        <v>0</v>
      </c>
      <c r="E635" s="3">
        <v>0</v>
      </c>
      <c r="F635" s="3">
        <v>25.9</v>
      </c>
      <c r="G635" s="3">
        <v>0.167</v>
      </c>
      <c r="H635" s="3">
        <v>31</v>
      </c>
      <c r="I635">
        <v>0</v>
      </c>
    </row>
    <row r="636" spans="1:9">
      <c r="A636" s="3">
        <v>13</v>
      </c>
      <c r="B636" s="3">
        <v>104</v>
      </c>
      <c r="C636" s="3">
        <v>72</v>
      </c>
      <c r="D636" s="3">
        <v>0</v>
      </c>
      <c r="E636" s="3">
        <v>0</v>
      </c>
      <c r="F636" s="3">
        <v>31.2</v>
      </c>
      <c r="G636" s="3">
        <v>0.465</v>
      </c>
      <c r="H636" s="3">
        <v>38</v>
      </c>
      <c r="I636">
        <v>1</v>
      </c>
    </row>
    <row r="637" spans="1:9">
      <c r="A637" s="3">
        <v>5</v>
      </c>
      <c r="B637" s="3">
        <v>104</v>
      </c>
      <c r="C637" s="3">
        <v>74</v>
      </c>
      <c r="D637" s="3">
        <v>0</v>
      </c>
      <c r="E637" s="3">
        <v>0</v>
      </c>
      <c r="F637" s="3">
        <v>28.8</v>
      </c>
      <c r="G637" s="3">
        <v>0.153</v>
      </c>
      <c r="H637" s="3">
        <v>48</v>
      </c>
      <c r="I637">
        <v>0</v>
      </c>
    </row>
    <row r="638" spans="1:9">
      <c r="A638" s="3">
        <v>2</v>
      </c>
      <c r="B638" s="3">
        <v>94</v>
      </c>
      <c r="C638" s="3">
        <v>76</v>
      </c>
      <c r="D638" s="3">
        <v>18</v>
      </c>
      <c r="E638" s="3">
        <v>66</v>
      </c>
      <c r="F638" s="3">
        <v>31.6</v>
      </c>
      <c r="G638" s="3">
        <v>0.649</v>
      </c>
      <c r="H638" s="3">
        <v>23</v>
      </c>
      <c r="I638">
        <v>0</v>
      </c>
    </row>
    <row r="639" spans="1:9">
      <c r="A639" s="3">
        <v>7</v>
      </c>
      <c r="B639" s="3">
        <v>97</v>
      </c>
      <c r="C639" s="3">
        <v>76</v>
      </c>
      <c r="D639" s="3">
        <v>32</v>
      </c>
      <c r="E639" s="3">
        <v>91</v>
      </c>
      <c r="F639" s="3">
        <v>40.9</v>
      </c>
      <c r="G639" s="3">
        <v>0.871</v>
      </c>
      <c r="H639" s="3">
        <v>32</v>
      </c>
      <c r="I639">
        <v>1</v>
      </c>
    </row>
    <row r="640" spans="1:9">
      <c r="A640" s="3">
        <v>1</v>
      </c>
      <c r="B640" s="3">
        <v>100</v>
      </c>
      <c r="C640" s="3">
        <v>74</v>
      </c>
      <c r="D640" s="3">
        <v>12</v>
      </c>
      <c r="E640" s="3">
        <v>46</v>
      </c>
      <c r="F640" s="3">
        <v>19.5</v>
      </c>
      <c r="G640" s="3">
        <v>0.149</v>
      </c>
      <c r="H640" s="3">
        <v>28</v>
      </c>
      <c r="I640">
        <v>0</v>
      </c>
    </row>
    <row r="641" spans="1:9">
      <c r="A641" s="3">
        <v>0</v>
      </c>
      <c r="B641" s="3">
        <v>102</v>
      </c>
      <c r="C641" s="3">
        <v>86</v>
      </c>
      <c r="D641" s="3">
        <v>17</v>
      </c>
      <c r="E641" s="3">
        <v>105</v>
      </c>
      <c r="F641" s="3">
        <v>29.3</v>
      </c>
      <c r="G641" s="3">
        <v>0.695</v>
      </c>
      <c r="H641" s="3">
        <v>27</v>
      </c>
      <c r="I641">
        <v>0</v>
      </c>
    </row>
    <row r="642" spans="1:9">
      <c r="A642" s="3">
        <v>4</v>
      </c>
      <c r="B642" s="3">
        <v>128</v>
      </c>
      <c r="C642" s="3">
        <v>70</v>
      </c>
      <c r="D642" s="3">
        <v>0</v>
      </c>
      <c r="E642" s="3">
        <v>0</v>
      </c>
      <c r="F642" s="3">
        <v>34.3</v>
      </c>
      <c r="G642" s="3">
        <v>0.303</v>
      </c>
      <c r="H642" s="3">
        <v>24</v>
      </c>
      <c r="I642">
        <v>0</v>
      </c>
    </row>
    <row r="643" spans="1:9">
      <c r="A643" s="3">
        <v>6</v>
      </c>
      <c r="B643" s="3">
        <v>147</v>
      </c>
      <c r="C643" s="3">
        <v>80</v>
      </c>
      <c r="D643" s="3">
        <v>0</v>
      </c>
      <c r="E643" s="3">
        <v>0</v>
      </c>
      <c r="F643" s="3">
        <v>29.5</v>
      </c>
      <c r="G643" s="3">
        <v>0.178</v>
      </c>
      <c r="H643" s="3">
        <v>50</v>
      </c>
      <c r="I643">
        <v>1</v>
      </c>
    </row>
    <row r="644" spans="1:9">
      <c r="A644" s="3">
        <v>4</v>
      </c>
      <c r="B644" s="3">
        <v>90</v>
      </c>
      <c r="C644" s="3">
        <v>0</v>
      </c>
      <c r="D644" s="3">
        <v>0</v>
      </c>
      <c r="E644" s="3">
        <v>0</v>
      </c>
      <c r="F644" s="3">
        <v>28</v>
      </c>
      <c r="G644" s="3">
        <v>0.61</v>
      </c>
      <c r="H644" s="3">
        <v>31</v>
      </c>
      <c r="I644">
        <v>0</v>
      </c>
    </row>
    <row r="645" spans="1:9">
      <c r="A645" s="3">
        <v>3</v>
      </c>
      <c r="B645" s="3">
        <v>103</v>
      </c>
      <c r="C645" s="3">
        <v>72</v>
      </c>
      <c r="D645" s="3">
        <v>30</v>
      </c>
      <c r="E645" s="3">
        <v>152</v>
      </c>
      <c r="F645" s="3">
        <v>27.6</v>
      </c>
      <c r="G645" s="3">
        <v>0.73</v>
      </c>
      <c r="H645" s="3">
        <v>27</v>
      </c>
      <c r="I645">
        <v>0</v>
      </c>
    </row>
    <row r="646" spans="1:9">
      <c r="A646" s="3">
        <v>2</v>
      </c>
      <c r="B646" s="3">
        <v>157</v>
      </c>
      <c r="C646" s="3">
        <v>74</v>
      </c>
      <c r="D646" s="3">
        <v>35</v>
      </c>
      <c r="E646" s="3">
        <v>440</v>
      </c>
      <c r="F646" s="3">
        <v>39.4</v>
      </c>
      <c r="G646" s="3">
        <v>0.134</v>
      </c>
      <c r="H646" s="3">
        <v>30</v>
      </c>
      <c r="I646">
        <v>0</v>
      </c>
    </row>
    <row r="647" spans="1:9">
      <c r="A647" s="3">
        <v>1</v>
      </c>
      <c r="B647" s="3">
        <v>167</v>
      </c>
      <c r="C647" s="3">
        <v>74</v>
      </c>
      <c r="D647" s="3">
        <v>17</v>
      </c>
      <c r="E647" s="3">
        <v>144</v>
      </c>
      <c r="F647" s="3">
        <v>23.4</v>
      </c>
      <c r="G647" s="3">
        <v>0.447</v>
      </c>
      <c r="H647" s="3">
        <v>33</v>
      </c>
      <c r="I647">
        <v>1</v>
      </c>
    </row>
    <row r="648" spans="1:9">
      <c r="A648" s="3">
        <v>0</v>
      </c>
      <c r="B648" s="3">
        <v>179</v>
      </c>
      <c r="C648" s="3">
        <v>50</v>
      </c>
      <c r="D648" s="3">
        <v>36</v>
      </c>
      <c r="E648" s="3">
        <v>159</v>
      </c>
      <c r="F648" s="3">
        <v>37.8</v>
      </c>
      <c r="G648" s="3">
        <v>0.455</v>
      </c>
      <c r="H648" s="3">
        <v>22</v>
      </c>
      <c r="I648">
        <v>1</v>
      </c>
    </row>
    <row r="649" spans="1:9">
      <c r="A649" s="3">
        <v>11</v>
      </c>
      <c r="B649" s="3">
        <v>136</v>
      </c>
      <c r="C649" s="3">
        <v>84</v>
      </c>
      <c r="D649" s="3">
        <v>35</v>
      </c>
      <c r="E649" s="3">
        <v>130</v>
      </c>
      <c r="F649" s="3">
        <v>28.3</v>
      </c>
      <c r="G649" s="3">
        <v>0.26</v>
      </c>
      <c r="H649" s="3">
        <v>42</v>
      </c>
      <c r="I649">
        <v>1</v>
      </c>
    </row>
    <row r="650" spans="1:9">
      <c r="A650" s="3">
        <v>0</v>
      </c>
      <c r="B650" s="3">
        <v>107</v>
      </c>
      <c r="C650" s="3">
        <v>60</v>
      </c>
      <c r="D650" s="3">
        <v>25</v>
      </c>
      <c r="E650" s="3">
        <v>0</v>
      </c>
      <c r="F650" s="3">
        <v>26.4</v>
      </c>
      <c r="G650" s="3">
        <v>0.133</v>
      </c>
      <c r="H650" s="3">
        <v>23</v>
      </c>
      <c r="I650">
        <v>0</v>
      </c>
    </row>
    <row r="651" spans="1:9">
      <c r="A651" s="3">
        <v>1</v>
      </c>
      <c r="B651" s="3">
        <v>91</v>
      </c>
      <c r="C651" s="3">
        <v>54</v>
      </c>
      <c r="D651" s="3">
        <v>25</v>
      </c>
      <c r="E651" s="3">
        <v>100</v>
      </c>
      <c r="F651" s="3">
        <v>25.2</v>
      </c>
      <c r="G651" s="3">
        <v>0.234</v>
      </c>
      <c r="H651" s="3">
        <v>23</v>
      </c>
      <c r="I651">
        <v>0</v>
      </c>
    </row>
    <row r="652" spans="1:9">
      <c r="A652" s="3">
        <v>1</v>
      </c>
      <c r="B652" s="3">
        <v>117</v>
      </c>
      <c r="C652" s="3">
        <v>60</v>
      </c>
      <c r="D652" s="3">
        <v>23</v>
      </c>
      <c r="E652" s="3">
        <v>106</v>
      </c>
      <c r="F652" s="3">
        <v>33.8</v>
      </c>
      <c r="G652" s="3">
        <v>0.466</v>
      </c>
      <c r="H652" s="3">
        <v>27</v>
      </c>
      <c r="I652">
        <v>0</v>
      </c>
    </row>
    <row r="653" spans="1:9">
      <c r="A653" s="3">
        <v>5</v>
      </c>
      <c r="B653" s="3">
        <v>123</v>
      </c>
      <c r="C653" s="3">
        <v>74</v>
      </c>
      <c r="D653" s="3">
        <v>40</v>
      </c>
      <c r="E653" s="3">
        <v>77</v>
      </c>
      <c r="F653" s="3">
        <v>34.1</v>
      </c>
      <c r="G653" s="3">
        <v>0.269</v>
      </c>
      <c r="H653" s="3">
        <v>28</v>
      </c>
      <c r="I653">
        <v>0</v>
      </c>
    </row>
    <row r="654" spans="1:9">
      <c r="A654" s="3">
        <v>2</v>
      </c>
      <c r="B654" s="3">
        <v>120</v>
      </c>
      <c r="C654" s="3">
        <v>54</v>
      </c>
      <c r="D654" s="3">
        <v>0</v>
      </c>
      <c r="E654" s="3">
        <v>0</v>
      </c>
      <c r="F654" s="3">
        <v>26.8</v>
      </c>
      <c r="G654" s="3">
        <v>0.455</v>
      </c>
      <c r="H654" s="3">
        <v>27</v>
      </c>
      <c r="I654">
        <v>0</v>
      </c>
    </row>
    <row r="655" spans="1:9">
      <c r="A655" s="3">
        <v>1</v>
      </c>
      <c r="B655" s="3">
        <v>106</v>
      </c>
      <c r="C655" s="3">
        <v>70</v>
      </c>
      <c r="D655" s="3">
        <v>28</v>
      </c>
      <c r="E655" s="3">
        <v>135</v>
      </c>
      <c r="F655" s="3">
        <v>34.2</v>
      </c>
      <c r="G655" s="3">
        <v>0.142</v>
      </c>
      <c r="H655" s="3">
        <v>22</v>
      </c>
      <c r="I655">
        <v>0</v>
      </c>
    </row>
    <row r="656" spans="1:9">
      <c r="A656" s="3">
        <v>2</v>
      </c>
      <c r="B656" s="3">
        <v>155</v>
      </c>
      <c r="C656" s="3">
        <v>52</v>
      </c>
      <c r="D656" s="3">
        <v>27</v>
      </c>
      <c r="E656" s="3">
        <v>540</v>
      </c>
      <c r="F656" s="3">
        <v>38.7</v>
      </c>
      <c r="G656" s="3">
        <v>0.24</v>
      </c>
      <c r="H656" s="3">
        <v>25</v>
      </c>
      <c r="I656">
        <v>1</v>
      </c>
    </row>
    <row r="657" spans="1:9">
      <c r="A657" s="3">
        <v>2</v>
      </c>
      <c r="B657" s="3">
        <v>101</v>
      </c>
      <c r="C657" s="3">
        <v>58</v>
      </c>
      <c r="D657" s="3">
        <v>35</v>
      </c>
      <c r="E657" s="3">
        <v>90</v>
      </c>
      <c r="F657" s="3">
        <v>21.8</v>
      </c>
      <c r="G657" s="3">
        <v>0.155</v>
      </c>
      <c r="H657" s="3">
        <v>22</v>
      </c>
      <c r="I657">
        <v>0</v>
      </c>
    </row>
    <row r="658" spans="1:9">
      <c r="A658" s="3">
        <v>1</v>
      </c>
      <c r="B658" s="3">
        <v>120</v>
      </c>
      <c r="C658" s="3">
        <v>80</v>
      </c>
      <c r="D658" s="3">
        <v>48</v>
      </c>
      <c r="E658" s="3">
        <v>200</v>
      </c>
      <c r="F658" s="3">
        <v>38.9</v>
      </c>
      <c r="G658" s="3">
        <v>1.162</v>
      </c>
      <c r="H658" s="3">
        <v>41</v>
      </c>
      <c r="I658">
        <v>0</v>
      </c>
    </row>
    <row r="659" spans="1:9">
      <c r="A659" s="3">
        <v>11</v>
      </c>
      <c r="B659" s="3">
        <v>127</v>
      </c>
      <c r="C659" s="3">
        <v>106</v>
      </c>
      <c r="D659" s="3">
        <v>0</v>
      </c>
      <c r="E659" s="3">
        <v>0</v>
      </c>
      <c r="F659" s="3">
        <v>39</v>
      </c>
      <c r="G659" s="3">
        <v>0.19</v>
      </c>
      <c r="H659" s="3">
        <v>51</v>
      </c>
      <c r="I659">
        <v>0</v>
      </c>
    </row>
    <row r="660" spans="1:9">
      <c r="A660" s="3">
        <v>3</v>
      </c>
      <c r="B660" s="3">
        <v>80</v>
      </c>
      <c r="C660" s="3">
        <v>82</v>
      </c>
      <c r="D660" s="3">
        <v>31</v>
      </c>
      <c r="E660" s="3">
        <v>70</v>
      </c>
      <c r="F660" s="3">
        <v>34.2</v>
      </c>
      <c r="G660" s="3">
        <v>1.292</v>
      </c>
      <c r="H660" s="3">
        <v>27</v>
      </c>
      <c r="I660">
        <v>1</v>
      </c>
    </row>
    <row r="661" spans="1:9">
      <c r="A661" s="3">
        <v>10</v>
      </c>
      <c r="B661" s="3">
        <v>162</v>
      </c>
      <c r="C661" s="3">
        <v>84</v>
      </c>
      <c r="D661" s="3">
        <v>0</v>
      </c>
      <c r="E661" s="3">
        <v>0</v>
      </c>
      <c r="F661" s="3">
        <v>27.7</v>
      </c>
      <c r="G661" s="3">
        <v>0.182</v>
      </c>
      <c r="H661" s="3">
        <v>54</v>
      </c>
      <c r="I661">
        <v>0</v>
      </c>
    </row>
    <row r="662" spans="1:9">
      <c r="A662" s="3">
        <v>1</v>
      </c>
      <c r="B662" s="3">
        <v>199</v>
      </c>
      <c r="C662" s="3">
        <v>76</v>
      </c>
      <c r="D662" s="3">
        <v>43</v>
      </c>
      <c r="E662" s="3">
        <v>0</v>
      </c>
      <c r="F662" s="3">
        <v>42.9</v>
      </c>
      <c r="G662" s="3">
        <v>1.394</v>
      </c>
      <c r="H662" s="3">
        <v>22</v>
      </c>
      <c r="I662">
        <v>1</v>
      </c>
    </row>
    <row r="663" spans="1:9">
      <c r="A663" s="3">
        <v>8</v>
      </c>
      <c r="B663" s="3">
        <v>167</v>
      </c>
      <c r="C663" s="3">
        <v>106</v>
      </c>
      <c r="D663" s="3">
        <v>46</v>
      </c>
      <c r="E663" s="3">
        <v>231</v>
      </c>
      <c r="F663" s="3">
        <v>37.6</v>
      </c>
      <c r="G663" s="3">
        <v>0.165</v>
      </c>
      <c r="H663" s="3">
        <v>43</v>
      </c>
      <c r="I663">
        <v>1</v>
      </c>
    </row>
    <row r="664" spans="1:9">
      <c r="A664" s="3">
        <v>9</v>
      </c>
      <c r="B664" s="3">
        <v>145</v>
      </c>
      <c r="C664" s="3">
        <v>80</v>
      </c>
      <c r="D664" s="3">
        <v>46</v>
      </c>
      <c r="E664" s="3">
        <v>130</v>
      </c>
      <c r="F664" s="3">
        <v>37.9</v>
      </c>
      <c r="G664" s="3">
        <v>0.637</v>
      </c>
      <c r="H664" s="3">
        <v>40</v>
      </c>
      <c r="I664">
        <v>1</v>
      </c>
    </row>
    <row r="665" spans="1:9">
      <c r="A665" s="3">
        <v>6</v>
      </c>
      <c r="B665" s="3">
        <v>115</v>
      </c>
      <c r="C665" s="3">
        <v>60</v>
      </c>
      <c r="D665" s="3">
        <v>39</v>
      </c>
      <c r="E665" s="3">
        <v>0</v>
      </c>
      <c r="F665" s="3">
        <v>33.7</v>
      </c>
      <c r="G665" s="3">
        <v>0.245</v>
      </c>
      <c r="H665" s="3">
        <v>40</v>
      </c>
      <c r="I665">
        <v>1</v>
      </c>
    </row>
    <row r="666" spans="1:9">
      <c r="A666" s="3">
        <v>1</v>
      </c>
      <c r="B666" s="3">
        <v>112</v>
      </c>
      <c r="C666" s="3">
        <v>80</v>
      </c>
      <c r="D666" s="3">
        <v>45</v>
      </c>
      <c r="E666" s="3">
        <v>132</v>
      </c>
      <c r="F666" s="3">
        <v>34.8</v>
      </c>
      <c r="G666" s="3">
        <v>0.217</v>
      </c>
      <c r="H666" s="3">
        <v>24</v>
      </c>
      <c r="I666">
        <v>0</v>
      </c>
    </row>
    <row r="667" spans="1:9">
      <c r="A667" s="3">
        <v>4</v>
      </c>
      <c r="B667" s="3">
        <v>145</v>
      </c>
      <c r="C667" s="3">
        <v>82</v>
      </c>
      <c r="D667" s="3">
        <v>18</v>
      </c>
      <c r="E667" s="3">
        <v>0</v>
      </c>
      <c r="F667" s="3">
        <v>32.5</v>
      </c>
      <c r="G667" s="3">
        <v>0.235</v>
      </c>
      <c r="H667" s="3">
        <v>70</v>
      </c>
      <c r="I667">
        <v>1</v>
      </c>
    </row>
    <row r="668" spans="1:9">
      <c r="A668" s="3">
        <v>10</v>
      </c>
      <c r="B668" s="3">
        <v>111</v>
      </c>
      <c r="C668" s="3">
        <v>70</v>
      </c>
      <c r="D668" s="3">
        <v>27</v>
      </c>
      <c r="E668" s="3">
        <v>0</v>
      </c>
      <c r="F668" s="3">
        <v>27.5</v>
      </c>
      <c r="G668" s="3">
        <v>0.141</v>
      </c>
      <c r="H668" s="3">
        <v>40</v>
      </c>
      <c r="I668">
        <v>1</v>
      </c>
    </row>
    <row r="669" spans="1:9">
      <c r="A669" s="3">
        <v>6</v>
      </c>
      <c r="B669" s="3">
        <v>98</v>
      </c>
      <c r="C669" s="3">
        <v>58</v>
      </c>
      <c r="D669" s="3">
        <v>33</v>
      </c>
      <c r="E669" s="3">
        <v>190</v>
      </c>
      <c r="F669" s="3">
        <v>34</v>
      </c>
      <c r="G669" s="3">
        <v>0.43</v>
      </c>
      <c r="H669" s="3">
        <v>43</v>
      </c>
      <c r="I669">
        <v>0</v>
      </c>
    </row>
    <row r="670" spans="1:9">
      <c r="A670" s="3">
        <v>9</v>
      </c>
      <c r="B670" s="3">
        <v>154</v>
      </c>
      <c r="C670" s="3">
        <v>78</v>
      </c>
      <c r="D670" s="3">
        <v>30</v>
      </c>
      <c r="E670" s="3">
        <v>100</v>
      </c>
      <c r="F670" s="3">
        <v>30.9</v>
      </c>
      <c r="G670" s="3">
        <v>0.164</v>
      </c>
      <c r="H670" s="3">
        <v>45</v>
      </c>
      <c r="I670">
        <v>0</v>
      </c>
    </row>
    <row r="671" spans="1:9">
      <c r="A671" s="3">
        <v>6</v>
      </c>
      <c r="B671" s="3">
        <v>165</v>
      </c>
      <c r="C671" s="3">
        <v>68</v>
      </c>
      <c r="D671" s="3">
        <v>26</v>
      </c>
      <c r="E671" s="3">
        <v>168</v>
      </c>
      <c r="F671" s="3">
        <v>33.6</v>
      </c>
      <c r="G671" s="3">
        <v>0.631</v>
      </c>
      <c r="H671" s="3">
        <v>49</v>
      </c>
      <c r="I671">
        <v>0</v>
      </c>
    </row>
    <row r="672" spans="1:9">
      <c r="A672" s="3">
        <v>1</v>
      </c>
      <c r="B672" s="3">
        <v>99</v>
      </c>
      <c r="C672" s="3">
        <v>58</v>
      </c>
      <c r="D672" s="3">
        <v>10</v>
      </c>
      <c r="E672" s="3">
        <v>0</v>
      </c>
      <c r="F672" s="3">
        <v>25.4</v>
      </c>
      <c r="G672" s="3">
        <v>0.551</v>
      </c>
      <c r="H672" s="3">
        <v>21</v>
      </c>
      <c r="I672">
        <v>0</v>
      </c>
    </row>
    <row r="673" spans="1:9">
      <c r="A673" s="3">
        <v>10</v>
      </c>
      <c r="B673" s="3">
        <v>68</v>
      </c>
      <c r="C673" s="3">
        <v>106</v>
      </c>
      <c r="D673" s="3">
        <v>23</v>
      </c>
      <c r="E673" s="3">
        <v>49</v>
      </c>
      <c r="F673" s="3">
        <v>35.5</v>
      </c>
      <c r="G673" s="3">
        <v>0.285</v>
      </c>
      <c r="H673" s="3">
        <v>47</v>
      </c>
      <c r="I673">
        <v>0</v>
      </c>
    </row>
    <row r="674" spans="1:9">
      <c r="A674" s="3">
        <v>3</v>
      </c>
      <c r="B674" s="3">
        <v>123</v>
      </c>
      <c r="C674" s="3">
        <v>100</v>
      </c>
      <c r="D674" s="3">
        <v>35</v>
      </c>
      <c r="E674" s="3">
        <v>240</v>
      </c>
      <c r="F674" s="3">
        <v>57.3</v>
      </c>
      <c r="G674" s="3">
        <v>0.88</v>
      </c>
      <c r="H674" s="3">
        <v>22</v>
      </c>
      <c r="I674">
        <v>0</v>
      </c>
    </row>
    <row r="675" spans="1:9">
      <c r="A675" s="3">
        <v>8</v>
      </c>
      <c r="B675" s="3">
        <v>91</v>
      </c>
      <c r="C675" s="3">
        <v>82</v>
      </c>
      <c r="D675" s="3">
        <v>0</v>
      </c>
      <c r="E675" s="3">
        <v>0</v>
      </c>
      <c r="F675" s="3">
        <v>35.6</v>
      </c>
      <c r="G675" s="3">
        <v>0.587</v>
      </c>
      <c r="H675" s="3">
        <v>68</v>
      </c>
      <c r="I675">
        <v>0</v>
      </c>
    </row>
    <row r="676" spans="1:9">
      <c r="A676" s="3">
        <v>6</v>
      </c>
      <c r="B676" s="3">
        <v>195</v>
      </c>
      <c r="C676" s="3">
        <v>70</v>
      </c>
      <c r="D676" s="3">
        <v>0</v>
      </c>
      <c r="E676" s="3">
        <v>0</v>
      </c>
      <c r="F676" s="3">
        <v>30.9</v>
      </c>
      <c r="G676" s="3">
        <v>0.328</v>
      </c>
      <c r="H676" s="3">
        <v>31</v>
      </c>
      <c r="I676">
        <v>1</v>
      </c>
    </row>
    <row r="677" spans="1:9">
      <c r="A677" s="3">
        <v>9</v>
      </c>
      <c r="B677" s="3">
        <v>156</v>
      </c>
      <c r="C677" s="3">
        <v>86</v>
      </c>
      <c r="D677" s="3">
        <v>0</v>
      </c>
      <c r="E677" s="3">
        <v>0</v>
      </c>
      <c r="F677" s="3">
        <v>24.8</v>
      </c>
      <c r="G677" s="3">
        <v>0.23</v>
      </c>
      <c r="H677" s="3">
        <v>53</v>
      </c>
      <c r="I677">
        <v>1</v>
      </c>
    </row>
    <row r="678" spans="1:9">
      <c r="A678" s="3">
        <v>0</v>
      </c>
      <c r="B678" s="3">
        <v>93</v>
      </c>
      <c r="C678" s="3">
        <v>60</v>
      </c>
      <c r="D678" s="3">
        <v>0</v>
      </c>
      <c r="E678" s="3">
        <v>0</v>
      </c>
      <c r="F678" s="3">
        <v>35.3</v>
      </c>
      <c r="G678" s="3">
        <v>0.263</v>
      </c>
      <c r="H678" s="3">
        <v>25</v>
      </c>
      <c r="I678">
        <v>0</v>
      </c>
    </row>
    <row r="679" spans="1:9">
      <c r="A679" s="3">
        <v>3</v>
      </c>
      <c r="B679" s="3">
        <v>121</v>
      </c>
      <c r="C679" s="3">
        <v>52</v>
      </c>
      <c r="D679" s="3">
        <v>0</v>
      </c>
      <c r="E679" s="3">
        <v>0</v>
      </c>
      <c r="F679" s="3">
        <v>36</v>
      </c>
      <c r="G679" s="3">
        <v>0.127</v>
      </c>
      <c r="H679" s="3">
        <v>25</v>
      </c>
      <c r="I679">
        <v>1</v>
      </c>
    </row>
    <row r="680" spans="1:9">
      <c r="A680" s="3">
        <v>2</v>
      </c>
      <c r="B680" s="3">
        <v>101</v>
      </c>
      <c r="C680" s="3">
        <v>58</v>
      </c>
      <c r="D680" s="3">
        <v>17</v>
      </c>
      <c r="E680" s="3">
        <v>265</v>
      </c>
      <c r="F680" s="3">
        <v>24.2</v>
      </c>
      <c r="G680" s="3">
        <v>0.614</v>
      </c>
      <c r="H680" s="3">
        <v>23</v>
      </c>
      <c r="I680">
        <v>0</v>
      </c>
    </row>
    <row r="681" spans="1:9">
      <c r="A681" s="3">
        <v>2</v>
      </c>
      <c r="B681" s="3">
        <v>56</v>
      </c>
      <c r="C681" s="3">
        <v>56</v>
      </c>
      <c r="D681" s="3">
        <v>28</v>
      </c>
      <c r="E681" s="3">
        <v>45</v>
      </c>
      <c r="F681" s="3">
        <v>24.2</v>
      </c>
      <c r="G681" s="3">
        <v>0.332</v>
      </c>
      <c r="H681" s="3">
        <v>22</v>
      </c>
      <c r="I681">
        <v>0</v>
      </c>
    </row>
    <row r="682" spans="1:9">
      <c r="A682" s="3">
        <v>0</v>
      </c>
      <c r="B682" s="3">
        <v>162</v>
      </c>
      <c r="C682" s="3">
        <v>76</v>
      </c>
      <c r="D682" s="3">
        <v>36</v>
      </c>
      <c r="E682" s="3">
        <v>0</v>
      </c>
      <c r="F682" s="3">
        <v>49.6</v>
      </c>
      <c r="G682" s="3">
        <v>0.364</v>
      </c>
      <c r="H682" s="3">
        <v>26</v>
      </c>
      <c r="I682">
        <v>1</v>
      </c>
    </row>
    <row r="683" spans="1:9">
      <c r="A683" s="3">
        <v>0</v>
      </c>
      <c r="B683" s="3">
        <v>95</v>
      </c>
      <c r="C683" s="3">
        <v>64</v>
      </c>
      <c r="D683" s="3">
        <v>39</v>
      </c>
      <c r="E683" s="3">
        <v>105</v>
      </c>
      <c r="F683" s="3">
        <v>44.6</v>
      </c>
      <c r="G683" s="3">
        <v>0.366</v>
      </c>
      <c r="H683" s="3">
        <v>22</v>
      </c>
      <c r="I683">
        <v>0</v>
      </c>
    </row>
    <row r="684" spans="1:9">
      <c r="A684" s="3">
        <v>4</v>
      </c>
      <c r="B684" s="3">
        <v>125</v>
      </c>
      <c r="C684" s="3">
        <v>80</v>
      </c>
      <c r="D684" s="3">
        <v>0</v>
      </c>
      <c r="E684" s="3">
        <v>0</v>
      </c>
      <c r="F684" s="3">
        <v>32.3</v>
      </c>
      <c r="G684" s="3">
        <v>0.536</v>
      </c>
      <c r="H684" s="3">
        <v>27</v>
      </c>
      <c r="I684">
        <v>1</v>
      </c>
    </row>
    <row r="685" spans="1:9">
      <c r="A685" s="3">
        <v>5</v>
      </c>
      <c r="B685" s="3">
        <v>136</v>
      </c>
      <c r="C685" s="3">
        <v>82</v>
      </c>
      <c r="D685" s="3">
        <v>0</v>
      </c>
      <c r="E685" s="3">
        <v>0</v>
      </c>
      <c r="F685" s="3">
        <v>0</v>
      </c>
      <c r="G685" s="3">
        <v>0.64</v>
      </c>
      <c r="H685" s="3">
        <v>69</v>
      </c>
      <c r="I685">
        <v>0</v>
      </c>
    </row>
    <row r="686" spans="1:9">
      <c r="A686" s="3">
        <v>2</v>
      </c>
      <c r="B686" s="3">
        <v>129</v>
      </c>
      <c r="C686" s="3">
        <v>74</v>
      </c>
      <c r="D686" s="3">
        <v>26</v>
      </c>
      <c r="E686" s="3">
        <v>205</v>
      </c>
      <c r="F686" s="3">
        <v>33.2</v>
      </c>
      <c r="G686" s="3">
        <v>0.591</v>
      </c>
      <c r="H686" s="3">
        <v>25</v>
      </c>
      <c r="I686">
        <v>0</v>
      </c>
    </row>
    <row r="687" spans="1:9">
      <c r="A687" s="3">
        <v>3</v>
      </c>
      <c r="B687" s="3">
        <v>130</v>
      </c>
      <c r="C687" s="3">
        <v>64</v>
      </c>
      <c r="D687" s="3">
        <v>0</v>
      </c>
      <c r="E687" s="3">
        <v>0</v>
      </c>
      <c r="F687" s="3">
        <v>23.1</v>
      </c>
      <c r="G687" s="3">
        <v>0.314</v>
      </c>
      <c r="H687" s="3">
        <v>22</v>
      </c>
      <c r="I687">
        <v>0</v>
      </c>
    </row>
    <row r="688" spans="1:9">
      <c r="A688" s="3">
        <v>1</v>
      </c>
      <c r="B688" s="3">
        <v>107</v>
      </c>
      <c r="C688" s="3">
        <v>50</v>
      </c>
      <c r="D688" s="3">
        <v>19</v>
      </c>
      <c r="E688" s="3">
        <v>0</v>
      </c>
      <c r="F688" s="3">
        <v>28.3</v>
      </c>
      <c r="G688" s="3">
        <v>0.181</v>
      </c>
      <c r="H688" s="3">
        <v>29</v>
      </c>
      <c r="I688">
        <v>0</v>
      </c>
    </row>
    <row r="689" spans="1:9">
      <c r="A689" s="3">
        <v>1</v>
      </c>
      <c r="B689" s="3">
        <v>140</v>
      </c>
      <c r="C689" s="3">
        <v>74</v>
      </c>
      <c r="D689" s="3">
        <v>26</v>
      </c>
      <c r="E689" s="3">
        <v>180</v>
      </c>
      <c r="F689" s="3">
        <v>24.1</v>
      </c>
      <c r="G689" s="3">
        <v>0.828</v>
      </c>
      <c r="H689" s="3">
        <v>23</v>
      </c>
      <c r="I689">
        <v>0</v>
      </c>
    </row>
    <row r="690" spans="1:9">
      <c r="A690" s="3">
        <v>1</v>
      </c>
      <c r="B690" s="3">
        <v>144</v>
      </c>
      <c r="C690" s="3">
        <v>82</v>
      </c>
      <c r="D690" s="3">
        <v>46</v>
      </c>
      <c r="E690" s="3">
        <v>180</v>
      </c>
      <c r="F690" s="3">
        <v>46.1</v>
      </c>
      <c r="G690" s="3">
        <v>0.335</v>
      </c>
      <c r="H690" s="3">
        <v>46</v>
      </c>
      <c r="I690">
        <v>1</v>
      </c>
    </row>
    <row r="691" spans="1:9">
      <c r="A691" s="3">
        <v>8</v>
      </c>
      <c r="B691" s="3">
        <v>107</v>
      </c>
      <c r="C691" s="3">
        <v>80</v>
      </c>
      <c r="D691" s="3">
        <v>0</v>
      </c>
      <c r="E691" s="3">
        <v>0</v>
      </c>
      <c r="F691" s="3">
        <v>24.6</v>
      </c>
      <c r="G691" s="3">
        <v>0.856</v>
      </c>
      <c r="H691" s="3">
        <v>34</v>
      </c>
      <c r="I691">
        <v>0</v>
      </c>
    </row>
    <row r="692" spans="1:9">
      <c r="A692" s="3">
        <v>13</v>
      </c>
      <c r="B692" s="3">
        <v>158</v>
      </c>
      <c r="C692" s="3">
        <v>114</v>
      </c>
      <c r="D692" s="3">
        <v>0</v>
      </c>
      <c r="E692" s="3">
        <v>0</v>
      </c>
      <c r="F692" s="3">
        <v>42.3</v>
      </c>
      <c r="G692" s="3">
        <v>0.257</v>
      </c>
      <c r="H692" s="3">
        <v>44</v>
      </c>
      <c r="I692">
        <v>1</v>
      </c>
    </row>
    <row r="693" spans="1:9">
      <c r="A693" s="3">
        <v>2</v>
      </c>
      <c r="B693" s="3">
        <v>121</v>
      </c>
      <c r="C693" s="3">
        <v>70</v>
      </c>
      <c r="D693" s="3">
        <v>32</v>
      </c>
      <c r="E693" s="3">
        <v>95</v>
      </c>
      <c r="F693" s="3">
        <v>39.1</v>
      </c>
      <c r="G693" s="3">
        <v>0.886</v>
      </c>
      <c r="H693" s="3">
        <v>23</v>
      </c>
      <c r="I693">
        <v>0</v>
      </c>
    </row>
    <row r="694" spans="1:9">
      <c r="A694" s="3">
        <v>7</v>
      </c>
      <c r="B694" s="3">
        <v>129</v>
      </c>
      <c r="C694" s="3">
        <v>68</v>
      </c>
      <c r="D694" s="3">
        <v>49</v>
      </c>
      <c r="E694" s="3">
        <v>125</v>
      </c>
      <c r="F694" s="3">
        <v>38.5</v>
      </c>
      <c r="G694" s="3">
        <v>0.439</v>
      </c>
      <c r="H694" s="3">
        <v>43</v>
      </c>
      <c r="I694">
        <v>1</v>
      </c>
    </row>
    <row r="695" spans="1:9">
      <c r="A695" s="3">
        <v>2</v>
      </c>
      <c r="B695" s="3">
        <v>90</v>
      </c>
      <c r="C695" s="3">
        <v>60</v>
      </c>
      <c r="D695" s="3">
        <v>0</v>
      </c>
      <c r="E695" s="3">
        <v>0</v>
      </c>
      <c r="F695" s="3">
        <v>23.5</v>
      </c>
      <c r="G695" s="3">
        <v>0.191</v>
      </c>
      <c r="H695" s="3">
        <v>25</v>
      </c>
      <c r="I695">
        <v>0</v>
      </c>
    </row>
    <row r="696" spans="1:9">
      <c r="A696" s="3">
        <v>7</v>
      </c>
      <c r="B696" s="3">
        <v>142</v>
      </c>
      <c r="C696" s="3">
        <v>90</v>
      </c>
      <c r="D696" s="3">
        <v>24</v>
      </c>
      <c r="E696" s="3">
        <v>480</v>
      </c>
      <c r="F696" s="3">
        <v>30.4</v>
      </c>
      <c r="G696" s="3">
        <v>0.128</v>
      </c>
      <c r="H696" s="3">
        <v>43</v>
      </c>
      <c r="I696">
        <v>1</v>
      </c>
    </row>
    <row r="697" spans="1:9">
      <c r="A697" s="3">
        <v>3</v>
      </c>
      <c r="B697" s="3">
        <v>169</v>
      </c>
      <c r="C697" s="3">
        <v>74</v>
      </c>
      <c r="D697" s="3">
        <v>19</v>
      </c>
      <c r="E697" s="3">
        <v>125</v>
      </c>
      <c r="F697" s="3">
        <v>29.9</v>
      </c>
      <c r="G697" s="3">
        <v>0.268</v>
      </c>
      <c r="H697" s="3">
        <v>31</v>
      </c>
      <c r="I697">
        <v>1</v>
      </c>
    </row>
    <row r="698" spans="1:9">
      <c r="A698" s="3">
        <v>0</v>
      </c>
      <c r="B698" s="3">
        <v>99</v>
      </c>
      <c r="C698" s="3">
        <v>0</v>
      </c>
      <c r="D698" s="3">
        <v>0</v>
      </c>
      <c r="E698" s="3">
        <v>0</v>
      </c>
      <c r="F698" s="3">
        <v>25</v>
      </c>
      <c r="G698" s="3">
        <v>0.253</v>
      </c>
      <c r="H698" s="3">
        <v>22</v>
      </c>
      <c r="I698">
        <v>0</v>
      </c>
    </row>
    <row r="699" spans="1:9">
      <c r="A699" s="3">
        <v>4</v>
      </c>
      <c r="B699" s="3">
        <v>127</v>
      </c>
      <c r="C699" s="3">
        <v>88</v>
      </c>
      <c r="D699" s="3">
        <v>11</v>
      </c>
      <c r="E699" s="3">
        <v>155</v>
      </c>
      <c r="F699" s="3">
        <v>34.5</v>
      </c>
      <c r="G699" s="3">
        <v>0.598</v>
      </c>
      <c r="H699" s="3">
        <v>28</v>
      </c>
      <c r="I699">
        <v>0</v>
      </c>
    </row>
    <row r="700" spans="1:9">
      <c r="A700" s="3">
        <v>4</v>
      </c>
      <c r="B700" s="3">
        <v>118</v>
      </c>
      <c r="C700" s="3">
        <v>70</v>
      </c>
      <c r="D700" s="3">
        <v>0</v>
      </c>
      <c r="E700" s="3">
        <v>0</v>
      </c>
      <c r="F700" s="3">
        <v>44.5</v>
      </c>
      <c r="G700" s="3">
        <v>0.904</v>
      </c>
      <c r="H700" s="3">
        <v>26</v>
      </c>
      <c r="I700">
        <v>0</v>
      </c>
    </row>
    <row r="701" spans="1:9">
      <c r="A701" s="3">
        <v>2</v>
      </c>
      <c r="B701" s="3">
        <v>122</v>
      </c>
      <c r="C701" s="3">
        <v>76</v>
      </c>
      <c r="D701" s="3">
        <v>27</v>
      </c>
      <c r="E701" s="3">
        <v>200</v>
      </c>
      <c r="F701" s="3">
        <v>35.9</v>
      </c>
      <c r="G701" s="3">
        <v>0.483</v>
      </c>
      <c r="H701" s="3">
        <v>26</v>
      </c>
      <c r="I701">
        <v>0</v>
      </c>
    </row>
    <row r="702" spans="1:9">
      <c r="A702" s="3">
        <v>6</v>
      </c>
      <c r="B702" s="3">
        <v>125</v>
      </c>
      <c r="C702" s="3">
        <v>78</v>
      </c>
      <c r="D702" s="3">
        <v>31</v>
      </c>
      <c r="E702" s="3">
        <v>0</v>
      </c>
      <c r="F702" s="3">
        <v>27.6</v>
      </c>
      <c r="G702" s="3">
        <v>0.565</v>
      </c>
      <c r="H702" s="3">
        <v>49</v>
      </c>
      <c r="I702">
        <v>1</v>
      </c>
    </row>
    <row r="703" spans="1:9">
      <c r="A703" s="3">
        <v>1</v>
      </c>
      <c r="B703" s="3">
        <v>168</v>
      </c>
      <c r="C703" s="3">
        <v>88</v>
      </c>
      <c r="D703" s="3">
        <v>29</v>
      </c>
      <c r="E703" s="3">
        <v>0</v>
      </c>
      <c r="F703" s="3">
        <v>35</v>
      </c>
      <c r="G703" s="3">
        <v>0.905</v>
      </c>
      <c r="H703" s="3">
        <v>52</v>
      </c>
      <c r="I703">
        <v>1</v>
      </c>
    </row>
    <row r="704" spans="1:9">
      <c r="A704" s="3">
        <v>2</v>
      </c>
      <c r="B704" s="3">
        <v>129</v>
      </c>
      <c r="C704" s="3">
        <v>0</v>
      </c>
      <c r="D704" s="3">
        <v>0</v>
      </c>
      <c r="E704" s="3">
        <v>0</v>
      </c>
      <c r="F704" s="3">
        <v>38.5</v>
      </c>
      <c r="G704" s="3">
        <v>0.304</v>
      </c>
      <c r="H704" s="3">
        <v>41</v>
      </c>
      <c r="I704">
        <v>0</v>
      </c>
    </row>
    <row r="705" spans="1:9">
      <c r="A705" s="3">
        <v>4</v>
      </c>
      <c r="B705" s="3">
        <v>110</v>
      </c>
      <c r="C705" s="3">
        <v>76</v>
      </c>
      <c r="D705" s="3">
        <v>20</v>
      </c>
      <c r="E705" s="3">
        <v>100</v>
      </c>
      <c r="F705" s="3">
        <v>28.4</v>
      </c>
      <c r="G705" s="3">
        <v>0.118</v>
      </c>
      <c r="H705" s="3">
        <v>27</v>
      </c>
      <c r="I705">
        <v>0</v>
      </c>
    </row>
    <row r="706" spans="1:9">
      <c r="A706" s="3">
        <v>6</v>
      </c>
      <c r="B706" s="3">
        <v>80</v>
      </c>
      <c r="C706" s="3">
        <v>80</v>
      </c>
      <c r="D706" s="3">
        <v>36</v>
      </c>
      <c r="E706" s="3">
        <v>0</v>
      </c>
      <c r="F706" s="3">
        <v>39.8</v>
      </c>
      <c r="G706" s="3">
        <v>0.177</v>
      </c>
      <c r="H706" s="3">
        <v>28</v>
      </c>
      <c r="I706">
        <v>0</v>
      </c>
    </row>
    <row r="707" spans="1:9">
      <c r="A707" s="3">
        <v>10</v>
      </c>
      <c r="B707" s="3">
        <v>115</v>
      </c>
      <c r="C707" s="3">
        <v>0</v>
      </c>
      <c r="D707" s="3">
        <v>0</v>
      </c>
      <c r="E707" s="3">
        <v>0</v>
      </c>
      <c r="F707" s="3">
        <v>0</v>
      </c>
      <c r="G707" s="3">
        <v>0.261</v>
      </c>
      <c r="H707" s="3">
        <v>30</v>
      </c>
      <c r="I707">
        <v>1</v>
      </c>
    </row>
    <row r="708" spans="1:9">
      <c r="A708" s="3">
        <v>2</v>
      </c>
      <c r="B708" s="3">
        <v>127</v>
      </c>
      <c r="C708" s="3">
        <v>46</v>
      </c>
      <c r="D708" s="3">
        <v>21</v>
      </c>
      <c r="E708" s="3">
        <v>335</v>
      </c>
      <c r="F708" s="3">
        <v>34.4</v>
      </c>
      <c r="G708" s="3">
        <v>0.176</v>
      </c>
      <c r="H708" s="3">
        <v>22</v>
      </c>
      <c r="I708">
        <v>0</v>
      </c>
    </row>
    <row r="709" spans="1:9">
      <c r="A709" s="3">
        <v>9</v>
      </c>
      <c r="B709" s="3">
        <v>164</v>
      </c>
      <c r="C709" s="3">
        <v>78</v>
      </c>
      <c r="D709" s="3">
        <v>0</v>
      </c>
      <c r="E709" s="3">
        <v>0</v>
      </c>
      <c r="F709" s="3">
        <v>32.8</v>
      </c>
      <c r="G709" s="3">
        <v>0.148</v>
      </c>
      <c r="H709" s="3">
        <v>45</v>
      </c>
      <c r="I709">
        <v>1</v>
      </c>
    </row>
    <row r="710" spans="1:9">
      <c r="A710" s="3">
        <v>2</v>
      </c>
      <c r="B710" s="3">
        <v>93</v>
      </c>
      <c r="C710" s="3">
        <v>64</v>
      </c>
      <c r="D710" s="3">
        <v>32</v>
      </c>
      <c r="E710" s="3">
        <v>160</v>
      </c>
      <c r="F710" s="3">
        <v>38</v>
      </c>
      <c r="G710" s="3">
        <v>0.674</v>
      </c>
      <c r="H710" s="3">
        <v>23</v>
      </c>
      <c r="I710">
        <v>1</v>
      </c>
    </row>
    <row r="711" spans="1:9">
      <c r="A711" s="3">
        <v>3</v>
      </c>
      <c r="B711" s="3">
        <v>158</v>
      </c>
      <c r="C711" s="3">
        <v>64</v>
      </c>
      <c r="D711" s="3">
        <v>13</v>
      </c>
      <c r="E711" s="3">
        <v>387</v>
      </c>
      <c r="F711" s="3">
        <v>31.2</v>
      </c>
      <c r="G711" s="3">
        <v>0.295</v>
      </c>
      <c r="H711" s="3">
        <v>24</v>
      </c>
      <c r="I711">
        <v>0</v>
      </c>
    </row>
    <row r="712" spans="1:9">
      <c r="A712" s="3">
        <v>5</v>
      </c>
      <c r="B712" s="3">
        <v>126</v>
      </c>
      <c r="C712" s="3">
        <v>78</v>
      </c>
      <c r="D712" s="3">
        <v>27</v>
      </c>
      <c r="E712" s="3">
        <v>22</v>
      </c>
      <c r="F712" s="3">
        <v>29.6</v>
      </c>
      <c r="G712" s="3">
        <v>0.439</v>
      </c>
      <c r="H712" s="3">
        <v>40</v>
      </c>
      <c r="I712">
        <v>0</v>
      </c>
    </row>
    <row r="713" spans="1:9">
      <c r="A713" s="3">
        <v>10</v>
      </c>
      <c r="B713" s="3">
        <v>129</v>
      </c>
      <c r="C713" s="3">
        <v>62</v>
      </c>
      <c r="D713" s="3">
        <v>36</v>
      </c>
      <c r="E713" s="3">
        <v>0</v>
      </c>
      <c r="F713" s="3">
        <v>41.2</v>
      </c>
      <c r="G713" s="3">
        <v>0.441</v>
      </c>
      <c r="H713" s="3">
        <v>38</v>
      </c>
      <c r="I713">
        <v>1</v>
      </c>
    </row>
    <row r="714" spans="1:9">
      <c r="A714" s="3">
        <v>0</v>
      </c>
      <c r="B714" s="3">
        <v>134</v>
      </c>
      <c r="C714" s="3">
        <v>58</v>
      </c>
      <c r="D714" s="3">
        <v>20</v>
      </c>
      <c r="E714" s="3">
        <v>291</v>
      </c>
      <c r="F714" s="3">
        <v>26.4</v>
      </c>
      <c r="G714" s="3">
        <v>0.352</v>
      </c>
      <c r="H714" s="3">
        <v>21</v>
      </c>
      <c r="I714">
        <v>0</v>
      </c>
    </row>
    <row r="715" spans="1:9">
      <c r="A715" s="3">
        <v>3</v>
      </c>
      <c r="B715" s="3">
        <v>102</v>
      </c>
      <c r="C715" s="3">
        <v>74</v>
      </c>
      <c r="D715" s="3">
        <v>0</v>
      </c>
      <c r="E715" s="3">
        <v>0</v>
      </c>
      <c r="F715" s="3">
        <v>29.5</v>
      </c>
      <c r="G715" s="3">
        <v>0.121</v>
      </c>
      <c r="H715" s="3">
        <v>32</v>
      </c>
      <c r="I715">
        <v>0</v>
      </c>
    </row>
    <row r="716" spans="1:9">
      <c r="A716" s="3">
        <v>7</v>
      </c>
      <c r="B716" s="3">
        <v>187</v>
      </c>
      <c r="C716" s="3">
        <v>50</v>
      </c>
      <c r="D716" s="3">
        <v>33</v>
      </c>
      <c r="E716" s="3">
        <v>392</v>
      </c>
      <c r="F716" s="3">
        <v>33.9</v>
      </c>
      <c r="G716" s="3">
        <v>0.826</v>
      </c>
      <c r="H716" s="3">
        <v>34</v>
      </c>
      <c r="I716">
        <v>1</v>
      </c>
    </row>
    <row r="717" spans="1:9">
      <c r="A717" s="3">
        <v>3</v>
      </c>
      <c r="B717" s="3">
        <v>173</v>
      </c>
      <c r="C717" s="3">
        <v>78</v>
      </c>
      <c r="D717" s="3">
        <v>39</v>
      </c>
      <c r="E717" s="3">
        <v>185</v>
      </c>
      <c r="F717" s="3">
        <v>33.8</v>
      </c>
      <c r="G717" s="3">
        <v>0.97</v>
      </c>
      <c r="H717" s="3">
        <v>31</v>
      </c>
      <c r="I717">
        <v>1</v>
      </c>
    </row>
    <row r="718" spans="1:9">
      <c r="A718" s="3">
        <v>10</v>
      </c>
      <c r="B718" s="3">
        <v>94</v>
      </c>
      <c r="C718" s="3">
        <v>72</v>
      </c>
      <c r="D718" s="3">
        <v>18</v>
      </c>
      <c r="E718" s="3">
        <v>0</v>
      </c>
      <c r="F718" s="3">
        <v>23.1</v>
      </c>
      <c r="G718" s="3">
        <v>0.595</v>
      </c>
      <c r="H718" s="3">
        <v>56</v>
      </c>
      <c r="I718">
        <v>0</v>
      </c>
    </row>
    <row r="719" spans="1:9">
      <c r="A719" s="3">
        <v>1</v>
      </c>
      <c r="B719" s="3">
        <v>108</v>
      </c>
      <c r="C719" s="3">
        <v>60</v>
      </c>
      <c r="D719" s="3">
        <v>46</v>
      </c>
      <c r="E719" s="3">
        <v>178</v>
      </c>
      <c r="F719" s="3">
        <v>35.5</v>
      </c>
      <c r="G719" s="3">
        <v>0.415</v>
      </c>
      <c r="H719" s="3">
        <v>24</v>
      </c>
      <c r="I719">
        <v>0</v>
      </c>
    </row>
    <row r="720" spans="1:9">
      <c r="A720" s="3">
        <v>5</v>
      </c>
      <c r="B720" s="3">
        <v>97</v>
      </c>
      <c r="C720" s="3">
        <v>76</v>
      </c>
      <c r="D720" s="3">
        <v>27</v>
      </c>
      <c r="E720" s="3">
        <v>0</v>
      </c>
      <c r="F720" s="3">
        <v>35.6</v>
      </c>
      <c r="G720" s="3">
        <v>0.378</v>
      </c>
      <c r="H720" s="3">
        <v>52</v>
      </c>
      <c r="I720">
        <v>1</v>
      </c>
    </row>
    <row r="721" spans="1:9">
      <c r="A721" s="3">
        <v>4</v>
      </c>
      <c r="B721" s="3">
        <v>83</v>
      </c>
      <c r="C721" s="3">
        <v>86</v>
      </c>
      <c r="D721" s="3">
        <v>19</v>
      </c>
      <c r="E721" s="3">
        <v>0</v>
      </c>
      <c r="F721" s="3">
        <v>29.3</v>
      </c>
      <c r="G721" s="3">
        <v>0.317</v>
      </c>
      <c r="H721" s="3">
        <v>34</v>
      </c>
      <c r="I721">
        <v>0</v>
      </c>
    </row>
    <row r="722" spans="1:9">
      <c r="A722" s="3">
        <v>1</v>
      </c>
      <c r="B722" s="3">
        <v>114</v>
      </c>
      <c r="C722" s="3">
        <v>66</v>
      </c>
      <c r="D722" s="3">
        <v>36</v>
      </c>
      <c r="E722" s="3">
        <v>200</v>
      </c>
      <c r="F722" s="3">
        <v>38.1</v>
      </c>
      <c r="G722" s="3">
        <v>0.289</v>
      </c>
      <c r="H722" s="3">
        <v>21</v>
      </c>
      <c r="I722">
        <v>0</v>
      </c>
    </row>
    <row r="723" spans="1:9">
      <c r="A723" s="3">
        <v>1</v>
      </c>
      <c r="B723" s="3">
        <v>149</v>
      </c>
      <c r="C723" s="3">
        <v>68</v>
      </c>
      <c r="D723" s="3">
        <v>29</v>
      </c>
      <c r="E723" s="3">
        <v>127</v>
      </c>
      <c r="F723" s="3">
        <v>29.3</v>
      </c>
      <c r="G723" s="3">
        <v>0.349</v>
      </c>
      <c r="H723" s="3">
        <v>42</v>
      </c>
      <c r="I723">
        <v>1</v>
      </c>
    </row>
    <row r="724" spans="1:9">
      <c r="A724" s="3">
        <v>5</v>
      </c>
      <c r="B724" s="3">
        <v>117</v>
      </c>
      <c r="C724" s="3">
        <v>86</v>
      </c>
      <c r="D724" s="3">
        <v>30</v>
      </c>
      <c r="E724" s="3">
        <v>105</v>
      </c>
      <c r="F724" s="3">
        <v>39.1</v>
      </c>
      <c r="G724" s="3">
        <v>0.251</v>
      </c>
      <c r="H724" s="3">
        <v>42</v>
      </c>
      <c r="I724">
        <v>0</v>
      </c>
    </row>
    <row r="725" spans="1:9">
      <c r="A725" s="3">
        <v>1</v>
      </c>
      <c r="B725" s="3">
        <v>111</v>
      </c>
      <c r="C725" s="3">
        <v>94</v>
      </c>
      <c r="D725" s="3">
        <v>0</v>
      </c>
      <c r="E725" s="3">
        <v>0</v>
      </c>
      <c r="F725" s="3">
        <v>32.8</v>
      </c>
      <c r="G725" s="3">
        <v>0.265</v>
      </c>
      <c r="H725" s="3">
        <v>45</v>
      </c>
      <c r="I725">
        <v>0</v>
      </c>
    </row>
    <row r="726" spans="1:9">
      <c r="A726" s="3">
        <v>4</v>
      </c>
      <c r="B726" s="3">
        <v>112</v>
      </c>
      <c r="C726" s="3">
        <v>78</v>
      </c>
      <c r="D726" s="3">
        <v>40</v>
      </c>
      <c r="E726" s="3">
        <v>0</v>
      </c>
      <c r="F726" s="3">
        <v>39.4</v>
      </c>
      <c r="G726" s="3">
        <v>0.236</v>
      </c>
      <c r="H726" s="3">
        <v>38</v>
      </c>
      <c r="I726">
        <v>0</v>
      </c>
    </row>
    <row r="727" spans="1:9">
      <c r="A727" s="3">
        <v>1</v>
      </c>
      <c r="B727" s="3">
        <v>116</v>
      </c>
      <c r="C727" s="3">
        <v>78</v>
      </c>
      <c r="D727" s="3">
        <v>29</v>
      </c>
      <c r="E727" s="3">
        <v>180</v>
      </c>
      <c r="F727" s="3">
        <v>36.1</v>
      </c>
      <c r="G727" s="3">
        <v>0.496</v>
      </c>
      <c r="H727" s="3">
        <v>25</v>
      </c>
      <c r="I727">
        <v>0</v>
      </c>
    </row>
    <row r="728" spans="1:9">
      <c r="A728" s="3">
        <v>0</v>
      </c>
      <c r="B728" s="3">
        <v>141</v>
      </c>
      <c r="C728" s="3">
        <v>84</v>
      </c>
      <c r="D728" s="3">
        <v>26</v>
      </c>
      <c r="E728" s="3">
        <v>0</v>
      </c>
      <c r="F728" s="3">
        <v>32.4</v>
      </c>
      <c r="G728" s="3">
        <v>0.433</v>
      </c>
      <c r="H728" s="3">
        <v>22</v>
      </c>
      <c r="I728">
        <v>0</v>
      </c>
    </row>
    <row r="729" spans="1:9">
      <c r="A729" s="3">
        <v>2</v>
      </c>
      <c r="B729" s="3">
        <v>175</v>
      </c>
      <c r="C729" s="3">
        <v>88</v>
      </c>
      <c r="D729" s="3">
        <v>0</v>
      </c>
      <c r="E729" s="3">
        <v>0</v>
      </c>
      <c r="F729" s="3">
        <v>22.9</v>
      </c>
      <c r="G729" s="3">
        <v>0.326</v>
      </c>
      <c r="H729" s="3">
        <v>22</v>
      </c>
      <c r="I729">
        <v>0</v>
      </c>
    </row>
    <row r="730" spans="1:9">
      <c r="A730" s="3">
        <v>2</v>
      </c>
      <c r="B730" s="3">
        <v>92</v>
      </c>
      <c r="C730" s="3">
        <v>52</v>
      </c>
      <c r="D730" s="3">
        <v>0</v>
      </c>
      <c r="E730" s="3">
        <v>0</v>
      </c>
      <c r="F730" s="3">
        <v>30.1</v>
      </c>
      <c r="G730" s="3">
        <v>0.141</v>
      </c>
      <c r="H730" s="3">
        <v>22</v>
      </c>
      <c r="I730">
        <v>0</v>
      </c>
    </row>
    <row r="731" spans="1:9">
      <c r="A731" s="3">
        <v>3</v>
      </c>
      <c r="B731" s="3">
        <v>130</v>
      </c>
      <c r="C731" s="3">
        <v>78</v>
      </c>
      <c r="D731" s="3">
        <v>23</v>
      </c>
      <c r="E731" s="3">
        <v>79</v>
      </c>
      <c r="F731" s="3">
        <v>28.4</v>
      </c>
      <c r="G731" s="3">
        <v>0.323</v>
      </c>
      <c r="H731" s="3">
        <v>34</v>
      </c>
      <c r="I731">
        <v>1</v>
      </c>
    </row>
    <row r="732" spans="1:9">
      <c r="A732" s="3">
        <v>8</v>
      </c>
      <c r="B732" s="3">
        <v>120</v>
      </c>
      <c r="C732" s="3">
        <v>86</v>
      </c>
      <c r="D732" s="3">
        <v>0</v>
      </c>
      <c r="E732" s="3">
        <v>0</v>
      </c>
      <c r="F732" s="3">
        <v>28.4</v>
      </c>
      <c r="G732" s="3">
        <v>0.259</v>
      </c>
      <c r="H732" s="3">
        <v>22</v>
      </c>
      <c r="I732">
        <v>1</v>
      </c>
    </row>
    <row r="733" spans="1:9">
      <c r="A733" s="3">
        <v>2</v>
      </c>
      <c r="B733" s="3">
        <v>174</v>
      </c>
      <c r="C733" s="3">
        <v>88</v>
      </c>
      <c r="D733" s="3">
        <v>37</v>
      </c>
      <c r="E733" s="3">
        <v>120</v>
      </c>
      <c r="F733" s="3">
        <v>44.5</v>
      </c>
      <c r="G733" s="3">
        <v>0.646</v>
      </c>
      <c r="H733" s="3">
        <v>24</v>
      </c>
      <c r="I733">
        <v>1</v>
      </c>
    </row>
    <row r="734" spans="1:9">
      <c r="A734" s="3">
        <v>2</v>
      </c>
      <c r="B734" s="3">
        <v>106</v>
      </c>
      <c r="C734" s="3">
        <v>56</v>
      </c>
      <c r="D734" s="3">
        <v>27</v>
      </c>
      <c r="E734" s="3">
        <v>165</v>
      </c>
      <c r="F734" s="3">
        <v>29</v>
      </c>
      <c r="G734" s="3">
        <v>0.426</v>
      </c>
      <c r="H734" s="3">
        <v>22</v>
      </c>
      <c r="I734">
        <v>0</v>
      </c>
    </row>
    <row r="735" spans="1:9">
      <c r="A735" s="3">
        <v>2</v>
      </c>
      <c r="B735" s="3">
        <v>105</v>
      </c>
      <c r="C735" s="3">
        <v>75</v>
      </c>
      <c r="D735" s="3">
        <v>0</v>
      </c>
      <c r="E735" s="3">
        <v>0</v>
      </c>
      <c r="F735" s="3">
        <v>23.3</v>
      </c>
      <c r="G735" s="3">
        <v>0.56</v>
      </c>
      <c r="H735" s="3">
        <v>53</v>
      </c>
      <c r="I735">
        <v>0</v>
      </c>
    </row>
    <row r="736" spans="1:9">
      <c r="A736" s="3">
        <v>4</v>
      </c>
      <c r="B736" s="3">
        <v>95</v>
      </c>
      <c r="C736" s="3">
        <v>60</v>
      </c>
      <c r="D736" s="3">
        <v>32</v>
      </c>
      <c r="E736" s="3">
        <v>0</v>
      </c>
      <c r="F736" s="3">
        <v>35.4</v>
      </c>
      <c r="G736" s="3">
        <v>0.284</v>
      </c>
      <c r="H736" s="3">
        <v>28</v>
      </c>
      <c r="I736">
        <v>0</v>
      </c>
    </row>
    <row r="737" spans="1:9">
      <c r="A737" s="3">
        <v>0</v>
      </c>
      <c r="B737" s="3">
        <v>126</v>
      </c>
      <c r="C737" s="3">
        <v>86</v>
      </c>
      <c r="D737" s="3">
        <v>27</v>
      </c>
      <c r="E737" s="3">
        <v>120</v>
      </c>
      <c r="F737" s="3">
        <v>27.4</v>
      </c>
      <c r="G737" s="3">
        <v>0.515</v>
      </c>
      <c r="H737" s="3">
        <v>21</v>
      </c>
      <c r="I737">
        <v>0</v>
      </c>
    </row>
    <row r="738" spans="1:9">
      <c r="A738" s="3">
        <v>8</v>
      </c>
      <c r="B738" s="3">
        <v>65</v>
      </c>
      <c r="C738" s="3">
        <v>72</v>
      </c>
      <c r="D738" s="3">
        <v>23</v>
      </c>
      <c r="E738" s="3">
        <v>0</v>
      </c>
      <c r="F738" s="3">
        <v>32</v>
      </c>
      <c r="G738" s="3">
        <v>0.6</v>
      </c>
      <c r="H738" s="3">
        <v>42</v>
      </c>
      <c r="I738">
        <v>0</v>
      </c>
    </row>
    <row r="739" spans="1:9">
      <c r="A739" s="3">
        <v>2</v>
      </c>
      <c r="B739" s="3">
        <v>99</v>
      </c>
      <c r="C739" s="3">
        <v>60</v>
      </c>
      <c r="D739" s="3">
        <v>17</v>
      </c>
      <c r="E739" s="3">
        <v>160</v>
      </c>
      <c r="F739" s="3">
        <v>36.6</v>
      </c>
      <c r="G739" s="3">
        <v>0.453</v>
      </c>
      <c r="H739" s="3">
        <v>21</v>
      </c>
      <c r="I739">
        <v>0</v>
      </c>
    </row>
    <row r="740" spans="1:9">
      <c r="A740" s="3">
        <v>1</v>
      </c>
      <c r="B740" s="3">
        <v>102</v>
      </c>
      <c r="C740" s="3">
        <v>74</v>
      </c>
      <c r="D740" s="3">
        <v>0</v>
      </c>
      <c r="E740" s="3">
        <v>0</v>
      </c>
      <c r="F740" s="3">
        <v>39.5</v>
      </c>
      <c r="G740" s="3">
        <v>0.293</v>
      </c>
      <c r="H740" s="3">
        <v>42</v>
      </c>
      <c r="I740">
        <v>1</v>
      </c>
    </row>
    <row r="741" spans="1:9">
      <c r="A741" s="3">
        <v>11</v>
      </c>
      <c r="B741" s="3">
        <v>120</v>
      </c>
      <c r="C741" s="3">
        <v>80</v>
      </c>
      <c r="D741" s="3">
        <v>37</v>
      </c>
      <c r="E741" s="3">
        <v>150</v>
      </c>
      <c r="F741" s="3">
        <v>42.3</v>
      </c>
      <c r="G741" s="3">
        <v>0.785</v>
      </c>
      <c r="H741" s="3">
        <v>48</v>
      </c>
      <c r="I741">
        <v>1</v>
      </c>
    </row>
    <row r="742" spans="1:9">
      <c r="A742" s="3">
        <v>3</v>
      </c>
      <c r="B742" s="3">
        <v>102</v>
      </c>
      <c r="C742" s="3">
        <v>44</v>
      </c>
      <c r="D742" s="3">
        <v>20</v>
      </c>
      <c r="E742" s="3">
        <v>94</v>
      </c>
      <c r="F742" s="3">
        <v>30.8</v>
      </c>
      <c r="G742" s="3">
        <v>0.4</v>
      </c>
      <c r="H742" s="3">
        <v>26</v>
      </c>
      <c r="I742">
        <v>0</v>
      </c>
    </row>
    <row r="743" spans="1:9">
      <c r="A743" s="3">
        <v>1</v>
      </c>
      <c r="B743" s="3">
        <v>109</v>
      </c>
      <c r="C743" s="3">
        <v>58</v>
      </c>
      <c r="D743" s="3">
        <v>18</v>
      </c>
      <c r="E743" s="3">
        <v>116</v>
      </c>
      <c r="F743" s="3">
        <v>28.5</v>
      </c>
      <c r="G743" s="3">
        <v>0.219</v>
      </c>
      <c r="H743" s="3">
        <v>22</v>
      </c>
      <c r="I743">
        <v>0</v>
      </c>
    </row>
    <row r="744" spans="1:9">
      <c r="A744" s="3">
        <v>9</v>
      </c>
      <c r="B744" s="3">
        <v>140</v>
      </c>
      <c r="C744" s="3">
        <v>94</v>
      </c>
      <c r="D744" s="3">
        <v>0</v>
      </c>
      <c r="E744" s="3">
        <v>0</v>
      </c>
      <c r="F744" s="3">
        <v>32.7</v>
      </c>
      <c r="G744" s="3">
        <v>0.734</v>
      </c>
      <c r="H744" s="3">
        <v>45</v>
      </c>
      <c r="I744">
        <v>1</v>
      </c>
    </row>
    <row r="745" spans="1:9">
      <c r="A745" s="3">
        <v>13</v>
      </c>
      <c r="B745" s="3">
        <v>153</v>
      </c>
      <c r="C745" s="3">
        <v>88</v>
      </c>
      <c r="D745" s="3">
        <v>37</v>
      </c>
      <c r="E745" s="3">
        <v>140</v>
      </c>
      <c r="F745" s="3">
        <v>40.6</v>
      </c>
      <c r="G745" s="3">
        <v>1.174</v>
      </c>
      <c r="H745" s="3">
        <v>39</v>
      </c>
      <c r="I745">
        <v>0</v>
      </c>
    </row>
    <row r="746" spans="1:9">
      <c r="A746" s="3">
        <v>12</v>
      </c>
      <c r="B746" s="3">
        <v>100</v>
      </c>
      <c r="C746" s="3">
        <v>84</v>
      </c>
      <c r="D746" s="3">
        <v>33</v>
      </c>
      <c r="E746" s="3">
        <v>105</v>
      </c>
      <c r="F746" s="3">
        <v>30</v>
      </c>
      <c r="G746" s="3">
        <v>0.488</v>
      </c>
      <c r="H746" s="3">
        <v>46</v>
      </c>
      <c r="I746">
        <v>0</v>
      </c>
    </row>
    <row r="747" spans="1:9">
      <c r="A747" s="3">
        <v>1</v>
      </c>
      <c r="B747" s="3">
        <v>147</v>
      </c>
      <c r="C747" s="3">
        <v>94</v>
      </c>
      <c r="D747" s="3">
        <v>41</v>
      </c>
      <c r="E747" s="3">
        <v>0</v>
      </c>
      <c r="F747" s="3">
        <v>49.3</v>
      </c>
      <c r="G747" s="3">
        <v>0.358</v>
      </c>
      <c r="H747" s="3">
        <v>27</v>
      </c>
      <c r="I747">
        <v>1</v>
      </c>
    </row>
    <row r="748" spans="1:9">
      <c r="A748" s="3">
        <v>1</v>
      </c>
      <c r="B748" s="3">
        <v>81</v>
      </c>
      <c r="C748" s="3">
        <v>74</v>
      </c>
      <c r="D748" s="3">
        <v>41</v>
      </c>
      <c r="E748" s="3">
        <v>57</v>
      </c>
      <c r="F748" s="3">
        <v>46.3</v>
      </c>
      <c r="G748" s="3">
        <v>1.096</v>
      </c>
      <c r="H748" s="3">
        <v>32</v>
      </c>
      <c r="I748">
        <v>0</v>
      </c>
    </row>
    <row r="749" spans="1:9">
      <c r="A749" s="3">
        <v>3</v>
      </c>
      <c r="B749" s="3">
        <v>187</v>
      </c>
      <c r="C749" s="3">
        <v>70</v>
      </c>
      <c r="D749" s="3">
        <v>22</v>
      </c>
      <c r="E749" s="3">
        <v>200</v>
      </c>
      <c r="F749" s="3">
        <v>36.4</v>
      </c>
      <c r="G749" s="3">
        <v>0.408</v>
      </c>
      <c r="H749" s="3">
        <v>36</v>
      </c>
      <c r="I749">
        <v>1</v>
      </c>
    </row>
    <row r="750" spans="1:9">
      <c r="A750" s="3">
        <v>6</v>
      </c>
      <c r="B750" s="3">
        <v>162</v>
      </c>
      <c r="C750" s="3">
        <v>62</v>
      </c>
      <c r="D750" s="3">
        <v>0</v>
      </c>
      <c r="E750" s="3">
        <v>0</v>
      </c>
      <c r="F750" s="3">
        <v>24.3</v>
      </c>
      <c r="G750" s="3">
        <v>0.178</v>
      </c>
      <c r="H750" s="3">
        <v>50</v>
      </c>
      <c r="I750">
        <v>1</v>
      </c>
    </row>
    <row r="751" spans="1:9">
      <c r="A751" s="3">
        <v>4</v>
      </c>
      <c r="B751" s="3">
        <v>136</v>
      </c>
      <c r="C751" s="3">
        <v>70</v>
      </c>
      <c r="D751" s="3">
        <v>0</v>
      </c>
      <c r="E751" s="3">
        <v>0</v>
      </c>
      <c r="F751" s="3">
        <v>31.2</v>
      </c>
      <c r="G751" s="3">
        <v>1.182</v>
      </c>
      <c r="H751" s="3">
        <v>22</v>
      </c>
      <c r="I751">
        <v>1</v>
      </c>
    </row>
    <row r="752" spans="1:9">
      <c r="A752" s="3">
        <v>1</v>
      </c>
      <c r="B752" s="3">
        <v>121</v>
      </c>
      <c r="C752" s="3">
        <v>78</v>
      </c>
      <c r="D752" s="3">
        <v>39</v>
      </c>
      <c r="E752" s="3">
        <v>74</v>
      </c>
      <c r="F752" s="3">
        <v>39</v>
      </c>
      <c r="G752" s="3">
        <v>0.261</v>
      </c>
      <c r="H752" s="3">
        <v>28</v>
      </c>
      <c r="I752">
        <v>0</v>
      </c>
    </row>
    <row r="753" spans="1:9">
      <c r="A753" s="3">
        <v>3</v>
      </c>
      <c r="B753" s="3">
        <v>108</v>
      </c>
      <c r="C753" s="3">
        <v>62</v>
      </c>
      <c r="D753" s="3">
        <v>24</v>
      </c>
      <c r="E753" s="3">
        <v>0</v>
      </c>
      <c r="F753" s="3">
        <v>26</v>
      </c>
      <c r="G753" s="3">
        <v>0.223</v>
      </c>
      <c r="H753" s="3">
        <v>25</v>
      </c>
      <c r="I753">
        <v>0</v>
      </c>
    </row>
    <row r="754" spans="1:9">
      <c r="A754" s="3">
        <v>0</v>
      </c>
      <c r="B754" s="3">
        <v>181</v>
      </c>
      <c r="C754" s="3">
        <v>88</v>
      </c>
      <c r="D754" s="3">
        <v>44</v>
      </c>
      <c r="E754" s="3">
        <v>510</v>
      </c>
      <c r="F754" s="3">
        <v>43.3</v>
      </c>
      <c r="G754" s="3">
        <v>0.222</v>
      </c>
      <c r="H754" s="3">
        <v>26</v>
      </c>
      <c r="I754">
        <v>1</v>
      </c>
    </row>
    <row r="755" spans="1:9">
      <c r="A755" s="3">
        <v>8</v>
      </c>
      <c r="B755" s="3">
        <v>154</v>
      </c>
      <c r="C755" s="3">
        <v>78</v>
      </c>
      <c r="D755" s="3">
        <v>32</v>
      </c>
      <c r="E755" s="3">
        <v>0</v>
      </c>
      <c r="F755" s="3">
        <v>32.4</v>
      </c>
      <c r="G755" s="3">
        <v>0.443</v>
      </c>
      <c r="H755" s="3">
        <v>45</v>
      </c>
      <c r="I755">
        <v>1</v>
      </c>
    </row>
    <row r="756" spans="1:9">
      <c r="A756" s="3">
        <v>1</v>
      </c>
      <c r="B756" s="3">
        <v>128</v>
      </c>
      <c r="C756" s="3">
        <v>88</v>
      </c>
      <c r="D756" s="3">
        <v>39</v>
      </c>
      <c r="E756" s="3">
        <v>110</v>
      </c>
      <c r="F756" s="3">
        <v>36.5</v>
      </c>
      <c r="G756" s="3">
        <v>1.057</v>
      </c>
      <c r="H756" s="3">
        <v>37</v>
      </c>
      <c r="I756">
        <v>1</v>
      </c>
    </row>
    <row r="757" spans="1:9">
      <c r="A757" s="3">
        <v>7</v>
      </c>
      <c r="B757" s="3">
        <v>137</v>
      </c>
      <c r="C757" s="3">
        <v>90</v>
      </c>
      <c r="D757" s="3">
        <v>41</v>
      </c>
      <c r="E757" s="3">
        <v>0</v>
      </c>
      <c r="F757" s="3">
        <v>32</v>
      </c>
      <c r="G757" s="3">
        <v>0.391</v>
      </c>
      <c r="H757" s="3">
        <v>39</v>
      </c>
      <c r="I757">
        <v>0</v>
      </c>
    </row>
    <row r="758" spans="1:9">
      <c r="A758" s="3">
        <v>0</v>
      </c>
      <c r="B758" s="3">
        <v>123</v>
      </c>
      <c r="C758" s="3">
        <v>72</v>
      </c>
      <c r="D758" s="3">
        <v>0</v>
      </c>
      <c r="E758" s="3">
        <v>0</v>
      </c>
      <c r="F758" s="3">
        <v>36.3</v>
      </c>
      <c r="G758" s="3">
        <v>0.258</v>
      </c>
      <c r="H758" s="3">
        <v>52</v>
      </c>
      <c r="I758">
        <v>1</v>
      </c>
    </row>
    <row r="759" spans="1:9">
      <c r="A759" s="3">
        <v>1</v>
      </c>
      <c r="B759" s="3">
        <v>106</v>
      </c>
      <c r="C759" s="3">
        <v>76</v>
      </c>
      <c r="D759" s="3">
        <v>0</v>
      </c>
      <c r="E759" s="3">
        <v>0</v>
      </c>
      <c r="F759" s="3">
        <v>37.5</v>
      </c>
      <c r="G759" s="3">
        <v>0.197</v>
      </c>
      <c r="H759" s="3">
        <v>26</v>
      </c>
      <c r="I759">
        <v>0</v>
      </c>
    </row>
    <row r="760" spans="1:9">
      <c r="A760" s="3">
        <v>6</v>
      </c>
      <c r="B760" s="3">
        <v>190</v>
      </c>
      <c r="C760" s="3">
        <v>92</v>
      </c>
      <c r="D760" s="3">
        <v>0</v>
      </c>
      <c r="E760" s="3">
        <v>0</v>
      </c>
      <c r="F760" s="3">
        <v>35.5</v>
      </c>
      <c r="G760" s="3">
        <v>0.278</v>
      </c>
      <c r="H760" s="3">
        <v>66</v>
      </c>
      <c r="I760">
        <v>1</v>
      </c>
    </row>
    <row r="761" spans="1:9">
      <c r="A761" s="3">
        <v>2</v>
      </c>
      <c r="B761" s="3">
        <v>88</v>
      </c>
      <c r="C761" s="3">
        <v>58</v>
      </c>
      <c r="D761" s="3">
        <v>26</v>
      </c>
      <c r="E761" s="3">
        <v>16</v>
      </c>
      <c r="F761" s="3">
        <v>28.4</v>
      </c>
      <c r="G761" s="3">
        <v>0.766</v>
      </c>
      <c r="H761" s="3">
        <v>22</v>
      </c>
      <c r="I761">
        <v>0</v>
      </c>
    </row>
    <row r="762" spans="1:9">
      <c r="A762" s="3">
        <v>9</v>
      </c>
      <c r="B762" s="3">
        <v>170</v>
      </c>
      <c r="C762" s="3">
        <v>74</v>
      </c>
      <c r="D762" s="3">
        <v>31</v>
      </c>
      <c r="E762" s="3">
        <v>0</v>
      </c>
      <c r="F762" s="3">
        <v>44</v>
      </c>
      <c r="G762" s="3">
        <v>0.403</v>
      </c>
      <c r="H762" s="3">
        <v>43</v>
      </c>
      <c r="I762">
        <v>1</v>
      </c>
    </row>
    <row r="763" spans="1:9">
      <c r="A763" s="3">
        <v>9</v>
      </c>
      <c r="B763" s="3">
        <v>89</v>
      </c>
      <c r="C763" s="3">
        <v>62</v>
      </c>
      <c r="D763" s="3">
        <v>0</v>
      </c>
      <c r="E763" s="3">
        <v>0</v>
      </c>
      <c r="F763" s="3">
        <v>22.5</v>
      </c>
      <c r="G763" s="3">
        <v>0.142</v>
      </c>
      <c r="H763" s="3">
        <v>33</v>
      </c>
      <c r="I763">
        <v>0</v>
      </c>
    </row>
    <row r="764" spans="1:9">
      <c r="A764" s="3">
        <v>10</v>
      </c>
      <c r="B764" s="3">
        <v>101</v>
      </c>
      <c r="C764" s="3">
        <v>76</v>
      </c>
      <c r="D764" s="3">
        <v>48</v>
      </c>
      <c r="E764" s="3">
        <v>180</v>
      </c>
      <c r="F764" s="3">
        <v>32.9</v>
      </c>
      <c r="G764" s="3">
        <v>0.171</v>
      </c>
      <c r="H764" s="3">
        <v>63</v>
      </c>
      <c r="I764">
        <v>0</v>
      </c>
    </row>
    <row r="765" spans="1:9">
      <c r="A765" s="3">
        <v>2</v>
      </c>
      <c r="B765" s="3">
        <v>122</v>
      </c>
      <c r="C765" s="3">
        <v>70</v>
      </c>
      <c r="D765" s="3">
        <v>27</v>
      </c>
      <c r="E765" s="3">
        <v>0</v>
      </c>
      <c r="F765" s="3">
        <v>36.8</v>
      </c>
      <c r="G765" s="3">
        <v>0.34</v>
      </c>
      <c r="H765" s="3">
        <v>27</v>
      </c>
      <c r="I765">
        <v>0</v>
      </c>
    </row>
    <row r="766" spans="1:9">
      <c r="A766" s="3">
        <v>5</v>
      </c>
      <c r="B766" s="3">
        <v>121</v>
      </c>
      <c r="C766" s="3">
        <v>72</v>
      </c>
      <c r="D766" s="3">
        <v>23</v>
      </c>
      <c r="E766" s="3">
        <v>112</v>
      </c>
      <c r="F766" s="3">
        <v>26.2</v>
      </c>
      <c r="G766" s="3">
        <v>0.245</v>
      </c>
      <c r="H766" s="3">
        <v>30</v>
      </c>
      <c r="I766">
        <v>0</v>
      </c>
    </row>
    <row r="767" spans="1:9">
      <c r="A767" s="3">
        <v>1</v>
      </c>
      <c r="B767" s="3">
        <v>126</v>
      </c>
      <c r="C767" s="3">
        <v>60</v>
      </c>
      <c r="D767" s="3">
        <v>0</v>
      </c>
      <c r="E767" s="3">
        <v>0</v>
      </c>
      <c r="F767" s="3">
        <v>30.1</v>
      </c>
      <c r="G767" s="3">
        <v>0.349</v>
      </c>
      <c r="H767" s="3">
        <v>47</v>
      </c>
      <c r="I767">
        <v>1</v>
      </c>
    </row>
    <row r="768" spans="1:9">
      <c r="A768" s="3">
        <v>1</v>
      </c>
      <c r="B768" s="3">
        <v>93</v>
      </c>
      <c r="C768" s="3">
        <v>70</v>
      </c>
      <c r="D768" s="3">
        <v>31</v>
      </c>
      <c r="E768" s="3">
        <v>0</v>
      </c>
      <c r="F768" s="3">
        <v>30.4</v>
      </c>
      <c r="G768" s="3">
        <v>0.315</v>
      </c>
      <c r="H768" s="3">
        <v>23</v>
      </c>
      <c r="I768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8"/>
  <sheetViews>
    <sheetView workbookViewId="0">
      <pane xSplit="4" ySplit="8" topLeftCell="E756" activePane="bottomRight" state="frozen"/>
      <selection/>
      <selection pane="topRight"/>
      <selection pane="bottomLeft"/>
      <selection pane="bottomRight" activeCell="P772" sqref="P772"/>
    </sheetView>
  </sheetViews>
  <sheetFormatPr defaultColWidth="9" defaultRowHeight="13.5" outlineLevelCol="7"/>
  <cols>
    <col min="1" max="8" width="9.375" customWidth="1"/>
  </cols>
  <sheetData>
    <row r="1" spans="1:8">
      <c r="A1" s="5">
        <f>(pima_data!A1-MIN(pima_data!$A$1:$A$768))/(MAX(pima_data!$A$1:$A$768)-MIN(pima_data!$A$1:$A$768))</f>
        <v>0.352941176470588</v>
      </c>
      <c r="B1" s="5">
        <f>(pima_data!B1-MIN(pima_data!$B$1:$B$768))/(MAX(pima_data!$B$1:$B$768)-MIN(pima_data!$B$1:$B$768))</f>
        <v>0.743718592964824</v>
      </c>
      <c r="C1" s="5">
        <f>(pima_data!C1-MIN(pima_data!$C$1:$C$768))/(MAX(pima_data!$C$1:$C$768)-MIN(pima_data!$C$1:$C$768))</f>
        <v>0.590163934426229</v>
      </c>
      <c r="D1" s="5">
        <f>(pima_data!D1-MIN(pima_data!$D$1:$D$768))/(MAX(pima_data!$D$1:$D$768)-MIN(pima_data!$D$1:$D$768))</f>
        <v>0.353535353535354</v>
      </c>
      <c r="E1" s="5">
        <f>(pima_data!E1-MIN(pima_data!$E$1:$E$768))/(MAX(pima_data!$E$1:$E$768)-MIN(pima_data!$E$1:$E$768))</f>
        <v>0</v>
      </c>
      <c r="F1" s="5">
        <f>(pima_data!F1-MIN(pima_data!$F$1:$F$768))/(MAX(pima_data!$F$1:$F$768)-MIN(pima_data!$F$1:$F$768))</f>
        <v>0.500745156482861</v>
      </c>
      <c r="G1" s="5">
        <f>(pima_data!G1-MIN(pima_data!$G$1:$G$768))/(MAX(pima_data!$G$1:$G$768)-MIN(pima_data!$G$1:$G$768))</f>
        <v>0.234415029888984</v>
      </c>
      <c r="H1" s="5">
        <f>(pima_data!H1-MIN(pima_data!$H$1:$H$768))/(MAX(pima_data!$H$1:$H$768)-MIN(pima_data!$H$1:$H$768))</f>
        <v>0.483333333333333</v>
      </c>
    </row>
    <row r="2" spans="1:8">
      <c r="A2" s="5">
        <f>(pima_data!A2-MIN(pima_data!$A$1:$A$768))/(MAX(pima_data!$A$1:$A$768)-MIN(pima_data!$A$1:$A$768))</f>
        <v>0.0588235294117647</v>
      </c>
      <c r="B2" s="5">
        <f>(pima_data!B2-MIN(pima_data!$B$1:$B$768))/(MAX(pima_data!$B$1:$B$768)-MIN(pima_data!$B$1:$B$768))</f>
        <v>0.42713567839196</v>
      </c>
      <c r="C2" s="5">
        <f>(pima_data!C2-MIN(pima_data!$C$1:$C$768))/(MAX(pima_data!$C$1:$C$768)-MIN(pima_data!$C$1:$C$768))</f>
        <v>0.540983606557377</v>
      </c>
      <c r="D2" s="5">
        <f>(pima_data!D2-MIN(pima_data!$D$1:$D$768))/(MAX(pima_data!$D$1:$D$768)-MIN(pima_data!$D$1:$D$768))</f>
        <v>0.292929292929293</v>
      </c>
      <c r="E2" s="5">
        <f>(pima_data!E2-MIN(pima_data!$E$1:$E$768))/(MAX(pima_data!$E$1:$E$768)-MIN(pima_data!$E$1:$E$768))</f>
        <v>0</v>
      </c>
      <c r="F2" s="5">
        <f>(pima_data!F2-MIN(pima_data!$F$1:$F$768))/(MAX(pima_data!$F$1:$F$768)-MIN(pima_data!$F$1:$F$768))</f>
        <v>0.396423248882265</v>
      </c>
      <c r="G2" s="5">
        <f>(pima_data!G2-MIN(pima_data!$G$1:$G$768))/(MAX(pima_data!$G$1:$G$768)-MIN(pima_data!$G$1:$G$768))</f>
        <v>0.116567036720751</v>
      </c>
      <c r="H2" s="5">
        <f>(pima_data!H2-MIN(pima_data!$H$1:$H$768))/(MAX(pima_data!$H$1:$H$768)-MIN(pima_data!$H$1:$H$768))</f>
        <v>0.166666666666667</v>
      </c>
    </row>
    <row r="3" spans="1:8">
      <c r="A3" s="5">
        <f>(pima_data!A3-MIN(pima_data!$A$1:$A$768))/(MAX(pima_data!$A$1:$A$768)-MIN(pima_data!$A$1:$A$768))</f>
        <v>0.470588235294118</v>
      </c>
      <c r="B3" s="5">
        <f>(pima_data!B3-MIN(pima_data!$B$1:$B$768))/(MAX(pima_data!$B$1:$B$768)-MIN(pima_data!$B$1:$B$768))</f>
        <v>0.919597989949749</v>
      </c>
      <c r="C3" s="5">
        <f>(pima_data!C3-MIN(pima_data!$C$1:$C$768))/(MAX(pima_data!$C$1:$C$768)-MIN(pima_data!$C$1:$C$768))</f>
        <v>0.524590163934426</v>
      </c>
      <c r="D3" s="5">
        <f>(pima_data!D3-MIN(pima_data!$D$1:$D$768))/(MAX(pima_data!$D$1:$D$768)-MIN(pima_data!$D$1:$D$768))</f>
        <v>0</v>
      </c>
      <c r="E3" s="5">
        <f>(pima_data!E3-MIN(pima_data!$E$1:$E$768))/(MAX(pima_data!$E$1:$E$768)-MIN(pima_data!$E$1:$E$768))</f>
        <v>0</v>
      </c>
      <c r="F3" s="5">
        <f>(pima_data!F3-MIN(pima_data!$F$1:$F$768))/(MAX(pima_data!$F$1:$F$768)-MIN(pima_data!$F$1:$F$768))</f>
        <v>0.347242921013413</v>
      </c>
      <c r="G3" s="5">
        <f>(pima_data!G3-MIN(pima_data!$G$1:$G$768))/(MAX(pima_data!$G$1:$G$768)-MIN(pima_data!$G$1:$G$768))</f>
        <v>0.253629376601196</v>
      </c>
      <c r="H3" s="5">
        <f>(pima_data!H3-MIN(pima_data!$H$1:$H$768))/(MAX(pima_data!$H$1:$H$768)-MIN(pima_data!$H$1:$H$768))</f>
        <v>0.183333333333333</v>
      </c>
    </row>
    <row r="4" spans="1:8">
      <c r="A4" s="5">
        <f>(pima_data!A4-MIN(pima_data!$A$1:$A$768))/(MAX(pima_data!$A$1:$A$768)-MIN(pima_data!$A$1:$A$768))</f>
        <v>0.0588235294117647</v>
      </c>
      <c r="B4" s="5">
        <f>(pima_data!B4-MIN(pima_data!$B$1:$B$768))/(MAX(pima_data!$B$1:$B$768)-MIN(pima_data!$B$1:$B$768))</f>
        <v>0.447236180904523</v>
      </c>
      <c r="C4" s="5">
        <f>(pima_data!C4-MIN(pima_data!$C$1:$C$768))/(MAX(pima_data!$C$1:$C$768)-MIN(pima_data!$C$1:$C$768))</f>
        <v>0.540983606557377</v>
      </c>
      <c r="D4" s="5">
        <f>(pima_data!D4-MIN(pima_data!$D$1:$D$768))/(MAX(pima_data!$D$1:$D$768)-MIN(pima_data!$D$1:$D$768))</f>
        <v>0.232323232323232</v>
      </c>
      <c r="E4" s="5">
        <f>(pima_data!E4-MIN(pima_data!$E$1:$E$768))/(MAX(pima_data!$E$1:$E$768)-MIN(pima_data!$E$1:$E$768))</f>
        <v>0.111111111111111</v>
      </c>
      <c r="F4" s="5">
        <f>(pima_data!F4-MIN(pima_data!$F$1:$F$768))/(MAX(pima_data!$F$1:$F$768)-MIN(pima_data!$F$1:$F$768))</f>
        <v>0.418777943368107</v>
      </c>
      <c r="G4" s="5">
        <f>(pima_data!G4-MIN(pima_data!$G$1:$G$768))/(MAX(pima_data!$G$1:$G$768)-MIN(pima_data!$G$1:$G$768))</f>
        <v>0.03800170794193</v>
      </c>
      <c r="H4" s="5">
        <f>(pima_data!H4-MIN(pima_data!$H$1:$H$768))/(MAX(pima_data!$H$1:$H$768)-MIN(pima_data!$H$1:$H$768))</f>
        <v>0</v>
      </c>
    </row>
    <row r="5" spans="1:8">
      <c r="A5" s="5">
        <f>(pima_data!A5-MIN(pima_data!$A$1:$A$768))/(MAX(pima_data!$A$1:$A$768)-MIN(pima_data!$A$1:$A$768))</f>
        <v>0</v>
      </c>
      <c r="B5" s="5">
        <f>(pima_data!B5-MIN(pima_data!$B$1:$B$768))/(MAX(pima_data!$B$1:$B$768)-MIN(pima_data!$B$1:$B$768))</f>
        <v>0.688442211055276</v>
      </c>
      <c r="C5" s="5">
        <f>(pima_data!C5-MIN(pima_data!$C$1:$C$768))/(MAX(pima_data!$C$1:$C$768)-MIN(pima_data!$C$1:$C$768))</f>
        <v>0.327868852459016</v>
      </c>
      <c r="D5" s="5">
        <f>(pima_data!D5-MIN(pima_data!$D$1:$D$768))/(MAX(pima_data!$D$1:$D$768)-MIN(pima_data!$D$1:$D$768))</f>
        <v>0.353535353535354</v>
      </c>
      <c r="E5" s="5">
        <f>(pima_data!E5-MIN(pima_data!$E$1:$E$768))/(MAX(pima_data!$E$1:$E$768)-MIN(pima_data!$E$1:$E$768))</f>
        <v>0.198581560283688</v>
      </c>
      <c r="F5" s="5">
        <f>(pima_data!F5-MIN(pima_data!$F$1:$F$768))/(MAX(pima_data!$F$1:$F$768)-MIN(pima_data!$F$1:$F$768))</f>
        <v>0.642324888226528</v>
      </c>
      <c r="G5" s="5">
        <f>(pima_data!G5-MIN(pima_data!$G$1:$G$768))/(MAX(pima_data!$G$1:$G$768)-MIN(pima_data!$G$1:$G$768))</f>
        <v>0.943637916310845</v>
      </c>
      <c r="H5" s="5">
        <f>(pima_data!H5-MIN(pima_data!$H$1:$H$768))/(MAX(pima_data!$H$1:$H$768)-MIN(pima_data!$H$1:$H$768))</f>
        <v>0.2</v>
      </c>
    </row>
    <row r="6" spans="1:8">
      <c r="A6" s="5">
        <f>(pima_data!A6-MIN(pima_data!$A$1:$A$768))/(MAX(pima_data!$A$1:$A$768)-MIN(pima_data!$A$1:$A$768))</f>
        <v>0.294117647058824</v>
      </c>
      <c r="B6" s="5">
        <f>(pima_data!B6-MIN(pima_data!$B$1:$B$768))/(MAX(pima_data!$B$1:$B$768)-MIN(pima_data!$B$1:$B$768))</f>
        <v>0.582914572864322</v>
      </c>
      <c r="C6" s="5">
        <f>(pima_data!C6-MIN(pima_data!$C$1:$C$768))/(MAX(pima_data!$C$1:$C$768)-MIN(pima_data!$C$1:$C$768))</f>
        <v>0.60655737704918</v>
      </c>
      <c r="D6" s="5">
        <f>(pima_data!D6-MIN(pima_data!$D$1:$D$768))/(MAX(pima_data!$D$1:$D$768)-MIN(pima_data!$D$1:$D$768))</f>
        <v>0</v>
      </c>
      <c r="E6" s="5">
        <f>(pima_data!E6-MIN(pima_data!$E$1:$E$768))/(MAX(pima_data!$E$1:$E$768)-MIN(pima_data!$E$1:$E$768))</f>
        <v>0</v>
      </c>
      <c r="F6" s="5">
        <f>(pima_data!F6-MIN(pima_data!$F$1:$F$768))/(MAX(pima_data!$F$1:$F$768)-MIN(pima_data!$F$1:$F$768))</f>
        <v>0.381520119225037</v>
      </c>
      <c r="G6" s="5">
        <f>(pima_data!G6-MIN(pima_data!$G$1:$G$768))/(MAX(pima_data!$G$1:$G$768)-MIN(pima_data!$G$1:$G$768))</f>
        <v>0.0525192143467122</v>
      </c>
      <c r="H6" s="5">
        <f>(pima_data!H6-MIN(pima_data!$H$1:$H$768))/(MAX(pima_data!$H$1:$H$768)-MIN(pima_data!$H$1:$H$768))</f>
        <v>0.15</v>
      </c>
    </row>
    <row r="7" spans="1:8">
      <c r="A7" s="5">
        <f>(pima_data!A7-MIN(pima_data!$A$1:$A$768))/(MAX(pima_data!$A$1:$A$768)-MIN(pima_data!$A$1:$A$768))</f>
        <v>0.176470588235294</v>
      </c>
      <c r="B7" s="5">
        <f>(pima_data!B7-MIN(pima_data!$B$1:$B$768))/(MAX(pima_data!$B$1:$B$768)-MIN(pima_data!$B$1:$B$768))</f>
        <v>0.391959798994975</v>
      </c>
      <c r="C7" s="5">
        <f>(pima_data!C7-MIN(pima_data!$C$1:$C$768))/(MAX(pima_data!$C$1:$C$768)-MIN(pima_data!$C$1:$C$768))</f>
        <v>0.409836065573771</v>
      </c>
      <c r="D7" s="5">
        <f>(pima_data!D7-MIN(pima_data!$D$1:$D$768))/(MAX(pima_data!$D$1:$D$768)-MIN(pima_data!$D$1:$D$768))</f>
        <v>0.323232323232323</v>
      </c>
      <c r="E7" s="5">
        <f>(pima_data!E7-MIN(pima_data!$E$1:$E$768))/(MAX(pima_data!$E$1:$E$768)-MIN(pima_data!$E$1:$E$768))</f>
        <v>0.104018912529551</v>
      </c>
      <c r="F7" s="5">
        <f>(pima_data!F7-MIN(pima_data!$F$1:$F$768))/(MAX(pima_data!$F$1:$F$768)-MIN(pima_data!$F$1:$F$768))</f>
        <v>0.461997019374069</v>
      </c>
      <c r="G7" s="5">
        <f>(pima_data!G7-MIN(pima_data!$G$1:$G$768))/(MAX(pima_data!$G$1:$G$768)-MIN(pima_data!$G$1:$G$768))</f>
        <v>0.0725875320239112</v>
      </c>
      <c r="H7" s="5">
        <f>(pima_data!H7-MIN(pima_data!$H$1:$H$768))/(MAX(pima_data!$H$1:$H$768)-MIN(pima_data!$H$1:$H$768))</f>
        <v>0.0833333333333333</v>
      </c>
    </row>
    <row r="8" spans="1:8">
      <c r="A8" s="5">
        <f>(pima_data!A8-MIN(pima_data!$A$1:$A$768))/(MAX(pima_data!$A$1:$A$768)-MIN(pima_data!$A$1:$A$768))</f>
        <v>0.588235294117647</v>
      </c>
      <c r="B8" s="5">
        <f>(pima_data!B8-MIN(pima_data!$B$1:$B$768))/(MAX(pima_data!$B$1:$B$768)-MIN(pima_data!$B$1:$B$768))</f>
        <v>0.577889447236181</v>
      </c>
      <c r="C8" s="5">
        <f>(pima_data!C8-MIN(pima_data!$C$1:$C$768))/(MAX(pima_data!$C$1:$C$768)-MIN(pima_data!$C$1:$C$768))</f>
        <v>0</v>
      </c>
      <c r="D8" s="5">
        <f>(pima_data!D8-MIN(pima_data!$D$1:$D$768))/(MAX(pima_data!$D$1:$D$768)-MIN(pima_data!$D$1:$D$768))</f>
        <v>0</v>
      </c>
      <c r="E8" s="5">
        <f>(pima_data!E8-MIN(pima_data!$E$1:$E$768))/(MAX(pima_data!$E$1:$E$768)-MIN(pima_data!$E$1:$E$768))</f>
        <v>0</v>
      </c>
      <c r="F8" s="5">
        <f>(pima_data!F8-MIN(pima_data!$F$1:$F$768))/(MAX(pima_data!$F$1:$F$768)-MIN(pima_data!$F$1:$F$768))</f>
        <v>0.526080476900149</v>
      </c>
      <c r="G8" s="5">
        <f>(pima_data!G8-MIN(pima_data!$G$1:$G$768))/(MAX(pima_data!$G$1:$G$768)-MIN(pima_data!$G$1:$G$768))</f>
        <v>0.0239111870196413</v>
      </c>
      <c r="H8" s="5">
        <f>(pima_data!H8-MIN(pima_data!$H$1:$H$768))/(MAX(pima_data!$H$1:$H$768)-MIN(pima_data!$H$1:$H$768))</f>
        <v>0.133333333333333</v>
      </c>
    </row>
    <row r="9" spans="1:8">
      <c r="A9" s="5">
        <f>(pima_data!A9-MIN(pima_data!$A$1:$A$768))/(MAX(pima_data!$A$1:$A$768)-MIN(pima_data!$A$1:$A$768))</f>
        <v>0.117647058823529</v>
      </c>
      <c r="B9" s="5">
        <f>(pima_data!B9-MIN(pima_data!$B$1:$B$768))/(MAX(pima_data!$B$1:$B$768)-MIN(pima_data!$B$1:$B$768))</f>
        <v>0.989949748743719</v>
      </c>
      <c r="C9" s="5">
        <f>(pima_data!C9-MIN(pima_data!$C$1:$C$768))/(MAX(pima_data!$C$1:$C$768)-MIN(pima_data!$C$1:$C$768))</f>
        <v>0.573770491803279</v>
      </c>
      <c r="D9" s="5">
        <f>(pima_data!D9-MIN(pima_data!$D$1:$D$768))/(MAX(pima_data!$D$1:$D$768)-MIN(pima_data!$D$1:$D$768))</f>
        <v>0.454545454545455</v>
      </c>
      <c r="E9" s="5">
        <f>(pima_data!E9-MIN(pima_data!$E$1:$E$768))/(MAX(pima_data!$E$1:$E$768)-MIN(pima_data!$E$1:$E$768))</f>
        <v>0.641843971631206</v>
      </c>
      <c r="F9" s="5">
        <f>(pima_data!F9-MIN(pima_data!$F$1:$F$768))/(MAX(pima_data!$F$1:$F$768)-MIN(pima_data!$F$1:$F$768))</f>
        <v>0.454545454545455</v>
      </c>
      <c r="G9" s="5">
        <f>(pima_data!G9-MIN(pima_data!$G$1:$G$768))/(MAX(pima_data!$G$1:$G$768)-MIN(pima_data!$G$1:$G$768))</f>
        <v>0.0341588385994876</v>
      </c>
      <c r="H9" s="5">
        <f>(pima_data!H9-MIN(pima_data!$H$1:$H$768))/(MAX(pima_data!$H$1:$H$768)-MIN(pima_data!$H$1:$H$768))</f>
        <v>0.533333333333333</v>
      </c>
    </row>
    <row r="10" spans="1:8">
      <c r="A10" s="5">
        <f>(pima_data!A10-MIN(pima_data!$A$1:$A$768))/(MAX(pima_data!$A$1:$A$768)-MIN(pima_data!$A$1:$A$768))</f>
        <v>0.470588235294118</v>
      </c>
      <c r="B10" s="5">
        <f>(pima_data!B10-MIN(pima_data!$B$1:$B$768))/(MAX(pima_data!$B$1:$B$768)-MIN(pima_data!$B$1:$B$768))</f>
        <v>0.628140703517588</v>
      </c>
      <c r="C10" s="5">
        <f>(pima_data!C10-MIN(pima_data!$C$1:$C$768))/(MAX(pima_data!$C$1:$C$768)-MIN(pima_data!$C$1:$C$768))</f>
        <v>0.786885245901639</v>
      </c>
      <c r="D10" s="5">
        <f>(pima_data!D10-MIN(pima_data!$D$1:$D$768))/(MAX(pima_data!$D$1:$D$768)-MIN(pima_data!$D$1:$D$768))</f>
        <v>0</v>
      </c>
      <c r="E10" s="5">
        <f>(pima_data!E10-MIN(pima_data!$E$1:$E$768))/(MAX(pima_data!$E$1:$E$768)-MIN(pima_data!$E$1:$E$768))</f>
        <v>0</v>
      </c>
      <c r="F10" s="5">
        <f>(pima_data!F10-MIN(pima_data!$F$1:$F$768))/(MAX(pima_data!$F$1:$F$768)-MIN(pima_data!$F$1:$F$768))</f>
        <v>0</v>
      </c>
      <c r="G10" s="5">
        <f>(pima_data!G10-MIN(pima_data!$G$1:$G$768))/(MAX(pima_data!$G$1:$G$768)-MIN(pima_data!$G$1:$G$768))</f>
        <v>0.0657557643040137</v>
      </c>
      <c r="H10" s="5">
        <f>(pima_data!H10-MIN(pima_data!$H$1:$H$768))/(MAX(pima_data!$H$1:$H$768)-MIN(pima_data!$H$1:$H$768))</f>
        <v>0.55</v>
      </c>
    </row>
    <row r="11" spans="1:8">
      <c r="A11" s="5">
        <f>(pima_data!A11-MIN(pima_data!$A$1:$A$768))/(MAX(pima_data!$A$1:$A$768)-MIN(pima_data!$A$1:$A$768))</f>
        <v>0.235294117647059</v>
      </c>
      <c r="B11" s="5">
        <f>(pima_data!B11-MIN(pima_data!$B$1:$B$768))/(MAX(pima_data!$B$1:$B$768)-MIN(pima_data!$B$1:$B$768))</f>
        <v>0.552763819095477</v>
      </c>
      <c r="C11" s="5">
        <f>(pima_data!C11-MIN(pima_data!$C$1:$C$768))/(MAX(pima_data!$C$1:$C$768)-MIN(pima_data!$C$1:$C$768))</f>
        <v>0.754098360655738</v>
      </c>
      <c r="D11" s="5">
        <f>(pima_data!D11-MIN(pima_data!$D$1:$D$768))/(MAX(pima_data!$D$1:$D$768)-MIN(pima_data!$D$1:$D$768))</f>
        <v>0</v>
      </c>
      <c r="E11" s="5">
        <f>(pima_data!E11-MIN(pima_data!$E$1:$E$768))/(MAX(pima_data!$E$1:$E$768)-MIN(pima_data!$E$1:$E$768))</f>
        <v>0</v>
      </c>
      <c r="F11" s="5">
        <f>(pima_data!F11-MIN(pima_data!$F$1:$F$768))/(MAX(pima_data!$F$1:$F$768)-MIN(pima_data!$F$1:$F$768))</f>
        <v>0.560357675111774</v>
      </c>
      <c r="G11" s="5">
        <f>(pima_data!G11-MIN(pima_data!$G$1:$G$768))/(MAX(pima_data!$G$1:$G$768)-MIN(pima_data!$G$1:$G$768))</f>
        <v>0.0482493595217763</v>
      </c>
      <c r="H11" s="5">
        <f>(pima_data!H11-MIN(pima_data!$H$1:$H$768))/(MAX(pima_data!$H$1:$H$768)-MIN(pima_data!$H$1:$H$768))</f>
        <v>0.15</v>
      </c>
    </row>
    <row r="12" spans="1:8">
      <c r="A12" s="5">
        <f>(pima_data!A12-MIN(pima_data!$A$1:$A$768))/(MAX(pima_data!$A$1:$A$768)-MIN(pima_data!$A$1:$A$768))</f>
        <v>0.588235294117647</v>
      </c>
      <c r="B12" s="5">
        <f>(pima_data!B12-MIN(pima_data!$B$1:$B$768))/(MAX(pima_data!$B$1:$B$768)-MIN(pima_data!$B$1:$B$768))</f>
        <v>0.844221105527638</v>
      </c>
      <c r="C12" s="5">
        <f>(pima_data!C12-MIN(pima_data!$C$1:$C$768))/(MAX(pima_data!$C$1:$C$768)-MIN(pima_data!$C$1:$C$768))</f>
        <v>0.60655737704918</v>
      </c>
      <c r="D12" s="5">
        <f>(pima_data!D12-MIN(pima_data!$D$1:$D$768))/(MAX(pima_data!$D$1:$D$768)-MIN(pima_data!$D$1:$D$768))</f>
        <v>0</v>
      </c>
      <c r="E12" s="5">
        <f>(pima_data!E12-MIN(pima_data!$E$1:$E$768))/(MAX(pima_data!$E$1:$E$768)-MIN(pima_data!$E$1:$E$768))</f>
        <v>0</v>
      </c>
      <c r="F12" s="5">
        <f>(pima_data!F12-MIN(pima_data!$F$1:$F$768))/(MAX(pima_data!$F$1:$F$768)-MIN(pima_data!$F$1:$F$768))</f>
        <v>0.566318926974665</v>
      </c>
      <c r="G12" s="5">
        <f>(pima_data!G12-MIN(pima_data!$G$1:$G$768))/(MAX(pima_data!$G$1:$G$768)-MIN(pima_data!$G$1:$G$768))</f>
        <v>0.19598633646456</v>
      </c>
      <c r="H12" s="5">
        <f>(pima_data!H12-MIN(pima_data!$H$1:$H$768))/(MAX(pima_data!$H$1:$H$768)-MIN(pima_data!$H$1:$H$768))</f>
        <v>0.216666666666667</v>
      </c>
    </row>
    <row r="13" spans="1:8">
      <c r="A13" s="5">
        <f>(pima_data!A13-MIN(pima_data!$A$1:$A$768))/(MAX(pima_data!$A$1:$A$768)-MIN(pima_data!$A$1:$A$768))</f>
        <v>0.588235294117647</v>
      </c>
      <c r="B13" s="5">
        <f>(pima_data!B13-MIN(pima_data!$B$1:$B$768))/(MAX(pima_data!$B$1:$B$768)-MIN(pima_data!$B$1:$B$768))</f>
        <v>0.698492462311558</v>
      </c>
      <c r="C13" s="5">
        <f>(pima_data!C13-MIN(pima_data!$C$1:$C$768))/(MAX(pima_data!$C$1:$C$768)-MIN(pima_data!$C$1:$C$768))</f>
        <v>0.655737704918033</v>
      </c>
      <c r="D13" s="5">
        <f>(pima_data!D13-MIN(pima_data!$D$1:$D$768))/(MAX(pima_data!$D$1:$D$768)-MIN(pima_data!$D$1:$D$768))</f>
        <v>0</v>
      </c>
      <c r="E13" s="5">
        <f>(pima_data!E13-MIN(pima_data!$E$1:$E$768))/(MAX(pima_data!$E$1:$E$768)-MIN(pima_data!$E$1:$E$768))</f>
        <v>0</v>
      </c>
      <c r="F13" s="5">
        <f>(pima_data!F13-MIN(pima_data!$F$1:$F$768))/(MAX(pima_data!$F$1:$F$768)-MIN(pima_data!$F$1:$F$768))</f>
        <v>0.403874813710879</v>
      </c>
      <c r="G13" s="5">
        <f>(pima_data!G13-MIN(pima_data!$G$1:$G$768))/(MAX(pima_data!$G$1:$G$768)-MIN(pima_data!$G$1:$G$768))</f>
        <v>0.58198121263877</v>
      </c>
      <c r="H13" s="5">
        <f>(pima_data!H13-MIN(pima_data!$H$1:$H$768))/(MAX(pima_data!$H$1:$H$768)-MIN(pima_data!$H$1:$H$768))</f>
        <v>0.6</v>
      </c>
    </row>
    <row r="14" spans="1:8">
      <c r="A14" s="5">
        <f>(pima_data!A14-MIN(pima_data!$A$1:$A$768))/(MAX(pima_data!$A$1:$A$768)-MIN(pima_data!$A$1:$A$768))</f>
        <v>0.0588235294117647</v>
      </c>
      <c r="B14" s="5">
        <f>(pima_data!B14-MIN(pima_data!$B$1:$B$768))/(MAX(pima_data!$B$1:$B$768)-MIN(pima_data!$B$1:$B$768))</f>
        <v>0.949748743718593</v>
      </c>
      <c r="C14" s="5">
        <f>(pima_data!C14-MIN(pima_data!$C$1:$C$768))/(MAX(pima_data!$C$1:$C$768)-MIN(pima_data!$C$1:$C$768))</f>
        <v>0.491803278688525</v>
      </c>
      <c r="D14" s="5">
        <f>(pima_data!D14-MIN(pima_data!$D$1:$D$768))/(MAX(pima_data!$D$1:$D$768)-MIN(pima_data!$D$1:$D$768))</f>
        <v>0.232323232323232</v>
      </c>
      <c r="E14" s="5">
        <f>(pima_data!E14-MIN(pima_data!$E$1:$E$768))/(MAX(pima_data!$E$1:$E$768)-MIN(pima_data!$E$1:$E$768))</f>
        <v>1</v>
      </c>
      <c r="F14" s="5">
        <f>(pima_data!F14-MIN(pima_data!$F$1:$F$768))/(MAX(pima_data!$F$1:$F$768)-MIN(pima_data!$F$1:$F$768))</f>
        <v>0.448584202682563</v>
      </c>
      <c r="G14" s="5">
        <f>(pima_data!G14-MIN(pima_data!$G$1:$G$768))/(MAX(pima_data!$G$1:$G$768)-MIN(pima_data!$G$1:$G$768))</f>
        <v>0.13663535439795</v>
      </c>
      <c r="H14" s="5">
        <f>(pima_data!H14-MIN(pima_data!$H$1:$H$768))/(MAX(pima_data!$H$1:$H$768)-MIN(pima_data!$H$1:$H$768))</f>
        <v>0.633333333333333</v>
      </c>
    </row>
    <row r="15" spans="1:8">
      <c r="A15" s="5">
        <f>(pima_data!A15-MIN(pima_data!$A$1:$A$768))/(MAX(pima_data!$A$1:$A$768)-MIN(pima_data!$A$1:$A$768))</f>
        <v>0.294117647058824</v>
      </c>
      <c r="B15" s="5">
        <f>(pima_data!B15-MIN(pima_data!$B$1:$B$768))/(MAX(pima_data!$B$1:$B$768)-MIN(pima_data!$B$1:$B$768))</f>
        <v>0.834170854271357</v>
      </c>
      <c r="C15" s="5">
        <f>(pima_data!C15-MIN(pima_data!$C$1:$C$768))/(MAX(pima_data!$C$1:$C$768)-MIN(pima_data!$C$1:$C$768))</f>
        <v>0.590163934426229</v>
      </c>
      <c r="D15" s="5">
        <f>(pima_data!D15-MIN(pima_data!$D$1:$D$768))/(MAX(pima_data!$D$1:$D$768)-MIN(pima_data!$D$1:$D$768))</f>
        <v>0.191919191919192</v>
      </c>
      <c r="E15" s="5">
        <f>(pima_data!E15-MIN(pima_data!$E$1:$E$768))/(MAX(pima_data!$E$1:$E$768)-MIN(pima_data!$E$1:$E$768))</f>
        <v>0.206855791962175</v>
      </c>
      <c r="F15" s="5">
        <f>(pima_data!F15-MIN(pima_data!$F$1:$F$768))/(MAX(pima_data!$F$1:$F$768)-MIN(pima_data!$F$1:$F$768))</f>
        <v>0.384500745156483</v>
      </c>
      <c r="G15" s="5">
        <f>(pima_data!G15-MIN(pima_data!$G$1:$G$768))/(MAX(pima_data!$G$1:$G$768)-MIN(pima_data!$G$1:$G$768))</f>
        <v>0.21733561058924</v>
      </c>
      <c r="H15" s="5">
        <f>(pima_data!H15-MIN(pima_data!$H$1:$H$768))/(MAX(pima_data!$H$1:$H$768)-MIN(pima_data!$H$1:$H$768))</f>
        <v>0.5</v>
      </c>
    </row>
    <row r="16" spans="1:8">
      <c r="A16" s="5">
        <f>(pima_data!A16-MIN(pima_data!$A$1:$A$768))/(MAX(pima_data!$A$1:$A$768)-MIN(pima_data!$A$1:$A$768))</f>
        <v>0.411764705882353</v>
      </c>
      <c r="B16" s="5">
        <f>(pima_data!B16-MIN(pima_data!$B$1:$B$768))/(MAX(pima_data!$B$1:$B$768)-MIN(pima_data!$B$1:$B$768))</f>
        <v>0.50251256281407</v>
      </c>
      <c r="C16" s="5">
        <f>(pima_data!C16-MIN(pima_data!$C$1:$C$768))/(MAX(pima_data!$C$1:$C$768)-MIN(pima_data!$C$1:$C$768))</f>
        <v>0</v>
      </c>
      <c r="D16" s="5">
        <f>(pima_data!D16-MIN(pima_data!$D$1:$D$768))/(MAX(pima_data!$D$1:$D$768)-MIN(pima_data!$D$1:$D$768))</f>
        <v>0</v>
      </c>
      <c r="E16" s="5">
        <f>(pima_data!E16-MIN(pima_data!$E$1:$E$768))/(MAX(pima_data!$E$1:$E$768)-MIN(pima_data!$E$1:$E$768))</f>
        <v>0</v>
      </c>
      <c r="F16" s="5">
        <f>(pima_data!F16-MIN(pima_data!$F$1:$F$768))/(MAX(pima_data!$F$1:$F$768)-MIN(pima_data!$F$1:$F$768))</f>
        <v>0.447093889716841</v>
      </c>
      <c r="G16" s="5">
        <f>(pima_data!G16-MIN(pima_data!$G$1:$G$768))/(MAX(pima_data!$G$1:$G$768)-MIN(pima_data!$G$1:$G$768))</f>
        <v>0.1733561058924</v>
      </c>
      <c r="H16" s="5">
        <f>(pima_data!H16-MIN(pima_data!$H$1:$H$768))/(MAX(pima_data!$H$1:$H$768)-MIN(pima_data!$H$1:$H$768))</f>
        <v>0.183333333333333</v>
      </c>
    </row>
    <row r="17" spans="1:8">
      <c r="A17" s="5">
        <f>(pima_data!A17-MIN(pima_data!$A$1:$A$768))/(MAX(pima_data!$A$1:$A$768)-MIN(pima_data!$A$1:$A$768))</f>
        <v>0</v>
      </c>
      <c r="B17" s="5">
        <f>(pima_data!B17-MIN(pima_data!$B$1:$B$768))/(MAX(pima_data!$B$1:$B$768)-MIN(pima_data!$B$1:$B$768))</f>
        <v>0.592964824120603</v>
      </c>
      <c r="C17" s="5">
        <f>(pima_data!C17-MIN(pima_data!$C$1:$C$768))/(MAX(pima_data!$C$1:$C$768)-MIN(pima_data!$C$1:$C$768))</f>
        <v>0.688524590163934</v>
      </c>
      <c r="D17" s="5">
        <f>(pima_data!D17-MIN(pima_data!$D$1:$D$768))/(MAX(pima_data!$D$1:$D$768)-MIN(pima_data!$D$1:$D$768))</f>
        <v>0.474747474747475</v>
      </c>
      <c r="E17" s="5">
        <f>(pima_data!E17-MIN(pima_data!$E$1:$E$768))/(MAX(pima_data!$E$1:$E$768)-MIN(pima_data!$E$1:$E$768))</f>
        <v>0.271867612293144</v>
      </c>
      <c r="F17" s="5">
        <f>(pima_data!F17-MIN(pima_data!$F$1:$F$768))/(MAX(pima_data!$F$1:$F$768)-MIN(pima_data!$F$1:$F$768))</f>
        <v>0.682563338301043</v>
      </c>
      <c r="G17" s="5">
        <f>(pima_data!G17-MIN(pima_data!$G$1:$G$768))/(MAX(pima_data!$G$1:$G$768)-MIN(pima_data!$G$1:$G$768))</f>
        <v>0.201964133219471</v>
      </c>
      <c r="H17" s="5">
        <f>(pima_data!H17-MIN(pima_data!$H$1:$H$768))/(MAX(pima_data!$H$1:$H$768)-MIN(pima_data!$H$1:$H$768))</f>
        <v>0.166666666666667</v>
      </c>
    </row>
    <row r="18" spans="1:8">
      <c r="A18" s="5">
        <f>(pima_data!A18-MIN(pima_data!$A$1:$A$768))/(MAX(pima_data!$A$1:$A$768)-MIN(pima_data!$A$1:$A$768))</f>
        <v>0.411764705882353</v>
      </c>
      <c r="B18" s="5">
        <f>(pima_data!B18-MIN(pima_data!$B$1:$B$768))/(MAX(pima_data!$B$1:$B$768)-MIN(pima_data!$B$1:$B$768))</f>
        <v>0.537688442211055</v>
      </c>
      <c r="C18" s="5">
        <f>(pima_data!C18-MIN(pima_data!$C$1:$C$768))/(MAX(pima_data!$C$1:$C$768)-MIN(pima_data!$C$1:$C$768))</f>
        <v>0.60655737704918</v>
      </c>
      <c r="D18" s="5">
        <f>(pima_data!D18-MIN(pima_data!$D$1:$D$768))/(MAX(pima_data!$D$1:$D$768)-MIN(pima_data!$D$1:$D$768))</f>
        <v>0</v>
      </c>
      <c r="E18" s="5">
        <f>(pima_data!E18-MIN(pima_data!$E$1:$E$768))/(MAX(pima_data!$E$1:$E$768)-MIN(pima_data!$E$1:$E$768))</f>
        <v>0</v>
      </c>
      <c r="F18" s="5">
        <f>(pima_data!F18-MIN(pima_data!$F$1:$F$768))/(MAX(pima_data!$F$1:$F$768)-MIN(pima_data!$F$1:$F$768))</f>
        <v>0.441132637853949</v>
      </c>
      <c r="G18" s="5">
        <f>(pima_data!G18-MIN(pima_data!$G$1:$G$768))/(MAX(pima_data!$G$1:$G$768)-MIN(pima_data!$G$1:$G$768))</f>
        <v>0.0751494449188728</v>
      </c>
      <c r="H18" s="5">
        <f>(pima_data!H18-MIN(pima_data!$H$1:$H$768))/(MAX(pima_data!$H$1:$H$768)-MIN(pima_data!$H$1:$H$768))</f>
        <v>0.166666666666667</v>
      </c>
    </row>
    <row r="19" spans="1:8">
      <c r="A19" s="5">
        <f>(pima_data!A19-MIN(pima_data!$A$1:$A$768))/(MAX(pima_data!$A$1:$A$768)-MIN(pima_data!$A$1:$A$768))</f>
        <v>0.0588235294117647</v>
      </c>
      <c r="B19" s="5">
        <f>(pima_data!B19-MIN(pima_data!$B$1:$B$768))/(MAX(pima_data!$B$1:$B$768)-MIN(pima_data!$B$1:$B$768))</f>
        <v>0.517587939698492</v>
      </c>
      <c r="C19" s="5">
        <f>(pima_data!C19-MIN(pima_data!$C$1:$C$768))/(MAX(pima_data!$C$1:$C$768)-MIN(pima_data!$C$1:$C$768))</f>
        <v>0.245901639344262</v>
      </c>
      <c r="D19" s="5">
        <f>(pima_data!D19-MIN(pima_data!$D$1:$D$768))/(MAX(pima_data!$D$1:$D$768)-MIN(pima_data!$D$1:$D$768))</f>
        <v>0.383838383838384</v>
      </c>
      <c r="E19" s="5">
        <f>(pima_data!E19-MIN(pima_data!$E$1:$E$768))/(MAX(pima_data!$E$1:$E$768)-MIN(pima_data!$E$1:$E$768))</f>
        <v>0.0981087470449173</v>
      </c>
      <c r="F19" s="5">
        <f>(pima_data!F19-MIN(pima_data!$F$1:$F$768))/(MAX(pima_data!$F$1:$F$768)-MIN(pima_data!$F$1:$F$768))</f>
        <v>0.645305514157973</v>
      </c>
      <c r="G19" s="5">
        <f>(pima_data!G19-MIN(pima_data!$G$1:$G$768))/(MAX(pima_data!$G$1:$G$768)-MIN(pima_data!$G$1:$G$768))</f>
        <v>0.0448334756618275</v>
      </c>
      <c r="H19" s="5">
        <f>(pima_data!H19-MIN(pima_data!$H$1:$H$768))/(MAX(pima_data!$H$1:$H$768)-MIN(pima_data!$H$1:$H$768))</f>
        <v>0.2</v>
      </c>
    </row>
    <row r="20" spans="1:8">
      <c r="A20" s="5">
        <f>(pima_data!A20-MIN(pima_data!$A$1:$A$768))/(MAX(pima_data!$A$1:$A$768)-MIN(pima_data!$A$1:$A$768))</f>
        <v>0.0588235294117647</v>
      </c>
      <c r="B20" s="5">
        <f>(pima_data!B20-MIN(pima_data!$B$1:$B$768))/(MAX(pima_data!$B$1:$B$768)-MIN(pima_data!$B$1:$B$768))</f>
        <v>0.577889447236181</v>
      </c>
      <c r="C20" s="5">
        <f>(pima_data!C20-MIN(pima_data!$C$1:$C$768))/(MAX(pima_data!$C$1:$C$768)-MIN(pima_data!$C$1:$C$768))</f>
        <v>0.573770491803279</v>
      </c>
      <c r="D20" s="5">
        <f>(pima_data!D20-MIN(pima_data!$D$1:$D$768))/(MAX(pima_data!$D$1:$D$768)-MIN(pima_data!$D$1:$D$768))</f>
        <v>0.303030303030303</v>
      </c>
      <c r="E20" s="5">
        <f>(pima_data!E20-MIN(pima_data!$E$1:$E$768))/(MAX(pima_data!$E$1:$E$768)-MIN(pima_data!$E$1:$E$768))</f>
        <v>0.113475177304965</v>
      </c>
      <c r="F20" s="5">
        <f>(pima_data!F20-MIN(pima_data!$F$1:$F$768))/(MAX(pima_data!$F$1:$F$768)-MIN(pima_data!$F$1:$F$768))</f>
        <v>0.51564828614009</v>
      </c>
      <c r="G20" s="5">
        <f>(pima_data!G20-MIN(pima_data!$G$1:$G$768))/(MAX(pima_data!$G$1:$G$768)-MIN(pima_data!$G$1:$G$768))</f>
        <v>0.192570452604611</v>
      </c>
      <c r="H20" s="5">
        <f>(pima_data!H20-MIN(pima_data!$H$1:$H$768))/(MAX(pima_data!$H$1:$H$768)-MIN(pima_data!$H$1:$H$768))</f>
        <v>0.183333333333333</v>
      </c>
    </row>
    <row r="21" spans="1:8">
      <c r="A21" s="5">
        <f>(pima_data!A21-MIN(pima_data!$A$1:$A$768))/(MAX(pima_data!$A$1:$A$768)-MIN(pima_data!$A$1:$A$768))</f>
        <v>0.176470588235294</v>
      </c>
      <c r="B21" s="5">
        <f>(pima_data!B21-MIN(pima_data!$B$1:$B$768))/(MAX(pima_data!$B$1:$B$768)-MIN(pima_data!$B$1:$B$768))</f>
        <v>0.633165829145729</v>
      </c>
      <c r="C21" s="5">
        <f>(pima_data!C21-MIN(pima_data!$C$1:$C$768))/(MAX(pima_data!$C$1:$C$768)-MIN(pima_data!$C$1:$C$768))</f>
        <v>0.721311475409836</v>
      </c>
      <c r="D21" s="5">
        <f>(pima_data!D21-MIN(pima_data!$D$1:$D$768))/(MAX(pima_data!$D$1:$D$768)-MIN(pima_data!$D$1:$D$768))</f>
        <v>0.414141414141414</v>
      </c>
      <c r="E21" s="5">
        <f>(pima_data!E21-MIN(pima_data!$E$1:$E$768))/(MAX(pima_data!$E$1:$E$768)-MIN(pima_data!$E$1:$E$768))</f>
        <v>0.277777777777778</v>
      </c>
      <c r="F21" s="5">
        <f>(pima_data!F21-MIN(pima_data!$F$1:$F$768))/(MAX(pima_data!$F$1:$F$768)-MIN(pima_data!$F$1:$F$768))</f>
        <v>0.585692995529061</v>
      </c>
      <c r="G21" s="5">
        <f>(pima_data!G21-MIN(pima_data!$G$1:$G$768))/(MAX(pima_data!$G$1:$G$768)-MIN(pima_data!$G$1:$G$768))</f>
        <v>0.267292912040991</v>
      </c>
      <c r="H21" s="5">
        <f>(pima_data!H21-MIN(pima_data!$H$1:$H$768))/(MAX(pima_data!$H$1:$H$768)-MIN(pima_data!$H$1:$H$768))</f>
        <v>0.1</v>
      </c>
    </row>
    <row r="22" spans="1:8">
      <c r="A22" s="5">
        <f>(pima_data!A22-MIN(pima_data!$A$1:$A$768))/(MAX(pima_data!$A$1:$A$768)-MIN(pima_data!$A$1:$A$768))</f>
        <v>0.470588235294118</v>
      </c>
      <c r="B22" s="5">
        <f>(pima_data!B22-MIN(pima_data!$B$1:$B$768))/(MAX(pima_data!$B$1:$B$768)-MIN(pima_data!$B$1:$B$768))</f>
        <v>0.49748743718593</v>
      </c>
      <c r="C22" s="5">
        <f>(pima_data!C22-MIN(pima_data!$C$1:$C$768))/(MAX(pima_data!$C$1:$C$768)-MIN(pima_data!$C$1:$C$768))</f>
        <v>0.688524590163934</v>
      </c>
      <c r="D22" s="5">
        <f>(pima_data!D22-MIN(pima_data!$D$1:$D$768))/(MAX(pima_data!$D$1:$D$768)-MIN(pima_data!$D$1:$D$768))</f>
        <v>0</v>
      </c>
      <c r="E22" s="5">
        <f>(pima_data!E22-MIN(pima_data!$E$1:$E$768))/(MAX(pima_data!$E$1:$E$768)-MIN(pima_data!$E$1:$E$768))</f>
        <v>0</v>
      </c>
      <c r="F22" s="5">
        <f>(pima_data!F22-MIN(pima_data!$F$1:$F$768))/(MAX(pima_data!$F$1:$F$768)-MIN(pima_data!$F$1:$F$768))</f>
        <v>0.527570789865872</v>
      </c>
      <c r="G22" s="5">
        <f>(pima_data!G22-MIN(pima_data!$G$1:$G$768))/(MAX(pima_data!$G$1:$G$768)-MIN(pima_data!$G$1:$G$768))</f>
        <v>0.132365499573015</v>
      </c>
      <c r="H22" s="5">
        <f>(pima_data!H22-MIN(pima_data!$H$1:$H$768))/(MAX(pima_data!$H$1:$H$768)-MIN(pima_data!$H$1:$H$768))</f>
        <v>0.483333333333333</v>
      </c>
    </row>
    <row r="23" spans="1:8">
      <c r="A23" s="5">
        <f>(pima_data!A23-MIN(pima_data!$A$1:$A$768))/(MAX(pima_data!$A$1:$A$768)-MIN(pima_data!$A$1:$A$768))</f>
        <v>0.411764705882353</v>
      </c>
      <c r="B23" s="5">
        <f>(pima_data!B23-MIN(pima_data!$B$1:$B$768))/(MAX(pima_data!$B$1:$B$768)-MIN(pima_data!$B$1:$B$768))</f>
        <v>0.984924623115578</v>
      </c>
      <c r="C23" s="5">
        <f>(pima_data!C23-MIN(pima_data!$C$1:$C$768))/(MAX(pima_data!$C$1:$C$768)-MIN(pima_data!$C$1:$C$768))</f>
        <v>0.737704918032787</v>
      </c>
      <c r="D23" s="5">
        <f>(pima_data!D23-MIN(pima_data!$D$1:$D$768))/(MAX(pima_data!$D$1:$D$768)-MIN(pima_data!$D$1:$D$768))</f>
        <v>0</v>
      </c>
      <c r="E23" s="5">
        <f>(pima_data!E23-MIN(pima_data!$E$1:$E$768))/(MAX(pima_data!$E$1:$E$768)-MIN(pima_data!$E$1:$E$768))</f>
        <v>0</v>
      </c>
      <c r="F23" s="5">
        <f>(pima_data!F23-MIN(pima_data!$F$1:$F$768))/(MAX(pima_data!$F$1:$F$768)-MIN(pima_data!$F$1:$F$768))</f>
        <v>0.593144560357675</v>
      </c>
      <c r="G23" s="5">
        <f>(pima_data!G23-MIN(pima_data!$G$1:$G$768))/(MAX(pima_data!$G$1:$G$768)-MIN(pima_data!$G$1:$G$768))</f>
        <v>0.159265584970111</v>
      </c>
      <c r="H23" s="5">
        <f>(pima_data!H23-MIN(pima_data!$H$1:$H$768))/(MAX(pima_data!$H$1:$H$768)-MIN(pima_data!$H$1:$H$768))</f>
        <v>0.333333333333333</v>
      </c>
    </row>
    <row r="24" spans="1:8">
      <c r="A24" s="5">
        <f>(pima_data!A24-MIN(pima_data!$A$1:$A$768))/(MAX(pima_data!$A$1:$A$768)-MIN(pima_data!$A$1:$A$768))</f>
        <v>0.529411764705882</v>
      </c>
      <c r="B24" s="5">
        <f>(pima_data!B24-MIN(pima_data!$B$1:$B$768))/(MAX(pima_data!$B$1:$B$768)-MIN(pima_data!$B$1:$B$768))</f>
        <v>0.597989949748744</v>
      </c>
      <c r="C24" s="5">
        <f>(pima_data!C24-MIN(pima_data!$C$1:$C$768))/(MAX(pima_data!$C$1:$C$768)-MIN(pima_data!$C$1:$C$768))</f>
        <v>0.655737704918033</v>
      </c>
      <c r="D24" s="5">
        <f>(pima_data!D24-MIN(pima_data!$D$1:$D$768))/(MAX(pima_data!$D$1:$D$768)-MIN(pima_data!$D$1:$D$768))</f>
        <v>0.353535353535354</v>
      </c>
      <c r="E24" s="5">
        <f>(pima_data!E24-MIN(pima_data!$E$1:$E$768))/(MAX(pima_data!$E$1:$E$768)-MIN(pima_data!$E$1:$E$768))</f>
        <v>0</v>
      </c>
      <c r="F24" s="5">
        <f>(pima_data!F24-MIN(pima_data!$F$1:$F$768))/(MAX(pima_data!$F$1:$F$768)-MIN(pima_data!$F$1:$F$768))</f>
        <v>0.432190760059613</v>
      </c>
      <c r="G24" s="5">
        <f>(pima_data!G24-MIN(pima_data!$G$1:$G$768))/(MAX(pima_data!$G$1:$G$768)-MIN(pima_data!$G$1:$G$768))</f>
        <v>0.0789923142613151</v>
      </c>
      <c r="H24" s="5">
        <f>(pima_data!H24-MIN(pima_data!$H$1:$H$768))/(MAX(pima_data!$H$1:$H$768)-MIN(pima_data!$H$1:$H$768))</f>
        <v>0.133333333333333</v>
      </c>
    </row>
    <row r="25" spans="1:8">
      <c r="A25" s="5">
        <f>(pima_data!A25-MIN(pima_data!$A$1:$A$768))/(MAX(pima_data!$A$1:$A$768)-MIN(pima_data!$A$1:$A$768))</f>
        <v>0.647058823529412</v>
      </c>
      <c r="B25" s="5">
        <f>(pima_data!B25-MIN(pima_data!$B$1:$B$768))/(MAX(pima_data!$B$1:$B$768)-MIN(pima_data!$B$1:$B$768))</f>
        <v>0.718592964824121</v>
      </c>
      <c r="C25" s="5">
        <f>(pima_data!C25-MIN(pima_data!$C$1:$C$768))/(MAX(pima_data!$C$1:$C$768)-MIN(pima_data!$C$1:$C$768))</f>
        <v>0.770491803278688</v>
      </c>
      <c r="D25" s="5">
        <f>(pima_data!D25-MIN(pima_data!$D$1:$D$768))/(MAX(pima_data!$D$1:$D$768)-MIN(pima_data!$D$1:$D$768))</f>
        <v>0.333333333333333</v>
      </c>
      <c r="E25" s="5">
        <f>(pima_data!E25-MIN(pima_data!$E$1:$E$768))/(MAX(pima_data!$E$1:$E$768)-MIN(pima_data!$E$1:$E$768))</f>
        <v>0.1725768321513</v>
      </c>
      <c r="F25" s="5">
        <f>(pima_data!F25-MIN(pima_data!$F$1:$F$768))/(MAX(pima_data!$F$1:$F$768)-MIN(pima_data!$F$1:$F$768))</f>
        <v>0.545454545454546</v>
      </c>
      <c r="G25" s="5">
        <f>(pima_data!G25-MIN(pima_data!$G$1:$G$768))/(MAX(pima_data!$G$1:$G$768)-MIN(pima_data!$G$1:$G$768))</f>
        <v>0.0751494449188728</v>
      </c>
      <c r="H25" s="5">
        <f>(pima_data!H25-MIN(pima_data!$H$1:$H$768))/(MAX(pima_data!$H$1:$H$768)-MIN(pima_data!$H$1:$H$768))</f>
        <v>0.5</v>
      </c>
    </row>
    <row r="26" spans="1:8">
      <c r="A26" s="5">
        <f>(pima_data!A26-MIN(pima_data!$A$1:$A$768))/(MAX(pima_data!$A$1:$A$768)-MIN(pima_data!$A$1:$A$768))</f>
        <v>0.588235294117647</v>
      </c>
      <c r="B26" s="5">
        <f>(pima_data!B26-MIN(pima_data!$B$1:$B$768))/(MAX(pima_data!$B$1:$B$768)-MIN(pima_data!$B$1:$B$768))</f>
        <v>0.628140703517588</v>
      </c>
      <c r="C26" s="5">
        <f>(pima_data!C26-MIN(pima_data!$C$1:$C$768))/(MAX(pima_data!$C$1:$C$768)-MIN(pima_data!$C$1:$C$768))</f>
        <v>0.573770491803279</v>
      </c>
      <c r="D26" s="5">
        <f>(pima_data!D26-MIN(pima_data!$D$1:$D$768))/(MAX(pima_data!$D$1:$D$768)-MIN(pima_data!$D$1:$D$768))</f>
        <v>0.262626262626263</v>
      </c>
      <c r="E26" s="5">
        <f>(pima_data!E26-MIN(pima_data!$E$1:$E$768))/(MAX(pima_data!$E$1:$E$768)-MIN(pima_data!$E$1:$E$768))</f>
        <v>0.135933806146572</v>
      </c>
      <c r="F26" s="5">
        <f>(pima_data!F26-MIN(pima_data!$F$1:$F$768))/(MAX(pima_data!$F$1:$F$768)-MIN(pima_data!$F$1:$F$768))</f>
        <v>0.463487332339791</v>
      </c>
      <c r="G26" s="5">
        <f>(pima_data!G26-MIN(pima_data!$G$1:$G$768))/(MAX(pima_data!$G$1:$G$768)-MIN(pima_data!$G$1:$G$768))</f>
        <v>0.0542271562766866</v>
      </c>
      <c r="H26" s="5">
        <f>(pima_data!H26-MIN(pima_data!$H$1:$H$768))/(MAX(pima_data!$H$1:$H$768)-MIN(pima_data!$H$1:$H$768))</f>
        <v>0.333333333333333</v>
      </c>
    </row>
    <row r="27" spans="1:8">
      <c r="A27" s="5">
        <f>(pima_data!A27-MIN(pima_data!$A$1:$A$768))/(MAX(pima_data!$A$1:$A$768)-MIN(pima_data!$A$1:$A$768))</f>
        <v>0.411764705882353</v>
      </c>
      <c r="B27" s="5">
        <f>(pima_data!B27-MIN(pima_data!$B$1:$B$768))/(MAX(pima_data!$B$1:$B$768)-MIN(pima_data!$B$1:$B$768))</f>
        <v>0.738693467336683</v>
      </c>
      <c r="C27" s="5">
        <f>(pima_data!C27-MIN(pima_data!$C$1:$C$768))/(MAX(pima_data!$C$1:$C$768)-MIN(pima_data!$C$1:$C$768))</f>
        <v>0.622950819672131</v>
      </c>
      <c r="D27" s="5">
        <f>(pima_data!D27-MIN(pima_data!$D$1:$D$768))/(MAX(pima_data!$D$1:$D$768)-MIN(pima_data!$D$1:$D$768))</f>
        <v>0</v>
      </c>
      <c r="E27" s="5">
        <f>(pima_data!E27-MIN(pima_data!$E$1:$E$768))/(MAX(pima_data!$E$1:$E$768)-MIN(pima_data!$E$1:$E$768))</f>
        <v>0</v>
      </c>
      <c r="F27" s="5">
        <f>(pima_data!F27-MIN(pima_data!$F$1:$F$768))/(MAX(pima_data!$F$1:$F$768)-MIN(pima_data!$F$1:$F$768))</f>
        <v>0.587183308494784</v>
      </c>
      <c r="G27" s="5">
        <f>(pima_data!G27-MIN(pima_data!$G$1:$G$768))/(MAX(pima_data!$G$1:$G$768)-MIN(pima_data!$G$1:$G$768))</f>
        <v>0.0764304013663535</v>
      </c>
      <c r="H27" s="5">
        <f>(pima_data!H27-MIN(pima_data!$H$1:$H$768))/(MAX(pima_data!$H$1:$H$768)-MIN(pima_data!$H$1:$H$768))</f>
        <v>0.366666666666667</v>
      </c>
    </row>
    <row r="28" spans="1:8">
      <c r="A28" s="5">
        <f>(pima_data!A28-MIN(pima_data!$A$1:$A$768))/(MAX(pima_data!$A$1:$A$768)-MIN(pima_data!$A$1:$A$768))</f>
        <v>0.0588235294117647</v>
      </c>
      <c r="B28" s="5">
        <f>(pima_data!B28-MIN(pima_data!$B$1:$B$768))/(MAX(pima_data!$B$1:$B$768)-MIN(pima_data!$B$1:$B$768))</f>
        <v>0.487437185929648</v>
      </c>
      <c r="C28" s="5">
        <f>(pima_data!C28-MIN(pima_data!$C$1:$C$768))/(MAX(pima_data!$C$1:$C$768)-MIN(pima_data!$C$1:$C$768))</f>
        <v>0.540983606557377</v>
      </c>
      <c r="D28" s="5">
        <f>(pima_data!D28-MIN(pima_data!$D$1:$D$768))/(MAX(pima_data!$D$1:$D$768)-MIN(pima_data!$D$1:$D$768))</f>
        <v>0.151515151515152</v>
      </c>
      <c r="E28" s="5">
        <f>(pima_data!E28-MIN(pima_data!$E$1:$E$768))/(MAX(pima_data!$E$1:$E$768)-MIN(pima_data!$E$1:$E$768))</f>
        <v>0.16548463356974</v>
      </c>
      <c r="F28" s="5">
        <f>(pima_data!F28-MIN(pima_data!$F$1:$F$768))/(MAX(pima_data!$F$1:$F$768)-MIN(pima_data!$F$1:$F$768))</f>
        <v>0.34575260804769</v>
      </c>
      <c r="G28" s="5">
        <f>(pima_data!G28-MIN(pima_data!$G$1:$G$768))/(MAX(pima_data!$G$1:$G$768)-MIN(pima_data!$G$1:$G$768))</f>
        <v>0.17463706233988</v>
      </c>
      <c r="H28" s="5">
        <f>(pima_data!H28-MIN(pima_data!$H$1:$H$768))/(MAX(pima_data!$H$1:$H$768)-MIN(pima_data!$H$1:$H$768))</f>
        <v>0.0166666666666667</v>
      </c>
    </row>
    <row r="29" spans="1:8">
      <c r="A29" s="5">
        <f>(pima_data!A29-MIN(pima_data!$A$1:$A$768))/(MAX(pima_data!$A$1:$A$768)-MIN(pima_data!$A$1:$A$768))</f>
        <v>0.764705882352941</v>
      </c>
      <c r="B29" s="5">
        <f>(pima_data!B29-MIN(pima_data!$B$1:$B$768))/(MAX(pima_data!$B$1:$B$768)-MIN(pima_data!$B$1:$B$768))</f>
        <v>0.728643216080402</v>
      </c>
      <c r="C29" s="5">
        <f>(pima_data!C29-MIN(pima_data!$C$1:$C$768))/(MAX(pima_data!$C$1:$C$768)-MIN(pima_data!$C$1:$C$768))</f>
        <v>0.672131147540984</v>
      </c>
      <c r="D29" s="5">
        <f>(pima_data!D29-MIN(pima_data!$D$1:$D$768))/(MAX(pima_data!$D$1:$D$768)-MIN(pima_data!$D$1:$D$768))</f>
        <v>0.191919191919192</v>
      </c>
      <c r="E29" s="5">
        <f>(pima_data!E29-MIN(pima_data!$E$1:$E$768))/(MAX(pima_data!$E$1:$E$768)-MIN(pima_data!$E$1:$E$768))</f>
        <v>0.130023640661939</v>
      </c>
      <c r="F29" s="5">
        <f>(pima_data!F29-MIN(pima_data!$F$1:$F$768))/(MAX(pima_data!$F$1:$F$768)-MIN(pima_data!$F$1:$F$768))</f>
        <v>0.330849478390462</v>
      </c>
      <c r="G29" s="5">
        <f>(pima_data!G29-MIN(pima_data!$G$1:$G$768))/(MAX(pima_data!$G$1:$G$768)-MIN(pima_data!$G$1:$G$768))</f>
        <v>0.0713065755764304</v>
      </c>
      <c r="H29" s="5">
        <f>(pima_data!H29-MIN(pima_data!$H$1:$H$768))/(MAX(pima_data!$H$1:$H$768)-MIN(pima_data!$H$1:$H$768))</f>
        <v>0.6</v>
      </c>
    </row>
    <row r="30" spans="1:8">
      <c r="A30" s="5">
        <f>(pima_data!A30-MIN(pima_data!$A$1:$A$768))/(MAX(pima_data!$A$1:$A$768)-MIN(pima_data!$A$1:$A$768))</f>
        <v>0.294117647058824</v>
      </c>
      <c r="B30" s="5">
        <f>(pima_data!B30-MIN(pima_data!$B$1:$B$768))/(MAX(pima_data!$B$1:$B$768)-MIN(pima_data!$B$1:$B$768))</f>
        <v>0.587939698492462</v>
      </c>
      <c r="C30" s="5">
        <f>(pima_data!C30-MIN(pima_data!$C$1:$C$768))/(MAX(pima_data!$C$1:$C$768)-MIN(pima_data!$C$1:$C$768))</f>
        <v>0.754098360655738</v>
      </c>
      <c r="D30" s="5">
        <f>(pima_data!D30-MIN(pima_data!$D$1:$D$768))/(MAX(pima_data!$D$1:$D$768)-MIN(pima_data!$D$1:$D$768))</f>
        <v>0</v>
      </c>
      <c r="E30" s="5">
        <f>(pima_data!E30-MIN(pima_data!$E$1:$E$768))/(MAX(pima_data!$E$1:$E$768)-MIN(pima_data!$E$1:$E$768))</f>
        <v>0</v>
      </c>
      <c r="F30" s="5">
        <f>(pima_data!F30-MIN(pima_data!$F$1:$F$768))/(MAX(pima_data!$F$1:$F$768)-MIN(pima_data!$F$1:$F$768))</f>
        <v>0.508196721311475</v>
      </c>
      <c r="G30" s="5">
        <f>(pima_data!G30-MIN(pima_data!$G$1:$G$768))/(MAX(pima_data!$G$1:$G$768)-MIN(pima_data!$G$1:$G$768))</f>
        <v>0.110589239965841</v>
      </c>
      <c r="H30" s="5">
        <f>(pima_data!H30-MIN(pima_data!$H$1:$H$768))/(MAX(pima_data!$H$1:$H$768)-MIN(pima_data!$H$1:$H$768))</f>
        <v>0.283333333333333</v>
      </c>
    </row>
    <row r="31" spans="1:8">
      <c r="A31" s="5">
        <f>(pima_data!A31-MIN(pima_data!$A$1:$A$768))/(MAX(pima_data!$A$1:$A$768)-MIN(pima_data!$A$1:$A$768))</f>
        <v>0.294117647058824</v>
      </c>
      <c r="B31" s="5">
        <f>(pima_data!B31-MIN(pima_data!$B$1:$B$768))/(MAX(pima_data!$B$1:$B$768)-MIN(pima_data!$B$1:$B$768))</f>
        <v>0.547738693467337</v>
      </c>
      <c r="C31" s="5">
        <f>(pima_data!C31-MIN(pima_data!$C$1:$C$768))/(MAX(pima_data!$C$1:$C$768)-MIN(pima_data!$C$1:$C$768))</f>
        <v>0.614754098360656</v>
      </c>
      <c r="D31" s="5">
        <f>(pima_data!D31-MIN(pima_data!$D$1:$D$768))/(MAX(pima_data!$D$1:$D$768)-MIN(pima_data!$D$1:$D$768))</f>
        <v>0.262626262626263</v>
      </c>
      <c r="E31" s="5">
        <f>(pima_data!E31-MIN(pima_data!$E$1:$E$768))/(MAX(pima_data!$E$1:$E$768)-MIN(pima_data!$E$1:$E$768))</f>
        <v>0</v>
      </c>
      <c r="F31" s="5">
        <f>(pima_data!F31-MIN(pima_data!$F$1:$F$768))/(MAX(pima_data!$F$1:$F$768)-MIN(pima_data!$F$1:$F$768))</f>
        <v>0.536512667660209</v>
      </c>
      <c r="G31" s="5">
        <f>(pima_data!G31-MIN(pima_data!$G$1:$G$768))/(MAX(pima_data!$G$1:$G$768)-MIN(pima_data!$G$1:$G$768))</f>
        <v>0.199829205807003</v>
      </c>
      <c r="H31" s="5">
        <f>(pima_data!H31-MIN(pima_data!$H$1:$H$768))/(MAX(pima_data!$H$1:$H$768)-MIN(pima_data!$H$1:$H$768))</f>
        <v>0.65</v>
      </c>
    </row>
    <row r="32" spans="1:8">
      <c r="A32" s="5">
        <f>(pima_data!A32-MIN(pima_data!$A$1:$A$768))/(MAX(pima_data!$A$1:$A$768)-MIN(pima_data!$A$1:$A$768))</f>
        <v>0.176470588235294</v>
      </c>
      <c r="B32" s="5">
        <f>(pima_data!B32-MIN(pima_data!$B$1:$B$768))/(MAX(pima_data!$B$1:$B$768)-MIN(pima_data!$B$1:$B$768))</f>
        <v>0.793969849246231</v>
      </c>
      <c r="C32" s="5">
        <f>(pima_data!C32-MIN(pima_data!$C$1:$C$768))/(MAX(pima_data!$C$1:$C$768)-MIN(pima_data!$C$1:$C$768))</f>
        <v>0.622950819672131</v>
      </c>
      <c r="D32" s="5">
        <f>(pima_data!D32-MIN(pima_data!$D$1:$D$768))/(MAX(pima_data!$D$1:$D$768)-MIN(pima_data!$D$1:$D$768))</f>
        <v>0.363636363636364</v>
      </c>
      <c r="E32" s="5">
        <f>(pima_data!E32-MIN(pima_data!$E$1:$E$768))/(MAX(pima_data!$E$1:$E$768)-MIN(pima_data!$E$1:$E$768))</f>
        <v>0.289598108747045</v>
      </c>
      <c r="F32" s="5">
        <f>(pima_data!F32-MIN(pima_data!$F$1:$F$768))/(MAX(pima_data!$F$1:$F$768)-MIN(pima_data!$F$1:$F$768))</f>
        <v>0.470938897168405</v>
      </c>
      <c r="G32" s="5">
        <f>(pima_data!G32-MIN(pima_data!$G$1:$G$768))/(MAX(pima_data!$G$1:$G$768)-MIN(pima_data!$G$1:$G$768))</f>
        <v>0.330059777967549</v>
      </c>
      <c r="H32" s="5">
        <f>(pima_data!H32-MIN(pima_data!$H$1:$H$768))/(MAX(pima_data!$H$1:$H$768)-MIN(pima_data!$H$1:$H$768))</f>
        <v>0.116666666666667</v>
      </c>
    </row>
    <row r="33" spans="1:8">
      <c r="A33" s="5">
        <f>(pima_data!A33-MIN(pima_data!$A$1:$A$768))/(MAX(pima_data!$A$1:$A$768)-MIN(pima_data!$A$1:$A$768))</f>
        <v>0.176470588235294</v>
      </c>
      <c r="B33" s="5">
        <f>(pima_data!B33-MIN(pima_data!$B$1:$B$768))/(MAX(pima_data!$B$1:$B$768)-MIN(pima_data!$B$1:$B$768))</f>
        <v>0.442211055276382</v>
      </c>
      <c r="C33" s="5">
        <f>(pima_data!C33-MIN(pima_data!$C$1:$C$768))/(MAX(pima_data!$C$1:$C$768)-MIN(pima_data!$C$1:$C$768))</f>
        <v>0.475409836065574</v>
      </c>
      <c r="D33" s="5">
        <f>(pima_data!D33-MIN(pima_data!$D$1:$D$768))/(MAX(pima_data!$D$1:$D$768)-MIN(pima_data!$D$1:$D$768))</f>
        <v>0.111111111111111</v>
      </c>
      <c r="E33" s="5">
        <f>(pima_data!E33-MIN(pima_data!$E$1:$E$768))/(MAX(pima_data!$E$1:$E$768)-MIN(pima_data!$E$1:$E$768))</f>
        <v>0.0638297872340425</v>
      </c>
      <c r="F33" s="5">
        <f>(pima_data!F33-MIN(pima_data!$F$1:$F$768))/(MAX(pima_data!$F$1:$F$768)-MIN(pima_data!$F$1:$F$768))</f>
        <v>0.369597615499255</v>
      </c>
      <c r="G33" s="5">
        <f>(pima_data!G33-MIN(pima_data!$G$1:$G$768))/(MAX(pima_data!$G$1:$G$768)-MIN(pima_data!$G$1:$G$768))</f>
        <v>0.0807002561912895</v>
      </c>
      <c r="H33" s="5">
        <f>(pima_data!H33-MIN(pima_data!$H$1:$H$768))/(MAX(pima_data!$H$1:$H$768)-MIN(pima_data!$H$1:$H$768))</f>
        <v>0.0166666666666667</v>
      </c>
    </row>
    <row r="34" spans="1:8">
      <c r="A34" s="5">
        <f>(pima_data!A34-MIN(pima_data!$A$1:$A$768))/(MAX(pima_data!$A$1:$A$768)-MIN(pima_data!$A$1:$A$768))</f>
        <v>0.352941176470588</v>
      </c>
      <c r="B34" s="5">
        <f>(pima_data!B34-MIN(pima_data!$B$1:$B$768))/(MAX(pima_data!$B$1:$B$768)-MIN(pima_data!$B$1:$B$768))</f>
        <v>0.462311557788945</v>
      </c>
      <c r="C34" s="5">
        <f>(pima_data!C34-MIN(pima_data!$C$1:$C$768))/(MAX(pima_data!$C$1:$C$768)-MIN(pima_data!$C$1:$C$768))</f>
        <v>0.754098360655738</v>
      </c>
      <c r="D34" s="5">
        <f>(pima_data!D34-MIN(pima_data!$D$1:$D$768))/(MAX(pima_data!$D$1:$D$768)-MIN(pima_data!$D$1:$D$768))</f>
        <v>0</v>
      </c>
      <c r="E34" s="5">
        <f>(pima_data!E34-MIN(pima_data!$E$1:$E$768))/(MAX(pima_data!$E$1:$E$768)-MIN(pima_data!$E$1:$E$768))</f>
        <v>0</v>
      </c>
      <c r="F34" s="5">
        <f>(pima_data!F34-MIN(pima_data!$F$1:$F$768))/(MAX(pima_data!$F$1:$F$768)-MIN(pima_data!$F$1:$F$768))</f>
        <v>0.296572280178838</v>
      </c>
      <c r="G34" s="5">
        <f>(pima_data!G34-MIN(pima_data!$G$1:$G$768))/(MAX(pima_data!$G$1:$G$768)-MIN(pima_data!$G$1:$G$768))</f>
        <v>0.0469684030742955</v>
      </c>
      <c r="H34" s="5">
        <f>(pima_data!H34-MIN(pima_data!$H$1:$H$768))/(MAX(pima_data!$H$1:$H$768)-MIN(pima_data!$H$1:$H$768))</f>
        <v>0.116666666666667</v>
      </c>
    </row>
    <row r="35" spans="1:8">
      <c r="A35" s="5">
        <f>(pima_data!A35-MIN(pima_data!$A$1:$A$768))/(MAX(pima_data!$A$1:$A$768)-MIN(pima_data!$A$1:$A$768))</f>
        <v>0.588235294117647</v>
      </c>
      <c r="B35" s="5">
        <f>(pima_data!B35-MIN(pima_data!$B$1:$B$768))/(MAX(pima_data!$B$1:$B$768)-MIN(pima_data!$B$1:$B$768))</f>
        <v>0.613065326633166</v>
      </c>
      <c r="C35" s="5">
        <f>(pima_data!C35-MIN(pima_data!$C$1:$C$768))/(MAX(pima_data!$C$1:$C$768)-MIN(pima_data!$C$1:$C$768))</f>
        <v>0.639344262295082</v>
      </c>
      <c r="D35" s="5">
        <f>(pima_data!D35-MIN(pima_data!$D$1:$D$768))/(MAX(pima_data!$D$1:$D$768)-MIN(pima_data!$D$1:$D$768))</f>
        <v>0.313131313131313</v>
      </c>
      <c r="E35" s="5">
        <f>(pima_data!E35-MIN(pima_data!$E$1:$E$768))/(MAX(pima_data!$E$1:$E$768)-MIN(pima_data!$E$1:$E$768))</f>
        <v>0</v>
      </c>
      <c r="F35" s="5">
        <f>(pima_data!F35-MIN(pima_data!$F$1:$F$768))/(MAX(pima_data!$F$1:$F$768)-MIN(pima_data!$F$1:$F$768))</f>
        <v>0.411326378539493</v>
      </c>
      <c r="G35" s="5">
        <f>(pima_data!G35-MIN(pima_data!$G$1:$G$768))/(MAX(pima_data!$G$1:$G$768)-MIN(pima_data!$G$1:$G$768))</f>
        <v>0.18531169940222</v>
      </c>
      <c r="H35" s="5">
        <f>(pima_data!H35-MIN(pima_data!$H$1:$H$768))/(MAX(pima_data!$H$1:$H$768)-MIN(pima_data!$H$1:$H$768))</f>
        <v>0.4</v>
      </c>
    </row>
    <row r="36" spans="1:8">
      <c r="A36" s="5">
        <f>(pima_data!A36-MIN(pima_data!$A$1:$A$768))/(MAX(pima_data!$A$1:$A$768)-MIN(pima_data!$A$1:$A$768))</f>
        <v>0.235294117647059</v>
      </c>
      <c r="B36" s="5">
        <f>(pima_data!B36-MIN(pima_data!$B$1:$B$768))/(MAX(pima_data!$B$1:$B$768)-MIN(pima_data!$B$1:$B$768))</f>
        <v>0.517587939698492</v>
      </c>
      <c r="C36" s="5">
        <f>(pima_data!C36-MIN(pima_data!$C$1:$C$768))/(MAX(pima_data!$C$1:$C$768)-MIN(pima_data!$C$1:$C$768))</f>
        <v>0.491803278688525</v>
      </c>
      <c r="D36" s="5">
        <f>(pima_data!D36-MIN(pima_data!$D$1:$D$768))/(MAX(pima_data!$D$1:$D$768)-MIN(pima_data!$D$1:$D$768))</f>
        <v>0.333333333333333</v>
      </c>
      <c r="E36" s="5">
        <f>(pima_data!E36-MIN(pima_data!$E$1:$E$768))/(MAX(pima_data!$E$1:$E$768)-MIN(pima_data!$E$1:$E$768))</f>
        <v>0.226950354609929</v>
      </c>
      <c r="F36" s="5">
        <f>(pima_data!F36-MIN(pima_data!$F$1:$F$768))/(MAX(pima_data!$F$1:$F$768)-MIN(pima_data!$F$1:$F$768))</f>
        <v>0.357675111773472</v>
      </c>
      <c r="G36" s="5">
        <f>(pima_data!G36-MIN(pima_data!$G$1:$G$768))/(MAX(pima_data!$G$1:$G$768)-MIN(pima_data!$G$1:$G$768))</f>
        <v>0.379163108454313</v>
      </c>
      <c r="H36" s="5">
        <f>(pima_data!H36-MIN(pima_data!$H$1:$H$768))/(MAX(pima_data!$H$1:$H$768)-MIN(pima_data!$H$1:$H$768))</f>
        <v>0.2</v>
      </c>
    </row>
    <row r="37" spans="1:8">
      <c r="A37" s="5">
        <f>(pima_data!A37-MIN(pima_data!$A$1:$A$768))/(MAX(pima_data!$A$1:$A$768)-MIN(pima_data!$A$1:$A$768))</f>
        <v>0.647058823529412</v>
      </c>
      <c r="B37" s="5">
        <f>(pima_data!B37-MIN(pima_data!$B$1:$B$768))/(MAX(pima_data!$B$1:$B$768)-MIN(pima_data!$B$1:$B$768))</f>
        <v>0.693467336683417</v>
      </c>
      <c r="C37" s="5">
        <f>(pima_data!C37-MIN(pima_data!$C$1:$C$768))/(MAX(pima_data!$C$1:$C$768)-MIN(pima_data!$C$1:$C$768))</f>
        <v>0.622950819672131</v>
      </c>
      <c r="D37" s="5">
        <f>(pima_data!D37-MIN(pima_data!$D$1:$D$768))/(MAX(pima_data!$D$1:$D$768)-MIN(pima_data!$D$1:$D$768))</f>
        <v>0</v>
      </c>
      <c r="E37" s="5">
        <f>(pima_data!E37-MIN(pima_data!$E$1:$E$768))/(MAX(pima_data!$E$1:$E$768)-MIN(pima_data!$E$1:$E$768))</f>
        <v>0</v>
      </c>
      <c r="F37" s="5">
        <f>(pima_data!F37-MIN(pima_data!$F$1:$F$768))/(MAX(pima_data!$F$1:$F$768)-MIN(pima_data!$F$1:$F$768))</f>
        <v>0.49478390461997</v>
      </c>
      <c r="G37" s="5">
        <f>(pima_data!G37-MIN(pima_data!$G$1:$G$768))/(MAX(pima_data!$G$1:$G$768)-MIN(pima_data!$G$1:$G$768))</f>
        <v>0.14602903501281</v>
      </c>
      <c r="H37" s="5">
        <f>(pima_data!H37-MIN(pima_data!$H$1:$H$768))/(MAX(pima_data!$H$1:$H$768)-MIN(pima_data!$H$1:$H$768))</f>
        <v>0.233333333333333</v>
      </c>
    </row>
    <row r="38" spans="1:8">
      <c r="A38" s="5">
        <f>(pima_data!A38-MIN(pima_data!$A$1:$A$768))/(MAX(pima_data!$A$1:$A$768)-MIN(pima_data!$A$1:$A$768))</f>
        <v>0.529411764705882</v>
      </c>
      <c r="B38" s="5">
        <f>(pima_data!B38-MIN(pima_data!$B$1:$B$768))/(MAX(pima_data!$B$1:$B$768)-MIN(pima_data!$B$1:$B$768))</f>
        <v>0.512562814070352</v>
      </c>
      <c r="C38" s="5">
        <f>(pima_data!C38-MIN(pima_data!$C$1:$C$768))/(MAX(pima_data!$C$1:$C$768)-MIN(pima_data!$C$1:$C$768))</f>
        <v>0.622950819672131</v>
      </c>
      <c r="D38" s="5">
        <f>(pima_data!D38-MIN(pima_data!$D$1:$D$768))/(MAX(pima_data!$D$1:$D$768)-MIN(pima_data!$D$1:$D$768))</f>
        <v>0.373737373737374</v>
      </c>
      <c r="E38" s="5">
        <f>(pima_data!E38-MIN(pima_data!$E$1:$E$768))/(MAX(pima_data!$E$1:$E$768)-MIN(pima_data!$E$1:$E$768))</f>
        <v>0</v>
      </c>
      <c r="F38" s="5">
        <f>(pima_data!F38-MIN(pima_data!$F$1:$F$768))/(MAX(pima_data!$F$1:$F$768)-MIN(pima_data!$F$1:$F$768))</f>
        <v>0.490312965722802</v>
      </c>
      <c r="G38" s="5">
        <f>(pima_data!G38-MIN(pima_data!$G$1:$G$768))/(MAX(pima_data!$G$1:$G$768)-MIN(pima_data!$G$1:$G$768))</f>
        <v>0.25064047822374</v>
      </c>
      <c r="H38" s="5">
        <f>(pima_data!H38-MIN(pima_data!$H$1:$H$768))/(MAX(pima_data!$H$1:$H$768)-MIN(pima_data!$H$1:$H$768))</f>
        <v>0.416666666666667</v>
      </c>
    </row>
    <row r="39" spans="1:8">
      <c r="A39" s="5">
        <f>(pima_data!A39-MIN(pima_data!$A$1:$A$768))/(MAX(pima_data!$A$1:$A$768)-MIN(pima_data!$A$1:$A$768))</f>
        <v>0.117647058823529</v>
      </c>
      <c r="B39" s="5">
        <f>(pima_data!B39-MIN(pima_data!$B$1:$B$768))/(MAX(pima_data!$B$1:$B$768)-MIN(pima_data!$B$1:$B$768))</f>
        <v>0.452261306532663</v>
      </c>
      <c r="C39" s="5">
        <f>(pima_data!C39-MIN(pima_data!$C$1:$C$768))/(MAX(pima_data!$C$1:$C$768)-MIN(pima_data!$C$1:$C$768))</f>
        <v>0.557377049180328</v>
      </c>
      <c r="D39" s="5">
        <f>(pima_data!D39-MIN(pima_data!$D$1:$D$768))/(MAX(pima_data!$D$1:$D$768)-MIN(pima_data!$D$1:$D$768))</f>
        <v>0.424242424242424</v>
      </c>
      <c r="E39" s="5">
        <f>(pima_data!E39-MIN(pima_data!$E$1:$E$768))/(MAX(pima_data!$E$1:$E$768)-MIN(pima_data!$E$1:$E$768))</f>
        <v>0</v>
      </c>
      <c r="F39" s="5">
        <f>(pima_data!F39-MIN(pima_data!$F$1:$F$768))/(MAX(pima_data!$F$1:$F$768)-MIN(pima_data!$F$1:$F$768))</f>
        <v>0.56929955290611</v>
      </c>
      <c r="G39" s="5">
        <f>(pima_data!G39-MIN(pima_data!$G$1:$G$768))/(MAX(pima_data!$G$1:$G$768)-MIN(pima_data!$G$1:$G$768))</f>
        <v>0.181468830059778</v>
      </c>
      <c r="H39" s="5">
        <f>(pima_data!H39-MIN(pima_data!$H$1:$H$768))/(MAX(pima_data!$H$1:$H$768)-MIN(pima_data!$H$1:$H$768))</f>
        <v>0.1</v>
      </c>
    </row>
    <row r="40" spans="1:8">
      <c r="A40" s="5">
        <f>(pima_data!A40-MIN(pima_data!$A$1:$A$768))/(MAX(pima_data!$A$1:$A$768)-MIN(pima_data!$A$1:$A$768))</f>
        <v>0.235294117647059</v>
      </c>
      <c r="B40" s="5">
        <f>(pima_data!B40-MIN(pima_data!$B$1:$B$768))/(MAX(pima_data!$B$1:$B$768)-MIN(pima_data!$B$1:$B$768))</f>
        <v>0.557788944723618</v>
      </c>
      <c r="C40" s="5">
        <f>(pima_data!C40-MIN(pima_data!$C$1:$C$768))/(MAX(pima_data!$C$1:$C$768)-MIN(pima_data!$C$1:$C$768))</f>
        <v>0.590163934426229</v>
      </c>
      <c r="D40" s="5">
        <f>(pima_data!D40-MIN(pima_data!$D$1:$D$768))/(MAX(pima_data!$D$1:$D$768)-MIN(pima_data!$D$1:$D$768))</f>
        <v>0.474747474747475</v>
      </c>
      <c r="E40" s="5">
        <f>(pima_data!E40-MIN(pima_data!$E$1:$E$768))/(MAX(pima_data!$E$1:$E$768)-MIN(pima_data!$E$1:$E$768))</f>
        <v>0.24468085106383</v>
      </c>
      <c r="F40" s="5">
        <f>(pima_data!F40-MIN(pima_data!$F$1:$F$768))/(MAX(pima_data!$F$1:$F$768)-MIN(pima_data!$F$1:$F$768))</f>
        <v>0.55290611028316</v>
      </c>
      <c r="G40" s="5">
        <f>(pima_data!G40-MIN(pima_data!$G$1:$G$768))/(MAX(pima_data!$G$1:$G$768)-MIN(pima_data!$G$1:$G$768))</f>
        <v>0.560204953031597</v>
      </c>
      <c r="H40" s="5">
        <f>(pima_data!H40-MIN(pima_data!$H$1:$H$768))/(MAX(pima_data!$H$1:$H$768)-MIN(pima_data!$H$1:$H$768))</f>
        <v>0.583333333333333</v>
      </c>
    </row>
    <row r="41" spans="1:8">
      <c r="A41" s="5">
        <f>(pima_data!A41-MIN(pima_data!$A$1:$A$768))/(MAX(pima_data!$A$1:$A$768)-MIN(pima_data!$A$1:$A$768))</f>
        <v>0.176470588235294</v>
      </c>
      <c r="B41" s="5">
        <f>(pima_data!B41-MIN(pima_data!$B$1:$B$768))/(MAX(pima_data!$B$1:$B$768)-MIN(pima_data!$B$1:$B$768))</f>
        <v>0.904522613065327</v>
      </c>
      <c r="C41" s="5">
        <f>(pima_data!C41-MIN(pima_data!$C$1:$C$768))/(MAX(pima_data!$C$1:$C$768)-MIN(pima_data!$C$1:$C$768))</f>
        <v>0.524590163934426</v>
      </c>
      <c r="D41" s="5">
        <f>(pima_data!D41-MIN(pima_data!$D$1:$D$768))/(MAX(pima_data!$D$1:$D$768)-MIN(pima_data!$D$1:$D$768))</f>
        <v>0.252525252525253</v>
      </c>
      <c r="E41" s="5">
        <f>(pima_data!E41-MIN(pima_data!$E$1:$E$768))/(MAX(pima_data!$E$1:$E$768)-MIN(pima_data!$E$1:$E$768))</f>
        <v>0.08274231678487</v>
      </c>
      <c r="F41" s="5">
        <f>(pima_data!F41-MIN(pima_data!$F$1:$F$768))/(MAX(pima_data!$F$1:$F$768)-MIN(pima_data!$F$1:$F$768))</f>
        <v>0.506706408345753</v>
      </c>
      <c r="G41" s="5">
        <f>(pima_data!G41-MIN(pima_data!$G$1:$G$768))/(MAX(pima_data!$G$1:$G$768)-MIN(pima_data!$G$1:$G$768))</f>
        <v>0.0824081981212639</v>
      </c>
      <c r="H41" s="5">
        <f>(pima_data!H41-MIN(pima_data!$H$1:$H$768))/(MAX(pima_data!$H$1:$H$768)-MIN(pima_data!$H$1:$H$768))</f>
        <v>0.0833333333333333</v>
      </c>
    </row>
    <row r="42" spans="1:8">
      <c r="A42" s="5">
        <f>(pima_data!A42-MIN(pima_data!$A$1:$A$768))/(MAX(pima_data!$A$1:$A$768)-MIN(pima_data!$A$1:$A$768))</f>
        <v>0.411764705882353</v>
      </c>
      <c r="B42" s="5">
        <f>(pima_data!B42-MIN(pima_data!$B$1:$B$768))/(MAX(pima_data!$B$1:$B$768)-MIN(pima_data!$B$1:$B$768))</f>
        <v>0.668341708542714</v>
      </c>
      <c r="C42" s="5">
        <f>(pima_data!C42-MIN(pima_data!$C$1:$C$768))/(MAX(pima_data!$C$1:$C$768)-MIN(pima_data!$C$1:$C$768))</f>
        <v>0.688524590163934</v>
      </c>
      <c r="D42" s="5">
        <f>(pima_data!D42-MIN(pima_data!$D$1:$D$768))/(MAX(pima_data!$D$1:$D$768)-MIN(pima_data!$D$1:$D$768))</f>
        <v>0</v>
      </c>
      <c r="E42" s="5">
        <f>(pima_data!E42-MIN(pima_data!$E$1:$E$768))/(MAX(pima_data!$E$1:$E$768)-MIN(pima_data!$E$1:$E$768))</f>
        <v>0</v>
      </c>
      <c r="F42" s="5">
        <f>(pima_data!F42-MIN(pima_data!$F$1:$F$768))/(MAX(pima_data!$F$1:$F$768)-MIN(pima_data!$F$1:$F$768))</f>
        <v>0.599105812220566</v>
      </c>
      <c r="G42" s="5">
        <f>(pima_data!G42-MIN(pima_data!$G$1:$G$768))/(MAX(pima_data!$G$1:$G$768)-MIN(pima_data!$G$1:$G$768))</f>
        <v>0.263877028181042</v>
      </c>
      <c r="H42" s="5">
        <f>(pima_data!H42-MIN(pima_data!$H$1:$H$768))/(MAX(pima_data!$H$1:$H$768)-MIN(pima_data!$H$1:$H$768))</f>
        <v>0.266666666666667</v>
      </c>
    </row>
    <row r="43" spans="1:8">
      <c r="A43" s="5">
        <f>(pima_data!A43-MIN(pima_data!$A$1:$A$768))/(MAX(pima_data!$A$1:$A$768)-MIN(pima_data!$A$1:$A$768))</f>
        <v>0.411764705882353</v>
      </c>
      <c r="B43" s="5">
        <f>(pima_data!B43-MIN(pima_data!$B$1:$B$768))/(MAX(pima_data!$B$1:$B$768)-MIN(pima_data!$B$1:$B$768))</f>
        <v>0.532663316582915</v>
      </c>
      <c r="C43" s="5">
        <f>(pima_data!C43-MIN(pima_data!$C$1:$C$768))/(MAX(pima_data!$C$1:$C$768)-MIN(pima_data!$C$1:$C$768))</f>
        <v>0.754098360655738</v>
      </c>
      <c r="D43" s="5">
        <f>(pima_data!D43-MIN(pima_data!$D$1:$D$768))/(MAX(pima_data!$D$1:$D$768)-MIN(pima_data!$D$1:$D$768))</f>
        <v>0.181818181818182</v>
      </c>
      <c r="E43" s="5">
        <f>(pima_data!E43-MIN(pima_data!$E$1:$E$768))/(MAX(pima_data!$E$1:$E$768)-MIN(pima_data!$E$1:$E$768))</f>
        <v>0</v>
      </c>
      <c r="F43" s="5">
        <f>(pima_data!F43-MIN(pima_data!$F$1:$F$768))/(MAX(pima_data!$F$1:$F$768)-MIN(pima_data!$F$1:$F$768))</f>
        <v>0.338301043219076</v>
      </c>
      <c r="G43" s="5">
        <f>(pima_data!G43-MIN(pima_data!$G$1:$G$768))/(MAX(pima_data!$G$1:$G$768)-MIN(pima_data!$G$1:$G$768))</f>
        <v>0.0670367207514944</v>
      </c>
      <c r="H43" s="5">
        <f>(pima_data!H43-MIN(pima_data!$H$1:$H$768))/(MAX(pima_data!$H$1:$H$768)-MIN(pima_data!$H$1:$H$768))</f>
        <v>0.45</v>
      </c>
    </row>
    <row r="44" spans="1:8">
      <c r="A44" s="5">
        <f>(pima_data!A44-MIN(pima_data!$A$1:$A$768))/(MAX(pima_data!$A$1:$A$768)-MIN(pima_data!$A$1:$A$768))</f>
        <v>0.529411764705882</v>
      </c>
      <c r="B44" s="5">
        <f>(pima_data!B44-MIN(pima_data!$B$1:$B$768))/(MAX(pima_data!$B$1:$B$768)-MIN(pima_data!$B$1:$B$768))</f>
        <v>0.85929648241206</v>
      </c>
      <c r="C44" s="5">
        <f>(pima_data!C44-MIN(pima_data!$C$1:$C$768))/(MAX(pima_data!$C$1:$C$768)-MIN(pima_data!$C$1:$C$768))</f>
        <v>0.901639344262295</v>
      </c>
      <c r="D44" s="5">
        <f>(pima_data!D44-MIN(pima_data!$D$1:$D$768))/(MAX(pima_data!$D$1:$D$768)-MIN(pima_data!$D$1:$D$768))</f>
        <v>0.242424242424242</v>
      </c>
      <c r="E44" s="5">
        <f>(pima_data!E44-MIN(pima_data!$E$1:$E$768))/(MAX(pima_data!$E$1:$E$768)-MIN(pima_data!$E$1:$E$768))</f>
        <v>0.283687943262411</v>
      </c>
      <c r="F44" s="5">
        <f>(pima_data!F44-MIN(pima_data!$F$1:$F$768))/(MAX(pima_data!$F$1:$F$768)-MIN(pima_data!$F$1:$F$768))</f>
        <v>0.676602086438152</v>
      </c>
      <c r="G44" s="5">
        <f>(pima_data!G44-MIN(pima_data!$G$1:$G$768))/(MAX(pima_data!$G$1:$G$768)-MIN(pima_data!$G$1:$G$768))</f>
        <v>0.274551665243382</v>
      </c>
      <c r="H44" s="5">
        <f>(pima_data!H44-MIN(pima_data!$H$1:$H$768))/(MAX(pima_data!$H$1:$H$768)-MIN(pima_data!$H$1:$H$768))</f>
        <v>0.55</v>
      </c>
    </row>
    <row r="45" spans="1:8">
      <c r="A45" s="5">
        <f>(pima_data!A45-MIN(pima_data!$A$1:$A$768))/(MAX(pima_data!$A$1:$A$768)-MIN(pima_data!$A$1:$A$768))</f>
        <v>0.411764705882353</v>
      </c>
      <c r="B45" s="5">
        <f>(pima_data!B45-MIN(pima_data!$B$1:$B$768))/(MAX(pima_data!$B$1:$B$768)-MIN(pima_data!$B$1:$B$768))</f>
        <v>0.798994974874372</v>
      </c>
      <c r="C45" s="5">
        <f>(pima_data!C45-MIN(pima_data!$C$1:$C$768))/(MAX(pima_data!$C$1:$C$768)-MIN(pima_data!$C$1:$C$768))</f>
        <v>0.524590163934426</v>
      </c>
      <c r="D45" s="5">
        <f>(pima_data!D45-MIN(pima_data!$D$1:$D$768))/(MAX(pima_data!$D$1:$D$768)-MIN(pima_data!$D$1:$D$768))</f>
        <v>0</v>
      </c>
      <c r="E45" s="5">
        <f>(pima_data!E45-MIN(pima_data!$E$1:$E$768))/(MAX(pima_data!$E$1:$E$768)-MIN(pima_data!$E$1:$E$768))</f>
        <v>0</v>
      </c>
      <c r="F45" s="5">
        <f>(pima_data!F45-MIN(pima_data!$F$1:$F$768))/(MAX(pima_data!$F$1:$F$768)-MIN(pima_data!$F$1:$F$768))</f>
        <v>0.408345752608048</v>
      </c>
      <c r="G45" s="5">
        <f>(pima_data!G45-MIN(pima_data!$G$1:$G$768))/(MAX(pima_data!$G$1:$G$768)-MIN(pima_data!$G$1:$G$768))</f>
        <v>0.0922288642186165</v>
      </c>
      <c r="H45" s="5">
        <f>(pima_data!H45-MIN(pima_data!$H$1:$H$768))/(MAX(pima_data!$H$1:$H$768)-MIN(pima_data!$H$1:$H$768))</f>
        <v>0.316666666666667</v>
      </c>
    </row>
    <row r="46" spans="1:8">
      <c r="A46" s="5">
        <f>(pima_data!A46-MIN(pima_data!$A$1:$A$768))/(MAX(pima_data!$A$1:$A$768)-MIN(pima_data!$A$1:$A$768))</f>
        <v>0</v>
      </c>
      <c r="B46" s="5">
        <f>(pima_data!B46-MIN(pima_data!$B$1:$B$768))/(MAX(pima_data!$B$1:$B$768)-MIN(pima_data!$B$1:$B$768))</f>
        <v>0.904522613065327</v>
      </c>
      <c r="C46" s="5">
        <f>(pima_data!C46-MIN(pima_data!$C$1:$C$768))/(MAX(pima_data!$C$1:$C$768)-MIN(pima_data!$C$1:$C$768))</f>
        <v>0.540983606557377</v>
      </c>
      <c r="D46" s="5">
        <f>(pima_data!D46-MIN(pima_data!$D$1:$D$768))/(MAX(pima_data!$D$1:$D$768)-MIN(pima_data!$D$1:$D$768))</f>
        <v>0.393939393939394</v>
      </c>
      <c r="E46" s="5">
        <f>(pima_data!E46-MIN(pima_data!$E$1:$E$768))/(MAX(pima_data!$E$1:$E$768)-MIN(pima_data!$E$1:$E$768))</f>
        <v>0</v>
      </c>
      <c r="F46" s="5">
        <f>(pima_data!F46-MIN(pima_data!$F$1:$F$768))/(MAX(pima_data!$F$1:$F$768)-MIN(pima_data!$F$1:$F$768))</f>
        <v>0.625931445603577</v>
      </c>
      <c r="G46" s="5">
        <f>(pima_data!G46-MIN(pima_data!$G$1:$G$768))/(MAX(pima_data!$G$1:$G$768)-MIN(pima_data!$G$1:$G$768))</f>
        <v>0.774978650725875</v>
      </c>
      <c r="H46" s="5">
        <f>(pima_data!H46-MIN(pima_data!$H$1:$H$768))/(MAX(pima_data!$H$1:$H$768)-MIN(pima_data!$H$1:$H$768))</f>
        <v>0.0666666666666667</v>
      </c>
    </row>
    <row r="47" spans="1:8">
      <c r="A47" s="5">
        <f>(pima_data!A47-MIN(pima_data!$A$1:$A$768))/(MAX(pima_data!$A$1:$A$768)-MIN(pima_data!$A$1:$A$768))</f>
        <v>0.0588235294117647</v>
      </c>
      <c r="B47" s="5">
        <f>(pima_data!B47-MIN(pima_data!$B$1:$B$768))/(MAX(pima_data!$B$1:$B$768)-MIN(pima_data!$B$1:$B$768))</f>
        <v>0.733668341708543</v>
      </c>
      <c r="C47" s="5">
        <f>(pima_data!C47-MIN(pima_data!$C$1:$C$768))/(MAX(pima_data!$C$1:$C$768)-MIN(pima_data!$C$1:$C$768))</f>
        <v>0.459016393442623</v>
      </c>
      <c r="D47" s="5">
        <f>(pima_data!D47-MIN(pima_data!$D$1:$D$768))/(MAX(pima_data!$D$1:$D$768)-MIN(pima_data!$D$1:$D$768))</f>
        <v>0</v>
      </c>
      <c r="E47" s="5">
        <f>(pima_data!E47-MIN(pima_data!$E$1:$E$768))/(MAX(pima_data!$E$1:$E$768)-MIN(pima_data!$E$1:$E$768))</f>
        <v>0</v>
      </c>
      <c r="F47" s="5">
        <f>(pima_data!F47-MIN(pima_data!$F$1:$F$768))/(MAX(pima_data!$F$1:$F$768)-MIN(pima_data!$F$1:$F$768))</f>
        <v>0.442622950819672</v>
      </c>
      <c r="G47" s="5">
        <f>(pima_data!G47-MIN(pima_data!$G$1:$G$768))/(MAX(pima_data!$G$1:$G$768)-MIN(pima_data!$G$1:$G$768))</f>
        <v>0.207514944491887</v>
      </c>
      <c r="H47" s="5">
        <f>(pima_data!H47-MIN(pima_data!$H$1:$H$768))/(MAX(pima_data!$H$1:$H$768)-MIN(pima_data!$H$1:$H$768))</f>
        <v>0.133333333333333</v>
      </c>
    </row>
    <row r="48" spans="1:8">
      <c r="A48" s="5">
        <f>(pima_data!A48-MIN(pima_data!$A$1:$A$768))/(MAX(pima_data!$A$1:$A$768)-MIN(pima_data!$A$1:$A$768))</f>
        <v>0.117647058823529</v>
      </c>
      <c r="B48" s="5">
        <f>(pima_data!B48-MIN(pima_data!$B$1:$B$768))/(MAX(pima_data!$B$1:$B$768)-MIN(pima_data!$B$1:$B$768))</f>
        <v>0.35678391959799</v>
      </c>
      <c r="C48" s="5">
        <f>(pima_data!C48-MIN(pima_data!$C$1:$C$768))/(MAX(pima_data!$C$1:$C$768)-MIN(pima_data!$C$1:$C$768))</f>
        <v>0.573770491803279</v>
      </c>
      <c r="D48" s="5">
        <f>(pima_data!D48-MIN(pima_data!$D$1:$D$768))/(MAX(pima_data!$D$1:$D$768)-MIN(pima_data!$D$1:$D$768))</f>
        <v>0.272727272727273</v>
      </c>
      <c r="E48" s="5">
        <f>(pima_data!E48-MIN(pima_data!$E$1:$E$768))/(MAX(pima_data!$E$1:$E$768)-MIN(pima_data!$E$1:$E$768))</f>
        <v>0</v>
      </c>
      <c r="F48" s="5">
        <f>(pima_data!F48-MIN(pima_data!$F$1:$F$768))/(MAX(pima_data!$F$1:$F$768)-MIN(pima_data!$F$1:$F$768))</f>
        <v>0.417287630402385</v>
      </c>
      <c r="G48" s="5">
        <f>(pima_data!G48-MIN(pima_data!$G$1:$G$768))/(MAX(pima_data!$G$1:$G$768)-MIN(pima_data!$G$1:$G$768))</f>
        <v>0.216908625106746</v>
      </c>
      <c r="H48" s="5">
        <f>(pima_data!H48-MIN(pima_data!$H$1:$H$768))/(MAX(pima_data!$H$1:$H$768)-MIN(pima_data!$H$1:$H$768))</f>
        <v>0.0166666666666667</v>
      </c>
    </row>
    <row r="49" spans="1:8">
      <c r="A49" s="5">
        <f>(pima_data!A49-MIN(pima_data!$A$1:$A$768))/(MAX(pima_data!$A$1:$A$768)-MIN(pima_data!$A$1:$A$768))</f>
        <v>0.411764705882353</v>
      </c>
      <c r="B49" s="5">
        <f>(pima_data!B49-MIN(pima_data!$B$1:$B$768))/(MAX(pima_data!$B$1:$B$768)-MIN(pima_data!$B$1:$B$768))</f>
        <v>0.517587939698492</v>
      </c>
      <c r="C49" s="5">
        <f>(pima_data!C49-MIN(pima_data!$C$1:$C$768))/(MAX(pima_data!$C$1:$C$768)-MIN(pima_data!$C$1:$C$768))</f>
        <v>0.540983606557377</v>
      </c>
      <c r="D49" s="5">
        <f>(pima_data!D49-MIN(pima_data!$D$1:$D$768))/(MAX(pima_data!$D$1:$D$768)-MIN(pima_data!$D$1:$D$768))</f>
        <v>0.323232323232323</v>
      </c>
      <c r="E49" s="5">
        <f>(pima_data!E49-MIN(pima_data!$E$1:$E$768))/(MAX(pima_data!$E$1:$E$768)-MIN(pima_data!$E$1:$E$768))</f>
        <v>0</v>
      </c>
      <c r="F49" s="5">
        <f>(pima_data!F49-MIN(pima_data!$F$1:$F$768))/(MAX(pima_data!$F$1:$F$768)-MIN(pima_data!$F$1:$F$768))</f>
        <v>0.582712369597616</v>
      </c>
      <c r="G49" s="5">
        <f>(pima_data!G49-MIN(pima_data!$G$1:$G$768))/(MAX(pima_data!$G$1:$G$768)-MIN(pima_data!$G$1:$G$768))</f>
        <v>0.113578138343296</v>
      </c>
      <c r="H49" s="5">
        <f>(pima_data!H49-MIN(pima_data!$H$1:$H$768))/(MAX(pima_data!$H$1:$H$768)-MIN(pima_data!$H$1:$H$768))</f>
        <v>0.166666666666667</v>
      </c>
    </row>
    <row r="50" spans="1:8">
      <c r="A50" s="5">
        <f>(pima_data!A50-MIN(pima_data!$A$1:$A$768))/(MAX(pima_data!$A$1:$A$768)-MIN(pima_data!$A$1:$A$768))</f>
        <v>0.411764705882353</v>
      </c>
      <c r="B50" s="5">
        <f>(pima_data!B50-MIN(pima_data!$B$1:$B$768))/(MAX(pima_data!$B$1:$B$768)-MIN(pima_data!$B$1:$B$768))</f>
        <v>0.527638190954774</v>
      </c>
      <c r="C50" s="5">
        <f>(pima_data!C50-MIN(pima_data!$C$1:$C$768))/(MAX(pima_data!$C$1:$C$768)-MIN(pima_data!$C$1:$C$768))</f>
        <v>0</v>
      </c>
      <c r="D50" s="5">
        <f>(pima_data!D50-MIN(pima_data!$D$1:$D$768))/(MAX(pima_data!$D$1:$D$768)-MIN(pima_data!$D$1:$D$768))</f>
        <v>0</v>
      </c>
      <c r="E50" s="5">
        <f>(pima_data!E50-MIN(pima_data!$E$1:$E$768))/(MAX(pima_data!$E$1:$E$768)-MIN(pima_data!$E$1:$E$768))</f>
        <v>0</v>
      </c>
      <c r="F50" s="5">
        <f>(pima_data!F50-MIN(pima_data!$F$1:$F$768))/(MAX(pima_data!$F$1:$F$768)-MIN(pima_data!$F$1:$F$768))</f>
        <v>0</v>
      </c>
      <c r="G50" s="5">
        <f>(pima_data!G50-MIN(pima_data!$G$1:$G$768))/(MAX(pima_data!$G$1:$G$768)-MIN(pima_data!$G$1:$G$768))</f>
        <v>0.0969257045260461</v>
      </c>
      <c r="H50" s="5">
        <f>(pima_data!H50-MIN(pima_data!$H$1:$H$768))/(MAX(pima_data!$H$1:$H$768)-MIN(pima_data!$H$1:$H$768))</f>
        <v>0.05</v>
      </c>
    </row>
    <row r="51" spans="1:8">
      <c r="A51" s="5">
        <f>(pima_data!A51-MIN(pima_data!$A$1:$A$768))/(MAX(pima_data!$A$1:$A$768)-MIN(pima_data!$A$1:$A$768))</f>
        <v>0.0588235294117647</v>
      </c>
      <c r="B51" s="5">
        <f>(pima_data!B51-MIN(pima_data!$B$1:$B$768))/(MAX(pima_data!$B$1:$B$768)-MIN(pima_data!$B$1:$B$768))</f>
        <v>0.517587939698492</v>
      </c>
      <c r="C51" s="5">
        <f>(pima_data!C51-MIN(pima_data!$C$1:$C$768))/(MAX(pima_data!$C$1:$C$768)-MIN(pima_data!$C$1:$C$768))</f>
        <v>0.655737704918033</v>
      </c>
      <c r="D51" s="5">
        <f>(pima_data!D51-MIN(pima_data!$D$1:$D$768))/(MAX(pima_data!$D$1:$D$768)-MIN(pima_data!$D$1:$D$768))</f>
        <v>0.111111111111111</v>
      </c>
      <c r="E51" s="5">
        <f>(pima_data!E51-MIN(pima_data!$E$1:$E$768))/(MAX(pima_data!$E$1:$E$768)-MIN(pima_data!$E$1:$E$768))</f>
        <v>0.0969267139479905</v>
      </c>
      <c r="F51" s="5">
        <f>(pima_data!F51-MIN(pima_data!$F$1:$F$768))/(MAX(pima_data!$F$1:$F$768)-MIN(pima_data!$F$1:$F$768))</f>
        <v>0.289120715350224</v>
      </c>
      <c r="G51" s="5">
        <f>(pima_data!G51-MIN(pima_data!$G$1:$G$768))/(MAX(pima_data!$G$1:$G$768)-MIN(pima_data!$G$1:$G$768))</f>
        <v>0.176345004269855</v>
      </c>
      <c r="H51" s="5">
        <f>(pima_data!H51-MIN(pima_data!$H$1:$H$768))/(MAX(pima_data!$H$1:$H$768)-MIN(pima_data!$H$1:$H$768))</f>
        <v>0.0166666666666667</v>
      </c>
    </row>
    <row r="52" spans="1:8">
      <c r="A52" s="5">
        <f>(pima_data!A52-MIN(pima_data!$A$1:$A$768))/(MAX(pima_data!$A$1:$A$768)-MIN(pima_data!$A$1:$A$768))</f>
        <v>0.0588235294117647</v>
      </c>
      <c r="B52" s="5">
        <f>(pima_data!B52-MIN(pima_data!$B$1:$B$768))/(MAX(pima_data!$B$1:$B$768)-MIN(pima_data!$B$1:$B$768))</f>
        <v>0.507537688442211</v>
      </c>
      <c r="C52" s="5">
        <f>(pima_data!C52-MIN(pima_data!$C$1:$C$768))/(MAX(pima_data!$C$1:$C$768)-MIN(pima_data!$C$1:$C$768))</f>
        <v>0.409836065573771</v>
      </c>
      <c r="D52" s="5">
        <f>(pima_data!D52-MIN(pima_data!$D$1:$D$768))/(MAX(pima_data!$D$1:$D$768)-MIN(pima_data!$D$1:$D$768))</f>
        <v>0.151515151515152</v>
      </c>
      <c r="E52" s="5">
        <f>(pima_data!E52-MIN(pima_data!$E$1:$E$768))/(MAX(pima_data!$E$1:$E$768)-MIN(pima_data!$E$1:$E$768))</f>
        <v>0.0425531914893617</v>
      </c>
      <c r="F52" s="5">
        <f>(pima_data!F52-MIN(pima_data!$F$1:$F$768))/(MAX(pima_data!$F$1:$F$768)-MIN(pima_data!$F$1:$F$768))</f>
        <v>0.360655737704918</v>
      </c>
      <c r="G52" s="5">
        <f>(pima_data!G52-MIN(pima_data!$G$1:$G$768))/(MAX(pima_data!$G$1:$G$768)-MIN(pima_data!$G$1:$G$768))</f>
        <v>0.191289496157131</v>
      </c>
      <c r="H52" s="5">
        <f>(pima_data!H52-MIN(pima_data!$H$1:$H$768))/(MAX(pima_data!$H$1:$H$768)-MIN(pima_data!$H$1:$H$768))</f>
        <v>0.0833333333333333</v>
      </c>
    </row>
    <row r="53" spans="1:8">
      <c r="A53" s="5">
        <f>(pima_data!A53-MIN(pima_data!$A$1:$A$768))/(MAX(pima_data!$A$1:$A$768)-MIN(pima_data!$A$1:$A$768))</f>
        <v>0.294117647058824</v>
      </c>
      <c r="B53" s="5">
        <f>(pima_data!B53-MIN(pima_data!$B$1:$B$768))/(MAX(pima_data!$B$1:$B$768)-MIN(pima_data!$B$1:$B$768))</f>
        <v>0.442211055276382</v>
      </c>
      <c r="C53" s="5">
        <f>(pima_data!C53-MIN(pima_data!$C$1:$C$768))/(MAX(pima_data!$C$1:$C$768)-MIN(pima_data!$C$1:$C$768))</f>
        <v>0.540983606557377</v>
      </c>
      <c r="D53" s="5">
        <f>(pima_data!D53-MIN(pima_data!$D$1:$D$768))/(MAX(pima_data!$D$1:$D$768)-MIN(pima_data!$D$1:$D$768))</f>
        <v>0.212121212121212</v>
      </c>
      <c r="E53" s="5">
        <f>(pima_data!E53-MIN(pima_data!$E$1:$E$768))/(MAX(pima_data!$E$1:$E$768)-MIN(pima_data!$E$1:$E$768))</f>
        <v>0.0271867612293144</v>
      </c>
      <c r="F53" s="5">
        <f>(pima_data!F53-MIN(pima_data!$F$1:$F$768))/(MAX(pima_data!$F$1:$F$768)-MIN(pima_data!$F$1:$F$768))</f>
        <v>0.363636363636364</v>
      </c>
      <c r="G53" s="5">
        <f>(pima_data!G53-MIN(pima_data!$G$1:$G$768))/(MAX(pima_data!$G$1:$G$768)-MIN(pima_data!$G$1:$G$768))</f>
        <v>0.112724167378309</v>
      </c>
      <c r="H53" s="5">
        <f>(pima_data!H53-MIN(pima_data!$H$1:$H$768))/(MAX(pima_data!$H$1:$H$768)-MIN(pima_data!$H$1:$H$768))</f>
        <v>0.15</v>
      </c>
    </row>
    <row r="54" spans="1:8">
      <c r="A54" s="5">
        <f>(pima_data!A54-MIN(pima_data!$A$1:$A$768))/(MAX(pima_data!$A$1:$A$768)-MIN(pima_data!$A$1:$A$768))</f>
        <v>0.470588235294118</v>
      </c>
      <c r="B54" s="5">
        <f>(pima_data!B54-MIN(pima_data!$B$1:$B$768))/(MAX(pima_data!$B$1:$B$768)-MIN(pima_data!$B$1:$B$768))</f>
        <v>0.884422110552764</v>
      </c>
      <c r="C54" s="5">
        <f>(pima_data!C54-MIN(pima_data!$C$1:$C$768))/(MAX(pima_data!$C$1:$C$768)-MIN(pima_data!$C$1:$C$768))</f>
        <v>0.737704918032787</v>
      </c>
      <c r="D54" s="5">
        <f>(pima_data!D54-MIN(pima_data!$D$1:$D$768))/(MAX(pima_data!$D$1:$D$768)-MIN(pima_data!$D$1:$D$768))</f>
        <v>0.343434343434343</v>
      </c>
      <c r="E54" s="5">
        <f>(pima_data!E54-MIN(pima_data!$E$1:$E$768))/(MAX(pima_data!$E$1:$E$768)-MIN(pima_data!$E$1:$E$768))</f>
        <v>0.354609929078014</v>
      </c>
      <c r="F54" s="5">
        <f>(pima_data!F54-MIN(pima_data!$F$1:$F$768))/(MAX(pima_data!$F$1:$F$768)-MIN(pima_data!$F$1:$F$768))</f>
        <v>0.502235469448584</v>
      </c>
      <c r="G54" s="5">
        <f>(pima_data!G54-MIN(pima_data!$G$1:$G$768))/(MAX(pima_data!$G$1:$G$768)-MIN(pima_data!$G$1:$G$768))</f>
        <v>0.166097352690009</v>
      </c>
      <c r="H54" s="5">
        <f>(pima_data!H54-MIN(pima_data!$H$1:$H$768))/(MAX(pima_data!$H$1:$H$768)-MIN(pima_data!$H$1:$H$768))</f>
        <v>0.616666666666667</v>
      </c>
    </row>
    <row r="55" spans="1:8">
      <c r="A55" s="5">
        <f>(pima_data!A55-MIN(pima_data!$A$1:$A$768))/(MAX(pima_data!$A$1:$A$768)-MIN(pima_data!$A$1:$A$768))</f>
        <v>0.411764705882353</v>
      </c>
      <c r="B55" s="5">
        <f>(pima_data!B55-MIN(pima_data!$B$1:$B$768))/(MAX(pima_data!$B$1:$B$768)-MIN(pima_data!$B$1:$B$768))</f>
        <v>0.753768844221106</v>
      </c>
      <c r="C55" s="5">
        <f>(pima_data!C55-MIN(pima_data!$C$1:$C$768))/(MAX(pima_data!$C$1:$C$768)-MIN(pima_data!$C$1:$C$768))</f>
        <v>0.540983606557377</v>
      </c>
      <c r="D55" s="5">
        <f>(pima_data!D55-MIN(pima_data!$D$1:$D$768))/(MAX(pima_data!$D$1:$D$768)-MIN(pima_data!$D$1:$D$768))</f>
        <v>0.424242424242424</v>
      </c>
      <c r="E55" s="5">
        <f>(pima_data!E55-MIN(pima_data!$E$1:$E$768))/(MAX(pima_data!$E$1:$E$768)-MIN(pima_data!$E$1:$E$768))</f>
        <v>0.404255319148936</v>
      </c>
      <c r="F55" s="5">
        <f>(pima_data!F55-MIN(pima_data!$F$1:$F$768))/(MAX(pima_data!$F$1:$F$768)-MIN(pima_data!$F$1:$F$768))</f>
        <v>0.517138599105812</v>
      </c>
      <c r="G55" s="5">
        <f>(pima_data!G55-MIN(pima_data!$G$1:$G$768))/(MAX(pima_data!$G$1:$G$768)-MIN(pima_data!$G$1:$G$768))</f>
        <v>0.273270708795901</v>
      </c>
      <c r="H55" s="5">
        <f>(pima_data!H55-MIN(pima_data!$H$1:$H$768))/(MAX(pima_data!$H$1:$H$768)-MIN(pima_data!$H$1:$H$768))</f>
        <v>0.35</v>
      </c>
    </row>
    <row r="56" spans="1:8">
      <c r="A56" s="5">
        <f>(pima_data!A56-MIN(pima_data!$A$1:$A$768))/(MAX(pima_data!$A$1:$A$768)-MIN(pima_data!$A$1:$A$768))</f>
        <v>0.0588235294117647</v>
      </c>
      <c r="B56" s="5">
        <f>(pima_data!B56-MIN(pima_data!$B$1:$B$768))/(MAX(pima_data!$B$1:$B$768)-MIN(pima_data!$B$1:$B$768))</f>
        <v>0.366834170854271</v>
      </c>
      <c r="C56" s="5">
        <f>(pima_data!C56-MIN(pima_data!$C$1:$C$768))/(MAX(pima_data!$C$1:$C$768)-MIN(pima_data!$C$1:$C$768))</f>
        <v>0.409836065573771</v>
      </c>
      <c r="D56" s="5">
        <f>(pima_data!D56-MIN(pima_data!$D$1:$D$768))/(MAX(pima_data!$D$1:$D$768)-MIN(pima_data!$D$1:$D$768))</f>
        <v>0.101010101010101</v>
      </c>
      <c r="E56" s="5">
        <f>(pima_data!E56-MIN(pima_data!$E$1:$E$768))/(MAX(pima_data!$E$1:$E$768)-MIN(pima_data!$E$1:$E$768))</f>
        <v>0</v>
      </c>
      <c r="F56" s="5">
        <f>(pima_data!F56-MIN(pima_data!$F$1:$F$768))/(MAX(pima_data!$F$1:$F$768)-MIN(pima_data!$F$1:$F$768))</f>
        <v>0.342771982116244</v>
      </c>
      <c r="G56" s="5">
        <f>(pima_data!G56-MIN(pima_data!$G$1:$G$768))/(MAX(pima_data!$G$1:$G$768)-MIN(pima_data!$G$1:$G$768))</f>
        <v>0.0725875320239112</v>
      </c>
      <c r="H56" s="5">
        <f>(pima_data!H56-MIN(pima_data!$H$1:$H$768))/(MAX(pima_data!$H$1:$H$768)-MIN(pima_data!$H$1:$H$768))</f>
        <v>0</v>
      </c>
    </row>
    <row r="57" spans="1:8">
      <c r="A57" s="5">
        <f>(pima_data!A57-MIN(pima_data!$A$1:$A$768))/(MAX(pima_data!$A$1:$A$768)-MIN(pima_data!$A$1:$A$768))</f>
        <v>0.411764705882353</v>
      </c>
      <c r="B57" s="5">
        <f>(pima_data!B57-MIN(pima_data!$B$1:$B$768))/(MAX(pima_data!$B$1:$B$768)-MIN(pima_data!$B$1:$B$768))</f>
        <v>0.939698492462312</v>
      </c>
      <c r="C57" s="5">
        <f>(pima_data!C57-MIN(pima_data!$C$1:$C$768))/(MAX(pima_data!$C$1:$C$768)-MIN(pima_data!$C$1:$C$768))</f>
        <v>0.557377049180328</v>
      </c>
      <c r="D57" s="5">
        <f>(pima_data!D57-MIN(pima_data!$D$1:$D$768))/(MAX(pima_data!$D$1:$D$768)-MIN(pima_data!$D$1:$D$768))</f>
        <v>0.393939393939394</v>
      </c>
      <c r="E57" s="5">
        <f>(pima_data!E57-MIN(pima_data!$E$1:$E$768))/(MAX(pima_data!$E$1:$E$768)-MIN(pima_data!$E$1:$E$768))</f>
        <v>0.359338061465721</v>
      </c>
      <c r="F57" s="5">
        <f>(pima_data!F57-MIN(pima_data!$F$1:$F$768))/(MAX(pima_data!$F$1:$F$768)-MIN(pima_data!$F$1:$F$768))</f>
        <v>0.561847988077496</v>
      </c>
      <c r="G57" s="5">
        <f>(pima_data!G57-MIN(pima_data!$G$1:$G$768))/(MAX(pima_data!$G$1:$G$768)-MIN(pima_data!$G$1:$G$768))</f>
        <v>0.0751494449188728</v>
      </c>
      <c r="H57" s="5">
        <f>(pima_data!H57-MIN(pima_data!$H$1:$H$768))/(MAX(pima_data!$H$1:$H$768)-MIN(pima_data!$H$1:$H$768))</f>
        <v>0.333333333333333</v>
      </c>
    </row>
    <row r="58" spans="1:8">
      <c r="A58" s="5">
        <f>(pima_data!A58-MIN(pima_data!$A$1:$A$768))/(MAX(pima_data!$A$1:$A$768)-MIN(pima_data!$A$1:$A$768))</f>
        <v>0</v>
      </c>
      <c r="B58" s="5">
        <f>(pima_data!B58-MIN(pima_data!$B$1:$B$768))/(MAX(pima_data!$B$1:$B$768)-MIN(pima_data!$B$1:$B$768))</f>
        <v>0.50251256281407</v>
      </c>
      <c r="C58" s="5">
        <f>(pima_data!C58-MIN(pima_data!$C$1:$C$768))/(MAX(pima_data!$C$1:$C$768)-MIN(pima_data!$C$1:$C$768))</f>
        <v>0.721311475409836</v>
      </c>
      <c r="D58" s="5">
        <f>(pima_data!D58-MIN(pima_data!$D$1:$D$768))/(MAX(pima_data!$D$1:$D$768)-MIN(pima_data!$D$1:$D$768))</f>
        <v>0.606060606060606</v>
      </c>
      <c r="E58" s="5">
        <f>(pima_data!E58-MIN(pima_data!$E$1:$E$768))/(MAX(pima_data!$E$1:$E$768)-MIN(pima_data!$E$1:$E$768))</f>
        <v>0.130023640661939</v>
      </c>
      <c r="F58" s="5">
        <f>(pima_data!F58-MIN(pima_data!$F$1:$F$768))/(MAX(pima_data!$F$1:$F$768)-MIN(pima_data!$F$1:$F$768))</f>
        <v>0.697466467958271</v>
      </c>
      <c r="G58" s="5">
        <f>(pima_data!G58-MIN(pima_data!$G$1:$G$768))/(MAX(pima_data!$G$1:$G$768)-MIN(pima_data!$G$1:$G$768))</f>
        <v>0.377455166524338</v>
      </c>
      <c r="H58" s="5">
        <f>(pima_data!H58-MIN(pima_data!$H$1:$H$768))/(MAX(pima_data!$H$1:$H$768)-MIN(pima_data!$H$1:$H$768))</f>
        <v>0.166666666666667</v>
      </c>
    </row>
    <row r="59" spans="1:8">
      <c r="A59" s="5">
        <f>(pima_data!A59-MIN(pima_data!$A$1:$A$768))/(MAX(pima_data!$A$1:$A$768)-MIN(pima_data!$A$1:$A$768))</f>
        <v>0</v>
      </c>
      <c r="B59" s="5">
        <f>(pima_data!B59-MIN(pima_data!$B$1:$B$768))/(MAX(pima_data!$B$1:$B$768)-MIN(pima_data!$B$1:$B$768))</f>
        <v>0.733668341708543</v>
      </c>
      <c r="C59" s="5">
        <f>(pima_data!C59-MIN(pima_data!$C$1:$C$768))/(MAX(pima_data!$C$1:$C$768)-MIN(pima_data!$C$1:$C$768))</f>
        <v>0.672131147540984</v>
      </c>
      <c r="D59" s="5">
        <f>(pima_data!D59-MIN(pima_data!$D$1:$D$768))/(MAX(pima_data!$D$1:$D$768)-MIN(pima_data!$D$1:$D$768))</f>
        <v>0</v>
      </c>
      <c r="E59" s="5">
        <f>(pima_data!E59-MIN(pima_data!$E$1:$E$768))/(MAX(pima_data!$E$1:$E$768)-MIN(pima_data!$E$1:$E$768))</f>
        <v>0</v>
      </c>
      <c r="F59" s="5">
        <f>(pima_data!F59-MIN(pima_data!$F$1:$F$768))/(MAX(pima_data!$F$1:$F$768)-MIN(pima_data!$F$1:$F$768))</f>
        <v>0.603576751117735</v>
      </c>
      <c r="G59" s="5">
        <f>(pima_data!G59-MIN(pima_data!$G$1:$G$768))/(MAX(pima_data!$G$1:$G$768)-MIN(pima_data!$G$1:$G$768))</f>
        <v>0.727156276686593</v>
      </c>
      <c r="H59" s="5">
        <f>(pima_data!H59-MIN(pima_data!$H$1:$H$768))/(MAX(pima_data!$H$1:$H$768)-MIN(pima_data!$H$1:$H$768))</f>
        <v>0.383333333333333</v>
      </c>
    </row>
    <row r="60" spans="1:8">
      <c r="A60" s="5">
        <f>(pima_data!A60-MIN(pima_data!$A$1:$A$768))/(MAX(pima_data!$A$1:$A$768)-MIN(pima_data!$A$1:$A$768))</f>
        <v>0</v>
      </c>
      <c r="B60" s="5">
        <f>(pima_data!B60-MIN(pima_data!$B$1:$B$768))/(MAX(pima_data!$B$1:$B$768)-MIN(pima_data!$B$1:$B$768))</f>
        <v>0.527638190954774</v>
      </c>
      <c r="C60" s="5">
        <f>(pima_data!C60-MIN(pima_data!$C$1:$C$768))/(MAX(pima_data!$C$1:$C$768)-MIN(pima_data!$C$1:$C$768))</f>
        <v>0.524590163934426</v>
      </c>
      <c r="D60" s="5">
        <f>(pima_data!D60-MIN(pima_data!$D$1:$D$768))/(MAX(pima_data!$D$1:$D$768)-MIN(pima_data!$D$1:$D$768))</f>
        <v>0.414141414141414</v>
      </c>
      <c r="E60" s="5">
        <f>(pima_data!E60-MIN(pima_data!$E$1:$E$768))/(MAX(pima_data!$E$1:$E$768)-MIN(pima_data!$E$1:$E$768))</f>
        <v>0.167848699763593</v>
      </c>
      <c r="F60" s="5">
        <f>(pima_data!F60-MIN(pima_data!$F$1:$F$768))/(MAX(pima_data!$F$1:$F$768)-MIN(pima_data!$F$1:$F$768))</f>
        <v>0.618479880774963</v>
      </c>
      <c r="G60" s="5">
        <f>(pima_data!G60-MIN(pima_data!$G$1:$G$768))/(MAX(pima_data!$G$1:$G$768)-MIN(pima_data!$G$1:$G$768))</f>
        <v>0.0405636208368915</v>
      </c>
      <c r="H60" s="5">
        <f>(pima_data!H60-MIN(pima_data!$H$1:$H$768))/(MAX(pima_data!$H$1:$H$768)-MIN(pima_data!$H$1:$H$768))</f>
        <v>0.0166666666666667</v>
      </c>
    </row>
    <row r="61" spans="1:8">
      <c r="A61" s="5">
        <f>(pima_data!A61-MIN(pima_data!$A$1:$A$768))/(MAX(pima_data!$A$1:$A$768)-MIN(pima_data!$A$1:$A$768))</f>
        <v>0.117647058823529</v>
      </c>
      <c r="B61" s="5">
        <f>(pima_data!B61-MIN(pima_data!$B$1:$B$768))/(MAX(pima_data!$B$1:$B$768)-MIN(pima_data!$B$1:$B$768))</f>
        <v>0.422110552763819</v>
      </c>
      <c r="C61" s="5">
        <f>(pima_data!C61-MIN(pima_data!$C$1:$C$768))/(MAX(pima_data!$C$1:$C$768)-MIN(pima_data!$C$1:$C$768))</f>
        <v>0</v>
      </c>
      <c r="D61" s="5">
        <f>(pima_data!D61-MIN(pima_data!$D$1:$D$768))/(MAX(pima_data!$D$1:$D$768)-MIN(pima_data!$D$1:$D$768))</f>
        <v>0</v>
      </c>
      <c r="E61" s="5">
        <f>(pima_data!E61-MIN(pima_data!$E$1:$E$768))/(MAX(pima_data!$E$1:$E$768)-MIN(pima_data!$E$1:$E$768))</f>
        <v>0</v>
      </c>
      <c r="F61" s="5">
        <f>(pima_data!F61-MIN(pima_data!$F$1:$F$768))/(MAX(pima_data!$F$1:$F$768)-MIN(pima_data!$F$1:$F$768))</f>
        <v>0</v>
      </c>
      <c r="G61" s="5">
        <f>(pima_data!G61-MIN(pima_data!$G$1:$G$768))/(MAX(pima_data!$G$1:$G$768)-MIN(pima_data!$G$1:$G$768))</f>
        <v>0.0964987190435525</v>
      </c>
      <c r="H61" s="5">
        <f>(pima_data!H61-MIN(pima_data!$H$1:$H$768))/(MAX(pima_data!$H$1:$H$768)-MIN(pima_data!$H$1:$H$768))</f>
        <v>0</v>
      </c>
    </row>
    <row r="62" spans="1:8">
      <c r="A62" s="5">
        <f>(pima_data!A62-MIN(pima_data!$A$1:$A$768))/(MAX(pima_data!$A$1:$A$768)-MIN(pima_data!$A$1:$A$768))</f>
        <v>0.470588235294118</v>
      </c>
      <c r="B62" s="5">
        <f>(pima_data!B62-MIN(pima_data!$B$1:$B$768))/(MAX(pima_data!$B$1:$B$768)-MIN(pima_data!$B$1:$B$768))</f>
        <v>0.668341708542714</v>
      </c>
      <c r="C62" s="5">
        <f>(pima_data!C62-MIN(pima_data!$C$1:$C$768))/(MAX(pima_data!$C$1:$C$768)-MIN(pima_data!$C$1:$C$768))</f>
        <v>0.590163934426229</v>
      </c>
      <c r="D62" s="5">
        <f>(pima_data!D62-MIN(pima_data!$D$1:$D$768))/(MAX(pima_data!$D$1:$D$768)-MIN(pima_data!$D$1:$D$768))</f>
        <v>0</v>
      </c>
      <c r="E62" s="5">
        <f>(pima_data!E62-MIN(pima_data!$E$1:$E$768))/(MAX(pima_data!$E$1:$E$768)-MIN(pima_data!$E$1:$E$768))</f>
        <v>0</v>
      </c>
      <c r="F62" s="5">
        <f>(pima_data!F62-MIN(pima_data!$F$1:$F$768))/(MAX(pima_data!$F$1:$F$768)-MIN(pima_data!$F$1:$F$768))</f>
        <v>0.490312965722802</v>
      </c>
      <c r="G62" s="5">
        <f>(pima_data!G62-MIN(pima_data!$G$1:$G$768))/(MAX(pima_data!$G$1:$G$768)-MIN(pima_data!$G$1:$G$768))</f>
        <v>0.0819812126387703</v>
      </c>
      <c r="H62" s="5">
        <f>(pima_data!H62-MIN(pima_data!$H$1:$H$768))/(MAX(pima_data!$H$1:$H$768)-MIN(pima_data!$H$1:$H$768))</f>
        <v>0.3</v>
      </c>
    </row>
    <row r="63" spans="1:8">
      <c r="A63" s="5">
        <f>(pima_data!A63-MIN(pima_data!$A$1:$A$768))/(MAX(pima_data!$A$1:$A$768)-MIN(pima_data!$A$1:$A$768))</f>
        <v>0.294117647058824</v>
      </c>
      <c r="B63" s="5">
        <f>(pima_data!B63-MIN(pima_data!$B$1:$B$768))/(MAX(pima_data!$B$1:$B$768)-MIN(pima_data!$B$1:$B$768))</f>
        <v>0.221105527638191</v>
      </c>
      <c r="C63" s="5">
        <f>(pima_data!C63-MIN(pima_data!$C$1:$C$768))/(MAX(pima_data!$C$1:$C$768)-MIN(pima_data!$C$1:$C$768))</f>
        <v>0.508196721311475</v>
      </c>
      <c r="D63" s="5">
        <f>(pima_data!D63-MIN(pima_data!$D$1:$D$768))/(MAX(pima_data!$D$1:$D$768)-MIN(pima_data!$D$1:$D$768))</f>
        <v>0</v>
      </c>
      <c r="E63" s="5">
        <f>(pima_data!E63-MIN(pima_data!$E$1:$E$768))/(MAX(pima_data!$E$1:$E$768)-MIN(pima_data!$E$1:$E$768))</f>
        <v>0</v>
      </c>
      <c r="F63" s="5">
        <f>(pima_data!F63-MIN(pima_data!$F$1:$F$768))/(MAX(pima_data!$F$1:$F$768)-MIN(pima_data!$F$1:$F$768))</f>
        <v>0.3725782414307</v>
      </c>
      <c r="G63" s="5">
        <f>(pima_data!G63-MIN(pima_data!$G$1:$G$768))/(MAX(pima_data!$G$1:$G$768)-MIN(pima_data!$G$1:$G$768))</f>
        <v>0.21733561058924</v>
      </c>
      <c r="H63" s="5">
        <f>(pima_data!H63-MIN(pima_data!$H$1:$H$768))/(MAX(pima_data!$H$1:$H$768)-MIN(pima_data!$H$1:$H$768))</f>
        <v>0.25</v>
      </c>
    </row>
    <row r="64" spans="1:8">
      <c r="A64" s="5">
        <f>(pima_data!A64-MIN(pima_data!$A$1:$A$768))/(MAX(pima_data!$A$1:$A$768)-MIN(pima_data!$A$1:$A$768))</f>
        <v>0.117647058823529</v>
      </c>
      <c r="B64" s="5">
        <f>(pima_data!B64-MIN(pima_data!$B$1:$B$768))/(MAX(pima_data!$B$1:$B$768)-MIN(pima_data!$B$1:$B$768))</f>
        <v>0.708542713567839</v>
      </c>
      <c r="C64" s="5">
        <f>(pima_data!C64-MIN(pima_data!$C$1:$C$768))/(MAX(pima_data!$C$1:$C$768)-MIN(pima_data!$C$1:$C$768))</f>
        <v>0.475409836065574</v>
      </c>
      <c r="D64" s="5">
        <f>(pima_data!D64-MIN(pima_data!$D$1:$D$768))/(MAX(pima_data!$D$1:$D$768)-MIN(pima_data!$D$1:$D$768))</f>
        <v>0.343434343434343</v>
      </c>
      <c r="E64" s="5">
        <f>(pima_data!E64-MIN(pima_data!$E$1:$E$768))/(MAX(pima_data!$E$1:$E$768)-MIN(pima_data!$E$1:$E$768))</f>
        <v>0.151300236406619</v>
      </c>
      <c r="F64" s="5">
        <f>(pima_data!F64-MIN(pima_data!$F$1:$F$768))/(MAX(pima_data!$F$1:$F$768)-MIN(pima_data!$F$1:$F$768))</f>
        <v>0.378539493293592</v>
      </c>
      <c r="G64" s="5">
        <f>(pima_data!G64-MIN(pima_data!$G$1:$G$768))/(MAX(pima_data!$G$1:$G$768)-MIN(pima_data!$G$1:$G$768))</f>
        <v>0.265157984628523</v>
      </c>
      <c r="H64" s="5">
        <f>(pima_data!H64-MIN(pima_data!$H$1:$H$768))/(MAX(pima_data!$H$1:$H$768)-MIN(pima_data!$H$1:$H$768))</f>
        <v>0.05</v>
      </c>
    </row>
    <row r="65" spans="1:8">
      <c r="A65" s="5">
        <f>(pima_data!A65-MIN(pima_data!$A$1:$A$768))/(MAX(pima_data!$A$1:$A$768)-MIN(pima_data!$A$1:$A$768))</f>
        <v>0.411764705882353</v>
      </c>
      <c r="B65" s="5">
        <f>(pima_data!B65-MIN(pima_data!$B$1:$B$768))/(MAX(pima_data!$B$1:$B$768)-MIN(pima_data!$B$1:$B$768))</f>
        <v>0.57286432160804</v>
      </c>
      <c r="C65" s="5">
        <f>(pima_data!C65-MIN(pima_data!$C$1:$C$768))/(MAX(pima_data!$C$1:$C$768)-MIN(pima_data!$C$1:$C$768))</f>
        <v>0.540983606557377</v>
      </c>
      <c r="D65" s="5">
        <f>(pima_data!D65-MIN(pima_data!$D$1:$D$768))/(MAX(pima_data!$D$1:$D$768)-MIN(pima_data!$D$1:$D$768))</f>
        <v>0</v>
      </c>
      <c r="E65" s="5">
        <f>(pima_data!E65-MIN(pima_data!$E$1:$E$768))/(MAX(pima_data!$E$1:$E$768)-MIN(pima_data!$E$1:$E$768))</f>
        <v>0</v>
      </c>
      <c r="F65" s="5">
        <f>(pima_data!F65-MIN(pima_data!$F$1:$F$768))/(MAX(pima_data!$F$1:$F$768)-MIN(pima_data!$F$1:$F$768))</f>
        <v>0.488822652757079</v>
      </c>
      <c r="G65" s="5">
        <f>(pima_data!G65-MIN(pima_data!$G$1:$G$768))/(MAX(pima_data!$G$1:$G$768)-MIN(pima_data!$G$1:$G$768))</f>
        <v>0.0768573868488471</v>
      </c>
      <c r="H65" s="5">
        <f>(pima_data!H65-MIN(pima_data!$H$1:$H$768))/(MAX(pima_data!$H$1:$H$768)-MIN(pima_data!$H$1:$H$768))</f>
        <v>0.35</v>
      </c>
    </row>
    <row r="66" spans="1:8">
      <c r="A66" s="5">
        <f>(pima_data!A66-MIN(pima_data!$A$1:$A$768))/(MAX(pima_data!$A$1:$A$768)-MIN(pima_data!$A$1:$A$768))</f>
        <v>0.294117647058824</v>
      </c>
      <c r="B66" s="5">
        <f>(pima_data!B66-MIN(pima_data!$B$1:$B$768))/(MAX(pima_data!$B$1:$B$768)-MIN(pima_data!$B$1:$B$768))</f>
        <v>0.49748743718593</v>
      </c>
      <c r="C66" s="5">
        <f>(pima_data!C66-MIN(pima_data!$C$1:$C$768))/(MAX(pima_data!$C$1:$C$768)-MIN(pima_data!$C$1:$C$768))</f>
        <v>0.60655737704918</v>
      </c>
      <c r="D66" s="5">
        <f>(pima_data!D66-MIN(pima_data!$D$1:$D$768))/(MAX(pima_data!$D$1:$D$768)-MIN(pima_data!$D$1:$D$768))</f>
        <v>0.272727272727273</v>
      </c>
      <c r="E66" s="5">
        <f>(pima_data!E66-MIN(pima_data!$E$1:$E$768))/(MAX(pima_data!$E$1:$E$768)-MIN(pima_data!$E$1:$E$768))</f>
        <v>0</v>
      </c>
      <c r="F66" s="5">
        <f>(pima_data!F66-MIN(pima_data!$F$1:$F$768))/(MAX(pima_data!$F$1:$F$768)-MIN(pima_data!$F$1:$F$768))</f>
        <v>0.432190760059613</v>
      </c>
      <c r="G66" s="5">
        <f>(pima_data!G66-MIN(pima_data!$G$1:$G$768))/(MAX(pima_data!$G$1:$G$768)-MIN(pima_data!$G$1:$G$768))</f>
        <v>0.0533731853116994</v>
      </c>
      <c r="H66" s="5">
        <f>(pima_data!H66-MIN(pima_data!$H$1:$H$768))/(MAX(pima_data!$H$1:$H$768)-MIN(pima_data!$H$1:$H$768))</f>
        <v>0.183333333333333</v>
      </c>
    </row>
    <row r="67" spans="1:8">
      <c r="A67" s="5">
        <f>(pima_data!A67-MIN(pima_data!$A$1:$A$768))/(MAX(pima_data!$A$1:$A$768)-MIN(pima_data!$A$1:$A$768))</f>
        <v>0</v>
      </c>
      <c r="B67" s="5">
        <f>(pima_data!B67-MIN(pima_data!$B$1:$B$768))/(MAX(pima_data!$B$1:$B$768)-MIN(pima_data!$B$1:$B$768))</f>
        <v>0.547738693467337</v>
      </c>
      <c r="C67" s="5">
        <f>(pima_data!C67-MIN(pima_data!$C$1:$C$768))/(MAX(pima_data!$C$1:$C$768)-MIN(pima_data!$C$1:$C$768))</f>
        <v>0.721311475409836</v>
      </c>
      <c r="D67" s="5">
        <f>(pima_data!D67-MIN(pima_data!$D$1:$D$768))/(MAX(pima_data!$D$1:$D$768)-MIN(pima_data!$D$1:$D$768))</f>
        <v>0.303030303030303</v>
      </c>
      <c r="E67" s="5">
        <f>(pima_data!E67-MIN(pima_data!$E$1:$E$768))/(MAX(pima_data!$E$1:$E$768)-MIN(pima_data!$E$1:$E$768))</f>
        <v>0</v>
      </c>
      <c r="F67" s="5">
        <f>(pima_data!F67-MIN(pima_data!$F$1:$F$768))/(MAX(pima_data!$F$1:$F$768)-MIN(pima_data!$F$1:$F$768))</f>
        <v>0.484351713859911</v>
      </c>
      <c r="G67" s="5">
        <f>(pima_data!G67-MIN(pima_data!$G$1:$G$768))/(MAX(pima_data!$G$1:$G$768)-MIN(pima_data!$G$1:$G$768))</f>
        <v>0.331767719897523</v>
      </c>
      <c r="H67" s="5">
        <f>(pima_data!H67-MIN(pima_data!$H$1:$H$768))/(MAX(pima_data!$H$1:$H$768)-MIN(pima_data!$H$1:$H$768))</f>
        <v>0.283333333333333</v>
      </c>
    </row>
    <row r="68" spans="1:8">
      <c r="A68" s="5">
        <f>(pima_data!A68-MIN(pima_data!$A$1:$A$768))/(MAX(pima_data!$A$1:$A$768)-MIN(pima_data!$A$1:$A$768))</f>
        <v>0.117647058823529</v>
      </c>
      <c r="B68" s="5">
        <f>(pima_data!B68-MIN(pima_data!$B$1:$B$768))/(MAX(pima_data!$B$1:$B$768)-MIN(pima_data!$B$1:$B$768))</f>
        <v>0.547738693467337</v>
      </c>
      <c r="C68" s="5">
        <f>(pima_data!C68-MIN(pima_data!$C$1:$C$768))/(MAX(pima_data!$C$1:$C$768)-MIN(pima_data!$C$1:$C$768))</f>
        <v>0.754098360655738</v>
      </c>
      <c r="D68" s="5">
        <f>(pima_data!D68-MIN(pima_data!$D$1:$D$768))/(MAX(pima_data!$D$1:$D$768)-MIN(pima_data!$D$1:$D$768))</f>
        <v>0</v>
      </c>
      <c r="E68" s="5">
        <f>(pima_data!E68-MIN(pima_data!$E$1:$E$768))/(MAX(pima_data!$E$1:$E$768)-MIN(pima_data!$E$1:$E$768))</f>
        <v>0</v>
      </c>
      <c r="F68" s="5">
        <f>(pima_data!F68-MIN(pima_data!$F$1:$F$768))/(MAX(pima_data!$F$1:$F$768)-MIN(pima_data!$F$1:$F$768))</f>
        <v>0.636363636363636</v>
      </c>
      <c r="G68" s="5">
        <f>(pima_data!G68-MIN(pima_data!$G$1:$G$768))/(MAX(pima_data!$G$1:$G$768)-MIN(pima_data!$G$1:$G$768))</f>
        <v>0.327497865072588</v>
      </c>
      <c r="H68" s="5">
        <f>(pima_data!H68-MIN(pima_data!$H$1:$H$768))/(MAX(pima_data!$H$1:$H$768)-MIN(pima_data!$H$1:$H$768))</f>
        <v>0.55</v>
      </c>
    </row>
    <row r="69" spans="1:8">
      <c r="A69" s="5">
        <f>(pima_data!A69-MIN(pima_data!$A$1:$A$768))/(MAX(pima_data!$A$1:$A$768)-MIN(pima_data!$A$1:$A$768))</f>
        <v>0.0588235294117647</v>
      </c>
      <c r="B69" s="5">
        <f>(pima_data!B69-MIN(pima_data!$B$1:$B$768))/(MAX(pima_data!$B$1:$B$768)-MIN(pima_data!$B$1:$B$768))</f>
        <v>0.477386934673367</v>
      </c>
      <c r="C69" s="5">
        <f>(pima_data!C69-MIN(pima_data!$C$1:$C$768))/(MAX(pima_data!$C$1:$C$768)-MIN(pima_data!$C$1:$C$768))</f>
        <v>0.540983606557377</v>
      </c>
      <c r="D69" s="5">
        <f>(pima_data!D69-MIN(pima_data!$D$1:$D$768))/(MAX(pima_data!$D$1:$D$768)-MIN(pima_data!$D$1:$D$768))</f>
        <v>0.131313131313131</v>
      </c>
      <c r="E69" s="5">
        <f>(pima_data!E69-MIN(pima_data!$E$1:$E$768))/(MAX(pima_data!$E$1:$E$768)-MIN(pima_data!$E$1:$E$768))</f>
        <v>0.0449172576832151</v>
      </c>
      <c r="F69" s="5">
        <f>(pima_data!F69-MIN(pima_data!$F$1:$F$768))/(MAX(pima_data!$F$1:$F$768)-MIN(pima_data!$F$1:$F$768))</f>
        <v>0.292101341281669</v>
      </c>
      <c r="G69" s="5">
        <f>(pima_data!G69-MIN(pima_data!$G$1:$G$768))/(MAX(pima_data!$G$1:$G$768)-MIN(pima_data!$G$1:$G$768))</f>
        <v>0.10930828351836</v>
      </c>
      <c r="H69" s="5">
        <f>(pima_data!H69-MIN(pima_data!$H$1:$H$768))/(MAX(pima_data!$H$1:$H$768)-MIN(pima_data!$H$1:$H$768))</f>
        <v>0.0666666666666667</v>
      </c>
    </row>
    <row r="70" spans="1:8">
      <c r="A70" s="5">
        <f>(pima_data!A70-MIN(pima_data!$A$1:$A$768))/(MAX(pima_data!$A$1:$A$768)-MIN(pima_data!$A$1:$A$768))</f>
        <v>0.235294117647059</v>
      </c>
      <c r="B70" s="5">
        <f>(pima_data!B70-MIN(pima_data!$B$1:$B$768))/(MAX(pima_data!$B$1:$B$768)-MIN(pima_data!$B$1:$B$768))</f>
        <v>0.733668341708543</v>
      </c>
      <c r="C70" s="5">
        <f>(pima_data!C70-MIN(pima_data!$C$1:$C$768))/(MAX(pima_data!$C$1:$C$768)-MIN(pima_data!$C$1:$C$768))</f>
        <v>0.69672131147541</v>
      </c>
      <c r="D70" s="5">
        <f>(pima_data!D70-MIN(pima_data!$D$1:$D$768))/(MAX(pima_data!$D$1:$D$768)-MIN(pima_data!$D$1:$D$768))</f>
        <v>0.272727272727273</v>
      </c>
      <c r="E70" s="5">
        <f>(pima_data!E70-MIN(pima_data!$E$1:$E$768))/(MAX(pima_data!$E$1:$E$768)-MIN(pima_data!$E$1:$E$768))</f>
        <v>0.118203309692671</v>
      </c>
      <c r="F70" s="5">
        <f>(pima_data!F70-MIN(pima_data!$F$1:$F$768))/(MAX(pima_data!$F$1:$F$768)-MIN(pima_data!$F$1:$F$768))</f>
        <v>0.43070044709389</v>
      </c>
      <c r="G70" s="5">
        <f>(pima_data!G70-MIN(pima_data!$G$1:$G$768))/(MAX(pima_data!$G$1:$G$768)-MIN(pima_data!$G$1:$G$768))</f>
        <v>0.0473953885567891</v>
      </c>
      <c r="H70" s="5">
        <f>(pima_data!H70-MIN(pima_data!$H$1:$H$768))/(MAX(pima_data!$H$1:$H$768)-MIN(pima_data!$H$1:$H$768))</f>
        <v>0.1</v>
      </c>
    </row>
    <row r="71" spans="1:8">
      <c r="A71" s="5">
        <f>(pima_data!A71-MIN(pima_data!$A$1:$A$768))/(MAX(pima_data!$A$1:$A$768)-MIN(pima_data!$A$1:$A$768))</f>
        <v>0.117647058823529</v>
      </c>
      <c r="B71" s="5">
        <f>(pima_data!B71-MIN(pima_data!$B$1:$B$768))/(MAX(pima_data!$B$1:$B$768)-MIN(pima_data!$B$1:$B$768))</f>
        <v>0.50251256281407</v>
      </c>
      <c r="C71" s="5">
        <f>(pima_data!C71-MIN(pima_data!$C$1:$C$768))/(MAX(pima_data!$C$1:$C$768)-MIN(pima_data!$C$1:$C$768))</f>
        <v>0.540983606557377</v>
      </c>
      <c r="D71" s="5">
        <f>(pima_data!D71-MIN(pima_data!$D$1:$D$768))/(MAX(pima_data!$D$1:$D$768)-MIN(pima_data!$D$1:$D$768))</f>
        <v>0.202020202020202</v>
      </c>
      <c r="E71" s="5">
        <f>(pima_data!E71-MIN(pima_data!$E$1:$E$768))/(MAX(pima_data!$E$1:$E$768)-MIN(pima_data!$E$1:$E$768))</f>
        <v>0.106382978723404</v>
      </c>
      <c r="F71" s="5">
        <f>(pima_data!F71-MIN(pima_data!$F$1:$F$768))/(MAX(pima_data!$F$1:$F$768)-MIN(pima_data!$F$1:$F$768))</f>
        <v>0.490312965722802</v>
      </c>
      <c r="G71" s="5">
        <f>(pima_data!G71-MIN(pima_data!$G$1:$G$768))/(MAX(pima_data!$G$1:$G$768)-MIN(pima_data!$G$1:$G$768))</f>
        <v>0.336891545687447</v>
      </c>
      <c r="H71" s="5">
        <f>(pima_data!H71-MIN(pima_data!$H$1:$H$768))/(MAX(pima_data!$H$1:$H$768)-MIN(pima_data!$H$1:$H$768))</f>
        <v>0.116666666666667</v>
      </c>
    </row>
    <row r="72" spans="1:8">
      <c r="A72" s="5">
        <f>(pima_data!A72-MIN(pima_data!$A$1:$A$768))/(MAX(pima_data!$A$1:$A$768)-MIN(pima_data!$A$1:$A$768))</f>
        <v>0.294117647058824</v>
      </c>
      <c r="B72" s="5">
        <f>(pima_data!B72-MIN(pima_data!$B$1:$B$768))/(MAX(pima_data!$B$1:$B$768)-MIN(pima_data!$B$1:$B$768))</f>
        <v>0.698492462311558</v>
      </c>
      <c r="C72" s="5">
        <f>(pima_data!C72-MIN(pima_data!$C$1:$C$768))/(MAX(pima_data!$C$1:$C$768)-MIN(pima_data!$C$1:$C$768))</f>
        <v>0.524590163934426</v>
      </c>
      <c r="D72" s="5">
        <f>(pima_data!D72-MIN(pima_data!$D$1:$D$768))/(MAX(pima_data!$D$1:$D$768)-MIN(pima_data!$D$1:$D$768))</f>
        <v>0.353535353535354</v>
      </c>
      <c r="E72" s="5">
        <f>(pima_data!E72-MIN(pima_data!$E$1:$E$768))/(MAX(pima_data!$E$1:$E$768)-MIN(pima_data!$E$1:$E$768))</f>
        <v>0.16548463356974</v>
      </c>
      <c r="F72" s="5">
        <f>(pima_data!F72-MIN(pima_data!$F$1:$F$768))/(MAX(pima_data!$F$1:$F$768)-MIN(pima_data!$F$1:$F$768))</f>
        <v>0.426229508196721</v>
      </c>
      <c r="G72" s="5">
        <f>(pima_data!G72-MIN(pima_data!$G$1:$G$768))/(MAX(pima_data!$G$1:$G$768)-MIN(pima_data!$G$1:$G$768))</f>
        <v>0.142186165670367</v>
      </c>
      <c r="H72" s="5">
        <f>(pima_data!H72-MIN(pima_data!$H$1:$H$768))/(MAX(pima_data!$H$1:$H$768)-MIN(pima_data!$H$1:$H$768))</f>
        <v>0.0833333333333333</v>
      </c>
    </row>
    <row r="73" spans="1:8">
      <c r="A73" s="5">
        <f>(pima_data!A73-MIN(pima_data!$A$1:$A$768))/(MAX(pima_data!$A$1:$A$768)-MIN(pima_data!$A$1:$A$768))</f>
        <v>0.764705882352941</v>
      </c>
      <c r="B73" s="5">
        <f>(pima_data!B73-MIN(pima_data!$B$1:$B$768))/(MAX(pima_data!$B$1:$B$768)-MIN(pima_data!$B$1:$B$768))</f>
        <v>0.633165829145729</v>
      </c>
      <c r="C73" s="5">
        <f>(pima_data!C73-MIN(pima_data!$C$1:$C$768))/(MAX(pima_data!$C$1:$C$768)-MIN(pima_data!$C$1:$C$768))</f>
        <v>0.737704918032787</v>
      </c>
      <c r="D73" s="5">
        <f>(pima_data!D73-MIN(pima_data!$D$1:$D$768))/(MAX(pima_data!$D$1:$D$768)-MIN(pima_data!$D$1:$D$768))</f>
        <v>0</v>
      </c>
      <c r="E73" s="5">
        <f>(pima_data!E73-MIN(pima_data!$E$1:$E$768))/(MAX(pima_data!$E$1:$E$768)-MIN(pima_data!$E$1:$E$768))</f>
        <v>0</v>
      </c>
      <c r="F73" s="5">
        <f>(pima_data!F73-MIN(pima_data!$F$1:$F$768))/(MAX(pima_data!$F$1:$F$768)-MIN(pima_data!$F$1:$F$768))</f>
        <v>0.646795827123696</v>
      </c>
      <c r="G73" s="5">
        <f>(pima_data!G73-MIN(pima_data!$G$1:$G$768))/(MAX(pima_data!$G$1:$G$768)-MIN(pima_data!$G$1:$G$768))</f>
        <v>0.215627668659266</v>
      </c>
      <c r="H73" s="5">
        <f>(pima_data!H73-MIN(pima_data!$H$1:$H$768))/(MAX(pima_data!$H$1:$H$768)-MIN(pima_data!$H$1:$H$768))</f>
        <v>0.35</v>
      </c>
    </row>
    <row r="74" spans="1:8">
      <c r="A74" s="5">
        <f>(pima_data!A74-MIN(pima_data!$A$1:$A$768))/(MAX(pima_data!$A$1:$A$768)-MIN(pima_data!$A$1:$A$768))</f>
        <v>0.235294117647059</v>
      </c>
      <c r="B74" s="5">
        <f>(pima_data!B74-MIN(pima_data!$B$1:$B$768))/(MAX(pima_data!$B$1:$B$768)-MIN(pima_data!$B$1:$B$768))</f>
        <v>0.648241206030151</v>
      </c>
      <c r="C74" s="5">
        <f>(pima_data!C74-MIN(pima_data!$C$1:$C$768))/(MAX(pima_data!$C$1:$C$768)-MIN(pima_data!$C$1:$C$768))</f>
        <v>0.704918032786885</v>
      </c>
      <c r="D74" s="5">
        <f>(pima_data!D74-MIN(pima_data!$D$1:$D$768))/(MAX(pima_data!$D$1:$D$768)-MIN(pima_data!$D$1:$D$768))</f>
        <v>0.202020202020202</v>
      </c>
      <c r="E74" s="5">
        <f>(pima_data!E74-MIN(pima_data!$E$1:$E$768))/(MAX(pima_data!$E$1:$E$768)-MIN(pima_data!$E$1:$E$768))</f>
        <v>0.319148936170213</v>
      </c>
      <c r="F74" s="5">
        <f>(pima_data!F74-MIN(pima_data!$F$1:$F$768))/(MAX(pima_data!$F$1:$F$768)-MIN(pima_data!$F$1:$F$768))</f>
        <v>0.523099850968703</v>
      </c>
      <c r="G74" s="5">
        <f>(pima_data!G74-MIN(pima_data!$G$1:$G$768))/(MAX(pima_data!$G$1:$G$768)-MIN(pima_data!$G$1:$G$768))</f>
        <v>0.0653287788215201</v>
      </c>
      <c r="H74" s="5">
        <f>(pima_data!H74-MIN(pima_data!$H$1:$H$768))/(MAX(pima_data!$H$1:$H$768)-MIN(pima_data!$H$1:$H$768))</f>
        <v>0.0333333333333333</v>
      </c>
    </row>
    <row r="75" spans="1:8">
      <c r="A75" s="5">
        <f>(pima_data!A75-MIN(pima_data!$A$1:$A$768))/(MAX(pima_data!$A$1:$A$768)-MIN(pima_data!$A$1:$A$768))</f>
        <v>0.0588235294117647</v>
      </c>
      <c r="B75" s="5">
        <f>(pima_data!B75-MIN(pima_data!$B$1:$B$768))/(MAX(pima_data!$B$1:$B$768)-MIN(pima_data!$B$1:$B$768))</f>
        <v>0.396984924623116</v>
      </c>
      <c r="C75" s="5">
        <f>(pima_data!C75-MIN(pima_data!$C$1:$C$768))/(MAX(pima_data!$C$1:$C$768)-MIN(pima_data!$C$1:$C$768))</f>
        <v>0.614754098360656</v>
      </c>
      <c r="D75" s="5">
        <f>(pima_data!D75-MIN(pima_data!$D$1:$D$768))/(MAX(pima_data!$D$1:$D$768)-MIN(pima_data!$D$1:$D$768))</f>
        <v>0.303030303030303</v>
      </c>
      <c r="E75" s="5">
        <f>(pima_data!E75-MIN(pima_data!$E$1:$E$768))/(MAX(pima_data!$E$1:$E$768)-MIN(pima_data!$E$1:$E$768))</f>
        <v>0</v>
      </c>
      <c r="F75" s="5">
        <f>(pima_data!F75-MIN(pima_data!$F$1:$F$768))/(MAX(pima_data!$F$1:$F$768)-MIN(pima_data!$F$1:$F$768))</f>
        <v>0.476900149031297</v>
      </c>
      <c r="G75" s="5">
        <f>(pima_data!G75-MIN(pima_data!$G$1:$G$768))/(MAX(pima_data!$G$1:$G$768)-MIN(pima_data!$G$1:$G$768))</f>
        <v>0.135781383432963</v>
      </c>
      <c r="H75" s="5">
        <f>(pima_data!H75-MIN(pima_data!$H$1:$H$768))/(MAX(pima_data!$H$1:$H$768)-MIN(pima_data!$H$1:$H$768))</f>
        <v>0.0166666666666667</v>
      </c>
    </row>
    <row r="76" spans="1:8">
      <c r="A76" s="5">
        <f>(pima_data!A76-MIN(pima_data!$A$1:$A$768))/(MAX(pima_data!$A$1:$A$768)-MIN(pima_data!$A$1:$A$768))</f>
        <v>0.0588235294117647</v>
      </c>
      <c r="B76" s="5">
        <f>(pima_data!B76-MIN(pima_data!$B$1:$B$768))/(MAX(pima_data!$B$1:$B$768)-MIN(pima_data!$B$1:$B$768))</f>
        <v>0</v>
      </c>
      <c r="C76" s="5">
        <f>(pima_data!C76-MIN(pima_data!$C$1:$C$768))/(MAX(pima_data!$C$1:$C$768)-MIN(pima_data!$C$1:$C$768))</f>
        <v>0.39344262295082</v>
      </c>
      <c r="D76" s="5">
        <f>(pima_data!D76-MIN(pima_data!$D$1:$D$768))/(MAX(pima_data!$D$1:$D$768)-MIN(pima_data!$D$1:$D$768))</f>
        <v>0.202020202020202</v>
      </c>
      <c r="E76" s="5">
        <f>(pima_data!E76-MIN(pima_data!$E$1:$E$768))/(MAX(pima_data!$E$1:$E$768)-MIN(pima_data!$E$1:$E$768))</f>
        <v>0</v>
      </c>
      <c r="F76" s="5">
        <f>(pima_data!F76-MIN(pima_data!$F$1:$F$768))/(MAX(pima_data!$F$1:$F$768)-MIN(pima_data!$F$1:$F$768))</f>
        <v>0.368107302533532</v>
      </c>
      <c r="G76" s="5">
        <f>(pima_data!G76-MIN(pima_data!$G$1:$G$768))/(MAX(pima_data!$G$1:$G$768)-MIN(pima_data!$G$1:$G$768))</f>
        <v>0.0264730999146029</v>
      </c>
      <c r="H76" s="5">
        <f>(pima_data!H76-MIN(pima_data!$H$1:$H$768))/(MAX(pima_data!$H$1:$H$768)-MIN(pima_data!$H$1:$H$768))</f>
        <v>0.0166666666666667</v>
      </c>
    </row>
    <row r="77" spans="1:8">
      <c r="A77" s="5">
        <f>(pima_data!A77-MIN(pima_data!$A$1:$A$768))/(MAX(pima_data!$A$1:$A$768)-MIN(pima_data!$A$1:$A$768))</f>
        <v>0.411764705882353</v>
      </c>
      <c r="B77" s="5">
        <f>(pima_data!B77-MIN(pima_data!$B$1:$B$768))/(MAX(pima_data!$B$1:$B$768)-MIN(pima_data!$B$1:$B$768))</f>
        <v>0.311557788944724</v>
      </c>
      <c r="C77" s="5">
        <f>(pima_data!C77-MIN(pima_data!$C$1:$C$768))/(MAX(pima_data!$C$1:$C$768)-MIN(pima_data!$C$1:$C$768))</f>
        <v>0.639344262295082</v>
      </c>
      <c r="D77" s="5">
        <f>(pima_data!D77-MIN(pima_data!$D$1:$D$768))/(MAX(pima_data!$D$1:$D$768)-MIN(pima_data!$D$1:$D$768))</f>
        <v>0</v>
      </c>
      <c r="E77" s="5">
        <f>(pima_data!E77-MIN(pima_data!$E$1:$E$768))/(MAX(pima_data!$E$1:$E$768)-MIN(pima_data!$E$1:$E$768))</f>
        <v>0</v>
      </c>
      <c r="F77" s="5">
        <f>(pima_data!F77-MIN(pima_data!$F$1:$F$768))/(MAX(pima_data!$F$1:$F$768)-MIN(pima_data!$F$1:$F$768))</f>
        <v>0.485842026825633</v>
      </c>
      <c r="G77" s="5">
        <f>(pima_data!G77-MIN(pima_data!$G$1:$G$768))/(MAX(pima_data!$G$1:$G$768)-MIN(pima_data!$G$1:$G$768))</f>
        <v>0.133646456020495</v>
      </c>
      <c r="H77" s="5">
        <f>(pima_data!H77-MIN(pima_data!$H$1:$H$768))/(MAX(pima_data!$H$1:$H$768)-MIN(pima_data!$H$1:$H$768))</f>
        <v>0.333333333333333</v>
      </c>
    </row>
    <row r="78" spans="1:8">
      <c r="A78" s="5">
        <f>(pima_data!A78-MIN(pima_data!$A$1:$A$768))/(MAX(pima_data!$A$1:$A$768)-MIN(pima_data!$A$1:$A$768))</f>
        <v>0.294117647058824</v>
      </c>
      <c r="B78" s="5">
        <f>(pima_data!B78-MIN(pima_data!$B$1:$B$768))/(MAX(pima_data!$B$1:$B$768)-MIN(pima_data!$B$1:$B$768))</f>
        <v>0.477386934673367</v>
      </c>
      <c r="C78" s="5">
        <f>(pima_data!C78-MIN(pima_data!$C$1:$C$768))/(MAX(pima_data!$C$1:$C$768)-MIN(pima_data!$C$1:$C$768))</f>
        <v>0.590163934426229</v>
      </c>
      <c r="D78" s="5">
        <f>(pima_data!D78-MIN(pima_data!$D$1:$D$768))/(MAX(pima_data!$D$1:$D$768)-MIN(pima_data!$D$1:$D$768))</f>
        <v>0.333333333333333</v>
      </c>
      <c r="E78" s="5">
        <f>(pima_data!E78-MIN(pima_data!$E$1:$E$768))/(MAX(pima_data!$E$1:$E$768)-MIN(pima_data!$E$1:$E$768))</f>
        <v>0</v>
      </c>
      <c r="F78" s="5">
        <f>(pima_data!F78-MIN(pima_data!$F$1:$F$768))/(MAX(pima_data!$F$1:$F$768)-MIN(pima_data!$F$1:$F$768))</f>
        <v>0.561847988077496</v>
      </c>
      <c r="G78" s="5">
        <f>(pima_data!G78-MIN(pima_data!$G$1:$G$768))/(MAX(pima_data!$G$1:$G$768)-MIN(pima_data!$G$1:$G$768))</f>
        <v>0.12467976088813</v>
      </c>
      <c r="H78" s="5">
        <f>(pima_data!H78-MIN(pima_data!$H$1:$H$768))/(MAX(pima_data!$H$1:$H$768)-MIN(pima_data!$H$1:$H$768))</f>
        <v>0.1</v>
      </c>
    </row>
    <row r="79" spans="1:8">
      <c r="A79" s="5">
        <f>(pima_data!A79-MIN(pima_data!$A$1:$A$768))/(MAX(pima_data!$A$1:$A$768)-MIN(pima_data!$A$1:$A$768))</f>
        <v>0</v>
      </c>
      <c r="B79" s="5">
        <f>(pima_data!B79-MIN(pima_data!$B$1:$B$768))/(MAX(pima_data!$B$1:$B$768)-MIN(pima_data!$B$1:$B$768))</f>
        <v>0.658291457286432</v>
      </c>
      <c r="C79" s="5">
        <f>(pima_data!C79-MIN(pima_data!$C$1:$C$768))/(MAX(pima_data!$C$1:$C$768)-MIN(pima_data!$C$1:$C$768))</f>
        <v>0</v>
      </c>
      <c r="D79" s="5">
        <f>(pima_data!D79-MIN(pima_data!$D$1:$D$768))/(MAX(pima_data!$D$1:$D$768)-MIN(pima_data!$D$1:$D$768))</f>
        <v>0</v>
      </c>
      <c r="E79" s="5">
        <f>(pima_data!E79-MIN(pima_data!$E$1:$E$768))/(MAX(pima_data!$E$1:$E$768)-MIN(pima_data!$E$1:$E$768))</f>
        <v>0</v>
      </c>
      <c r="F79" s="5">
        <f>(pima_data!F79-MIN(pima_data!$F$1:$F$768))/(MAX(pima_data!$F$1:$F$768)-MIN(pima_data!$F$1:$F$768))</f>
        <v>0.64381520119225</v>
      </c>
      <c r="G79" s="5">
        <f>(pima_data!G79-MIN(pima_data!$G$1:$G$768))/(MAX(pima_data!$G$1:$G$768)-MIN(pima_data!$G$1:$G$768))</f>
        <v>0.0819812126387703</v>
      </c>
      <c r="H79" s="5">
        <f>(pima_data!H79-MIN(pima_data!$H$1:$H$768))/(MAX(pima_data!$H$1:$H$768)-MIN(pima_data!$H$1:$H$768))</f>
        <v>0.0833333333333333</v>
      </c>
    </row>
    <row r="80" spans="1:8">
      <c r="A80" s="5">
        <f>(pima_data!A80-MIN(pima_data!$A$1:$A$768))/(MAX(pima_data!$A$1:$A$768)-MIN(pima_data!$A$1:$A$768))</f>
        <v>0.117647058823529</v>
      </c>
      <c r="B80" s="5">
        <f>(pima_data!B80-MIN(pima_data!$B$1:$B$768))/(MAX(pima_data!$B$1:$B$768)-MIN(pima_data!$B$1:$B$768))</f>
        <v>0.562814070351759</v>
      </c>
      <c r="C80" s="5">
        <f>(pima_data!C80-MIN(pima_data!$C$1:$C$768))/(MAX(pima_data!$C$1:$C$768)-MIN(pima_data!$C$1:$C$768))</f>
        <v>0.540983606557377</v>
      </c>
      <c r="D80" s="5">
        <f>(pima_data!D80-MIN(pima_data!$D$1:$D$768))/(MAX(pima_data!$D$1:$D$768)-MIN(pima_data!$D$1:$D$768))</f>
        <v>0.222222222222222</v>
      </c>
      <c r="E80" s="5">
        <f>(pima_data!E80-MIN(pima_data!$E$1:$E$768))/(MAX(pima_data!$E$1:$E$768)-MIN(pima_data!$E$1:$E$768))</f>
        <v>0</v>
      </c>
      <c r="F80" s="5">
        <f>(pima_data!F80-MIN(pima_data!$F$1:$F$768))/(MAX(pima_data!$F$1:$F$768)-MIN(pima_data!$F$1:$F$768))</f>
        <v>0.3725782414307</v>
      </c>
      <c r="G80" s="5">
        <f>(pima_data!G80-MIN(pima_data!$G$1:$G$768))/(MAX(pima_data!$G$1:$G$768)-MIN(pima_data!$G$1:$G$768))</f>
        <v>0.0977796754910333</v>
      </c>
      <c r="H80" s="5">
        <f>(pima_data!H80-MIN(pima_data!$H$1:$H$768))/(MAX(pima_data!$H$1:$H$768)-MIN(pima_data!$H$1:$H$768))</f>
        <v>0.05</v>
      </c>
    </row>
    <row r="81" spans="1:8">
      <c r="A81" s="5">
        <f>(pima_data!A81-MIN(pima_data!$A$1:$A$768))/(MAX(pima_data!$A$1:$A$768)-MIN(pima_data!$A$1:$A$768))</f>
        <v>0.176470588235294</v>
      </c>
      <c r="B81" s="5">
        <f>(pima_data!B81-MIN(pima_data!$B$1:$B$768))/(MAX(pima_data!$B$1:$B$768)-MIN(pima_data!$B$1:$B$768))</f>
        <v>0.5678391959799</v>
      </c>
      <c r="C81" s="5">
        <f>(pima_data!C81-MIN(pima_data!$C$1:$C$768))/(MAX(pima_data!$C$1:$C$768)-MIN(pima_data!$C$1:$C$768))</f>
        <v>0.360655737704918</v>
      </c>
      <c r="D81" s="5">
        <f>(pima_data!D81-MIN(pima_data!$D$1:$D$768))/(MAX(pima_data!$D$1:$D$768)-MIN(pima_data!$D$1:$D$768))</f>
        <v>0.131313131313131</v>
      </c>
      <c r="E81" s="5">
        <f>(pima_data!E81-MIN(pima_data!$E$1:$E$768))/(MAX(pima_data!$E$1:$E$768)-MIN(pima_data!$E$1:$E$768))</f>
        <v>0</v>
      </c>
      <c r="F81" s="5">
        <f>(pima_data!F81-MIN(pima_data!$F$1:$F$768))/(MAX(pima_data!$F$1:$F$768)-MIN(pima_data!$F$1:$F$768))</f>
        <v>0.333830104321908</v>
      </c>
      <c r="G81" s="5">
        <f>(pima_data!G81-MIN(pima_data!$G$1:$G$768))/(MAX(pima_data!$G$1:$G$768)-MIN(pima_data!$G$1:$G$768))</f>
        <v>0.0264730999146029</v>
      </c>
      <c r="H81" s="5">
        <f>(pima_data!H81-MIN(pima_data!$H$1:$H$768))/(MAX(pima_data!$H$1:$H$768)-MIN(pima_data!$H$1:$H$768))</f>
        <v>0.0166666666666667</v>
      </c>
    </row>
    <row r="82" spans="1:8">
      <c r="A82" s="5">
        <f>(pima_data!A82-MIN(pima_data!$A$1:$A$768))/(MAX(pima_data!$A$1:$A$768)-MIN(pima_data!$A$1:$A$768))</f>
        <v>0.117647058823529</v>
      </c>
      <c r="B82" s="5">
        <f>(pima_data!B82-MIN(pima_data!$B$1:$B$768))/(MAX(pima_data!$B$1:$B$768)-MIN(pima_data!$B$1:$B$768))</f>
        <v>0.371859296482412</v>
      </c>
      <c r="C82" s="5">
        <f>(pima_data!C82-MIN(pima_data!$C$1:$C$768))/(MAX(pima_data!$C$1:$C$768)-MIN(pima_data!$C$1:$C$768))</f>
        <v>0</v>
      </c>
      <c r="D82" s="5">
        <f>(pima_data!D82-MIN(pima_data!$D$1:$D$768))/(MAX(pima_data!$D$1:$D$768)-MIN(pima_data!$D$1:$D$768))</f>
        <v>0</v>
      </c>
      <c r="E82" s="5">
        <f>(pima_data!E82-MIN(pima_data!$E$1:$E$768))/(MAX(pima_data!$E$1:$E$768)-MIN(pima_data!$E$1:$E$768))</f>
        <v>0</v>
      </c>
      <c r="F82" s="5">
        <f>(pima_data!F82-MIN(pima_data!$F$1:$F$768))/(MAX(pima_data!$F$1:$F$768)-MIN(pima_data!$F$1:$F$768))</f>
        <v>0</v>
      </c>
      <c r="G82" s="5">
        <f>(pima_data!G82-MIN(pima_data!$G$1:$G$768))/(MAX(pima_data!$G$1:$G$768)-MIN(pima_data!$G$1:$G$768))</f>
        <v>0.0102476515798463</v>
      </c>
      <c r="H82" s="5">
        <f>(pima_data!H82-MIN(pima_data!$H$1:$H$768))/(MAX(pima_data!$H$1:$H$768)-MIN(pima_data!$H$1:$H$768))</f>
        <v>0.0166666666666667</v>
      </c>
    </row>
    <row r="83" spans="1:8">
      <c r="A83" s="5">
        <f>(pima_data!A83-MIN(pima_data!$A$1:$A$768))/(MAX(pima_data!$A$1:$A$768)-MIN(pima_data!$A$1:$A$768))</f>
        <v>0.411764705882353</v>
      </c>
      <c r="B83" s="5">
        <f>(pima_data!B83-MIN(pima_data!$B$1:$B$768))/(MAX(pima_data!$B$1:$B$768)-MIN(pima_data!$B$1:$B$768))</f>
        <v>0.417085427135678</v>
      </c>
      <c r="C83" s="5">
        <f>(pima_data!C83-MIN(pima_data!$C$1:$C$768))/(MAX(pima_data!$C$1:$C$768)-MIN(pima_data!$C$1:$C$768))</f>
        <v>0.639344262295082</v>
      </c>
      <c r="D83" s="5">
        <f>(pima_data!D83-MIN(pima_data!$D$1:$D$768))/(MAX(pima_data!$D$1:$D$768)-MIN(pima_data!$D$1:$D$768))</f>
        <v>0.262626262626263</v>
      </c>
      <c r="E83" s="5">
        <f>(pima_data!E83-MIN(pima_data!$E$1:$E$768))/(MAX(pima_data!$E$1:$E$768)-MIN(pima_data!$E$1:$E$768))</f>
        <v>0.0839243498817967</v>
      </c>
      <c r="F83" s="5">
        <f>(pima_data!F83-MIN(pima_data!$F$1:$F$768))/(MAX(pima_data!$F$1:$F$768)-MIN(pima_data!$F$1:$F$768))</f>
        <v>0.436661698956781</v>
      </c>
      <c r="G83" s="5">
        <f>(pima_data!G83-MIN(pima_data!$G$1:$G$768))/(MAX(pima_data!$G$1:$G$768)-MIN(pima_data!$G$1:$G$768))</f>
        <v>0.294192997438087</v>
      </c>
      <c r="H83" s="5">
        <f>(pima_data!H83-MIN(pima_data!$H$1:$H$768))/(MAX(pima_data!$H$1:$H$768)-MIN(pima_data!$H$1:$H$768))</f>
        <v>0.25</v>
      </c>
    </row>
    <row r="84" spans="1:8">
      <c r="A84" s="5">
        <f>(pima_data!A84-MIN(pima_data!$A$1:$A$768))/(MAX(pima_data!$A$1:$A$768)-MIN(pima_data!$A$1:$A$768))</f>
        <v>0</v>
      </c>
      <c r="B84" s="5">
        <f>(pima_data!B84-MIN(pima_data!$B$1:$B$768))/(MAX(pima_data!$B$1:$B$768)-MIN(pima_data!$B$1:$B$768))</f>
        <v>0.507537688442211</v>
      </c>
      <c r="C84" s="5">
        <f>(pima_data!C84-MIN(pima_data!$C$1:$C$768))/(MAX(pima_data!$C$1:$C$768)-MIN(pima_data!$C$1:$C$768))</f>
        <v>0.532786885245902</v>
      </c>
      <c r="D84" s="5">
        <f>(pima_data!D84-MIN(pima_data!$D$1:$D$768))/(MAX(pima_data!$D$1:$D$768)-MIN(pima_data!$D$1:$D$768))</f>
        <v>0.282828282828283</v>
      </c>
      <c r="E84" s="5">
        <f>(pima_data!E84-MIN(pima_data!$E$1:$E$768))/(MAX(pima_data!$E$1:$E$768)-MIN(pima_data!$E$1:$E$768))</f>
        <v>0</v>
      </c>
      <c r="F84" s="5">
        <f>(pima_data!F84-MIN(pima_data!$F$1:$F$768))/(MAX(pima_data!$F$1:$F$768)-MIN(pima_data!$F$1:$F$768))</f>
        <v>0.366616989567809</v>
      </c>
      <c r="G84" s="5">
        <f>(pima_data!G84-MIN(pima_data!$G$1:$G$768))/(MAX(pima_data!$G$1:$G$768)-MIN(pima_data!$G$1:$G$768))</f>
        <v>0.0678906917164816</v>
      </c>
      <c r="H84" s="5">
        <f>(pima_data!H84-MIN(pima_data!$H$1:$H$768))/(MAX(pima_data!$H$1:$H$768)-MIN(pima_data!$H$1:$H$768))</f>
        <v>0.0166666666666667</v>
      </c>
    </row>
    <row r="85" spans="1:8">
      <c r="A85" s="5">
        <f>(pima_data!A85-MIN(pima_data!$A$1:$A$768))/(MAX(pima_data!$A$1:$A$768)-MIN(pima_data!$A$1:$A$768))</f>
        <v>0.294117647058824</v>
      </c>
      <c r="B85" s="5">
        <f>(pima_data!B85-MIN(pima_data!$B$1:$B$768))/(MAX(pima_data!$B$1:$B$768)-MIN(pima_data!$B$1:$B$768))</f>
        <v>0.688442211055276</v>
      </c>
      <c r="C85" s="5">
        <f>(pima_data!C85-MIN(pima_data!$C$1:$C$768))/(MAX(pima_data!$C$1:$C$768)-MIN(pima_data!$C$1:$C$768))</f>
        <v>0.885245901639344</v>
      </c>
      <c r="D85" s="5">
        <f>(pima_data!D85-MIN(pima_data!$D$1:$D$768))/(MAX(pima_data!$D$1:$D$768)-MIN(pima_data!$D$1:$D$768))</f>
        <v>0</v>
      </c>
      <c r="E85" s="5">
        <f>(pima_data!E85-MIN(pima_data!$E$1:$E$768))/(MAX(pima_data!$E$1:$E$768)-MIN(pima_data!$E$1:$E$768))</f>
        <v>0</v>
      </c>
      <c r="F85" s="5">
        <f>(pima_data!F85-MIN(pima_data!$F$1:$F$768))/(MAX(pima_data!$F$1:$F$768)-MIN(pima_data!$F$1:$F$768))</f>
        <v>0.727272727272727</v>
      </c>
      <c r="G85" s="5">
        <f>(pima_data!G85-MIN(pima_data!$G$1:$G$768))/(MAX(pima_data!$G$1:$G$768)-MIN(pima_data!$G$1:$G$768))</f>
        <v>0.0636208368915457</v>
      </c>
      <c r="H85" s="5">
        <f>(pima_data!H85-MIN(pima_data!$H$1:$H$768))/(MAX(pima_data!$H$1:$H$768)-MIN(pima_data!$H$1:$H$768))</f>
        <v>0.266666666666667</v>
      </c>
    </row>
    <row r="86" spans="1:8">
      <c r="A86" s="5">
        <f>(pima_data!A86-MIN(pima_data!$A$1:$A$768))/(MAX(pima_data!$A$1:$A$768)-MIN(pima_data!$A$1:$A$768))</f>
        <v>0.117647058823529</v>
      </c>
      <c r="B86" s="5">
        <f>(pima_data!B86-MIN(pima_data!$B$1:$B$768))/(MAX(pima_data!$B$1:$B$768)-MIN(pima_data!$B$1:$B$768))</f>
        <v>0.552763819095477</v>
      </c>
      <c r="C86" s="5">
        <f>(pima_data!C86-MIN(pima_data!$C$1:$C$768))/(MAX(pima_data!$C$1:$C$768)-MIN(pima_data!$C$1:$C$768))</f>
        <v>0.60655737704918</v>
      </c>
      <c r="D86" s="5">
        <f>(pima_data!D86-MIN(pima_data!$D$1:$D$768))/(MAX(pima_data!$D$1:$D$768)-MIN(pima_data!$D$1:$D$768))</f>
        <v>0.292929292929293</v>
      </c>
      <c r="E86" s="5">
        <f>(pima_data!E86-MIN(pima_data!$E$1:$E$768))/(MAX(pima_data!$E$1:$E$768)-MIN(pima_data!$E$1:$E$768))</f>
        <v>0.147754137115839</v>
      </c>
      <c r="F86" s="5">
        <f>(pima_data!F86-MIN(pima_data!$F$1:$F$768))/(MAX(pima_data!$F$1:$F$768)-MIN(pima_data!$F$1:$F$768))</f>
        <v>0.482861400894188</v>
      </c>
      <c r="G86" s="5">
        <f>(pima_data!G86-MIN(pima_data!$G$1:$G$768))/(MAX(pima_data!$G$1:$G$768)-MIN(pima_data!$G$1:$G$768))</f>
        <v>0.264730999146029</v>
      </c>
      <c r="H86" s="5">
        <f>(pima_data!H86-MIN(pima_data!$H$1:$H$768))/(MAX(pima_data!$H$1:$H$768)-MIN(pima_data!$H$1:$H$768))</f>
        <v>0.1</v>
      </c>
    </row>
    <row r="87" spans="1:8">
      <c r="A87" s="5">
        <f>(pima_data!A87-MIN(pima_data!$A$1:$A$768))/(MAX(pima_data!$A$1:$A$768)-MIN(pima_data!$A$1:$A$768))</f>
        <v>0.764705882352941</v>
      </c>
      <c r="B87" s="5">
        <f>(pima_data!B87-MIN(pima_data!$B$1:$B$768))/(MAX(pima_data!$B$1:$B$768)-MIN(pima_data!$B$1:$B$768))</f>
        <v>0.532663316582915</v>
      </c>
      <c r="C87" s="5">
        <f>(pima_data!C87-MIN(pima_data!$C$1:$C$768))/(MAX(pima_data!$C$1:$C$768)-MIN(pima_data!$C$1:$C$768))</f>
        <v>0.590163934426229</v>
      </c>
      <c r="D87" s="5">
        <f>(pima_data!D87-MIN(pima_data!$D$1:$D$768))/(MAX(pima_data!$D$1:$D$768)-MIN(pima_data!$D$1:$D$768))</f>
        <v>0.545454545454545</v>
      </c>
      <c r="E87" s="5">
        <f>(pima_data!E87-MIN(pima_data!$E$1:$E$768))/(MAX(pima_data!$E$1:$E$768)-MIN(pima_data!$E$1:$E$768))</f>
        <v>0</v>
      </c>
      <c r="F87" s="5">
        <f>(pima_data!F87-MIN(pima_data!$F$1:$F$768))/(MAX(pima_data!$F$1:$F$768)-MIN(pima_data!$F$1:$F$768))</f>
        <v>0.545454545454546</v>
      </c>
      <c r="G87" s="5">
        <f>(pima_data!G87-MIN(pima_data!$G$1:$G$768))/(MAX(pima_data!$G$1:$G$768)-MIN(pima_data!$G$1:$G$768))</f>
        <v>0.0426985482493595</v>
      </c>
      <c r="H87" s="5">
        <f>(pima_data!H87-MIN(pima_data!$H$1:$H$768))/(MAX(pima_data!$H$1:$H$768)-MIN(pima_data!$H$1:$H$768))</f>
        <v>0.4</v>
      </c>
    </row>
    <row r="88" spans="1:8">
      <c r="A88" s="5">
        <f>(pima_data!A88-MIN(pima_data!$A$1:$A$768))/(MAX(pima_data!$A$1:$A$768)-MIN(pima_data!$A$1:$A$768))</f>
        <v>0.117647058823529</v>
      </c>
      <c r="B88" s="5">
        <f>(pima_data!B88-MIN(pima_data!$B$1:$B$768))/(MAX(pima_data!$B$1:$B$768)-MIN(pima_data!$B$1:$B$768))</f>
        <v>0.50251256281407</v>
      </c>
      <c r="C88" s="5">
        <f>(pima_data!C88-MIN(pima_data!$C$1:$C$768))/(MAX(pima_data!$C$1:$C$768)-MIN(pima_data!$C$1:$C$768))</f>
        <v>0.557377049180328</v>
      </c>
      <c r="D88" s="5">
        <f>(pima_data!D88-MIN(pima_data!$D$1:$D$768))/(MAX(pima_data!$D$1:$D$768)-MIN(pima_data!$D$1:$D$768))</f>
        <v>0.252525252525253</v>
      </c>
      <c r="E88" s="5">
        <f>(pima_data!E88-MIN(pima_data!$E$1:$E$768))/(MAX(pima_data!$E$1:$E$768)-MIN(pima_data!$E$1:$E$768))</f>
        <v>0.0839243498817967</v>
      </c>
      <c r="F88" s="5">
        <f>(pima_data!F88-MIN(pima_data!$F$1:$F$768))/(MAX(pima_data!$F$1:$F$768)-MIN(pima_data!$F$1:$F$768))</f>
        <v>0.573770491803279</v>
      </c>
      <c r="G88" s="5">
        <f>(pima_data!G88-MIN(pima_data!$G$1:$G$768))/(MAX(pima_data!$G$1:$G$768)-MIN(pima_data!$G$1:$G$768))</f>
        <v>0.105038428693424</v>
      </c>
      <c r="H88" s="5">
        <f>(pima_data!H88-MIN(pima_data!$H$1:$H$768))/(MAX(pima_data!$H$1:$H$768)-MIN(pima_data!$H$1:$H$768))</f>
        <v>0.0833333333333333</v>
      </c>
    </row>
    <row r="89" spans="1:8">
      <c r="A89" s="5">
        <f>(pima_data!A89-MIN(pima_data!$A$1:$A$768))/(MAX(pima_data!$A$1:$A$768)-MIN(pima_data!$A$1:$A$768))</f>
        <v>0.882352941176471</v>
      </c>
      <c r="B89" s="5">
        <f>(pima_data!B89-MIN(pima_data!$B$1:$B$768))/(MAX(pima_data!$B$1:$B$768)-MIN(pima_data!$B$1:$B$768))</f>
        <v>0.683417085427136</v>
      </c>
      <c r="C89" s="5">
        <f>(pima_data!C89-MIN(pima_data!$C$1:$C$768))/(MAX(pima_data!$C$1:$C$768)-MIN(pima_data!$C$1:$C$768))</f>
        <v>0.573770491803279</v>
      </c>
      <c r="D89" s="5">
        <f>(pima_data!D89-MIN(pima_data!$D$1:$D$768))/(MAX(pima_data!$D$1:$D$768)-MIN(pima_data!$D$1:$D$768))</f>
        <v>0.323232323232323</v>
      </c>
      <c r="E89" s="5">
        <f>(pima_data!E89-MIN(pima_data!$E$1:$E$768))/(MAX(pima_data!$E$1:$E$768)-MIN(pima_data!$E$1:$E$768))</f>
        <v>0.130023640661939</v>
      </c>
      <c r="F89" s="5">
        <f>(pima_data!F89-MIN(pima_data!$F$1:$F$768))/(MAX(pima_data!$F$1:$F$768)-MIN(pima_data!$F$1:$F$768))</f>
        <v>0.55290611028316</v>
      </c>
      <c r="G89" s="5">
        <f>(pima_data!G89-MIN(pima_data!$G$1:$G$768))/(MAX(pima_data!$G$1:$G$768)-MIN(pima_data!$G$1:$G$768))</f>
        <v>0.0320239111870196</v>
      </c>
      <c r="H89" s="5">
        <f>(pima_data!H89-MIN(pima_data!$H$1:$H$768))/(MAX(pima_data!$H$1:$H$768)-MIN(pima_data!$H$1:$H$768))</f>
        <v>0.366666666666667</v>
      </c>
    </row>
    <row r="90" spans="1:8">
      <c r="A90" s="5">
        <f>(pima_data!A90-MIN(pima_data!$A$1:$A$768))/(MAX(pima_data!$A$1:$A$768)-MIN(pima_data!$A$1:$A$768))</f>
        <v>0.0588235294117647</v>
      </c>
      <c r="B90" s="5">
        <f>(pima_data!B90-MIN(pima_data!$B$1:$B$768))/(MAX(pima_data!$B$1:$B$768)-MIN(pima_data!$B$1:$B$768))</f>
        <v>0.537688442211055</v>
      </c>
      <c r="C90" s="5">
        <f>(pima_data!C90-MIN(pima_data!$C$1:$C$768))/(MAX(pima_data!$C$1:$C$768)-MIN(pima_data!$C$1:$C$768))</f>
        <v>0.557377049180328</v>
      </c>
      <c r="D90" s="5">
        <f>(pima_data!D90-MIN(pima_data!$D$1:$D$768))/(MAX(pima_data!$D$1:$D$768)-MIN(pima_data!$D$1:$D$768))</f>
        <v>0.191919191919192</v>
      </c>
      <c r="E90" s="5">
        <f>(pima_data!E90-MIN(pima_data!$E$1:$E$768))/(MAX(pima_data!$E$1:$E$768)-MIN(pima_data!$E$1:$E$768))</f>
        <v>0</v>
      </c>
      <c r="F90" s="5">
        <f>(pima_data!F90-MIN(pima_data!$F$1:$F$768))/(MAX(pima_data!$F$1:$F$768)-MIN(pima_data!$F$1:$F$768))</f>
        <v>0.394932935916542</v>
      </c>
      <c r="G90" s="5">
        <f>(pima_data!G90-MIN(pima_data!$G$1:$G$768))/(MAX(pima_data!$G$1:$G$768)-MIN(pima_data!$G$1:$G$768))</f>
        <v>0.0371477369769428</v>
      </c>
      <c r="H90" s="5">
        <f>(pima_data!H90-MIN(pima_data!$H$1:$H$768))/(MAX(pima_data!$H$1:$H$768)-MIN(pima_data!$H$1:$H$768))</f>
        <v>0.05</v>
      </c>
    </row>
    <row r="91" spans="1:8">
      <c r="A91" s="5">
        <f>(pima_data!A91-MIN(pima_data!$A$1:$A$768))/(MAX(pima_data!$A$1:$A$768)-MIN(pima_data!$A$1:$A$768))</f>
        <v>0.0588235294117647</v>
      </c>
      <c r="B91" s="5">
        <f>(pima_data!B91-MIN(pima_data!$B$1:$B$768))/(MAX(pima_data!$B$1:$B$768)-MIN(pima_data!$B$1:$B$768))</f>
        <v>0.402010050251256</v>
      </c>
      <c r="C91" s="5">
        <f>(pima_data!C91-MIN(pima_data!$C$1:$C$768))/(MAX(pima_data!$C$1:$C$768)-MIN(pima_data!$C$1:$C$768))</f>
        <v>0.450819672131148</v>
      </c>
      <c r="D91" s="5">
        <f>(pima_data!D91-MIN(pima_data!$D$1:$D$768))/(MAX(pima_data!$D$1:$D$768)-MIN(pima_data!$D$1:$D$768))</f>
        <v>0</v>
      </c>
      <c r="E91" s="5">
        <f>(pima_data!E91-MIN(pima_data!$E$1:$E$768))/(MAX(pima_data!$E$1:$E$768)-MIN(pima_data!$E$1:$E$768))</f>
        <v>0</v>
      </c>
      <c r="F91" s="5">
        <f>(pima_data!F91-MIN(pima_data!$F$1:$F$768))/(MAX(pima_data!$F$1:$F$768)-MIN(pima_data!$F$1:$F$768))</f>
        <v>0.284649776453055</v>
      </c>
      <c r="G91" s="5">
        <f>(pima_data!G91-MIN(pima_data!$G$1:$G$768))/(MAX(pima_data!$G$1:$G$768)-MIN(pima_data!$G$1:$G$768))</f>
        <v>0.0768573868488471</v>
      </c>
      <c r="H91" s="5">
        <f>(pima_data!H91-MIN(pima_data!$H$1:$H$768))/(MAX(pima_data!$H$1:$H$768)-MIN(pima_data!$H$1:$H$768))</f>
        <v>0</v>
      </c>
    </row>
    <row r="92" spans="1:8">
      <c r="A92" s="5">
        <f>(pima_data!A92-MIN(pima_data!$A$1:$A$768))/(MAX(pima_data!$A$1:$A$768)-MIN(pima_data!$A$1:$A$768))</f>
        <v>0.235294117647059</v>
      </c>
      <c r="B92" s="5">
        <f>(pima_data!B92-MIN(pima_data!$B$1:$B$768))/(MAX(pima_data!$B$1:$B$768)-MIN(pima_data!$B$1:$B$768))</f>
        <v>0.618090452261307</v>
      </c>
      <c r="C92" s="5">
        <f>(pima_data!C92-MIN(pima_data!$C$1:$C$768))/(MAX(pima_data!$C$1:$C$768)-MIN(pima_data!$C$1:$C$768))</f>
        <v>0.655737704918033</v>
      </c>
      <c r="D92" s="5">
        <f>(pima_data!D92-MIN(pima_data!$D$1:$D$768))/(MAX(pima_data!$D$1:$D$768)-MIN(pima_data!$D$1:$D$768))</f>
        <v>0.151515151515152</v>
      </c>
      <c r="E92" s="5">
        <f>(pima_data!E92-MIN(pima_data!$E$1:$E$768))/(MAX(pima_data!$E$1:$E$768)-MIN(pima_data!$E$1:$E$768))</f>
        <v>0.208037825059102</v>
      </c>
      <c r="F92" s="5">
        <f>(pima_data!F92-MIN(pima_data!$F$1:$F$768))/(MAX(pima_data!$F$1:$F$768)-MIN(pima_data!$F$1:$F$768))</f>
        <v>0.476900149031297</v>
      </c>
      <c r="G92" s="5">
        <f>(pima_data!G92-MIN(pima_data!$G$1:$G$768))/(MAX(pima_data!$G$1:$G$768)-MIN(pima_data!$G$1:$G$768))</f>
        <v>0.155849701110162</v>
      </c>
      <c r="H92" s="5">
        <f>(pima_data!H92-MIN(pima_data!$H$1:$H$768))/(MAX(pima_data!$H$1:$H$768)-MIN(pima_data!$H$1:$H$768))</f>
        <v>0.216666666666667</v>
      </c>
    </row>
    <row r="93" spans="1:8">
      <c r="A93" s="5">
        <f>(pima_data!A93-MIN(pima_data!$A$1:$A$768))/(MAX(pima_data!$A$1:$A$768)-MIN(pima_data!$A$1:$A$768))</f>
        <v>0.411764705882353</v>
      </c>
      <c r="B93" s="5">
        <f>(pima_data!B93-MIN(pima_data!$B$1:$B$768))/(MAX(pima_data!$B$1:$B$768)-MIN(pima_data!$B$1:$B$768))</f>
        <v>0.407035175879397</v>
      </c>
      <c r="C93" s="5">
        <f>(pima_data!C93-MIN(pima_data!$C$1:$C$768))/(MAX(pima_data!$C$1:$C$768)-MIN(pima_data!$C$1:$C$768))</f>
        <v>0.639344262295082</v>
      </c>
      <c r="D93" s="5">
        <f>(pima_data!D93-MIN(pima_data!$D$1:$D$768))/(MAX(pima_data!$D$1:$D$768)-MIN(pima_data!$D$1:$D$768))</f>
        <v>0.404040404040404</v>
      </c>
      <c r="E93" s="5">
        <f>(pima_data!E93-MIN(pima_data!$E$1:$E$768))/(MAX(pima_data!$E$1:$E$768)-MIN(pima_data!$E$1:$E$768))</f>
        <v>0.0567375886524823</v>
      </c>
      <c r="F93" s="5">
        <f>(pima_data!F93-MIN(pima_data!$F$1:$F$768))/(MAX(pima_data!$F$1:$F$768)-MIN(pima_data!$F$1:$F$768))</f>
        <v>0.695976154992549</v>
      </c>
      <c r="G93" s="5">
        <f>(pima_data!G93-MIN(pima_data!$G$1:$G$768))/(MAX(pima_data!$G$1:$G$768)-MIN(pima_data!$G$1:$G$768))</f>
        <v>0.0781383432963279</v>
      </c>
      <c r="H93" s="5">
        <f>(pima_data!H93-MIN(pima_data!$H$1:$H$768))/(MAX(pima_data!$H$1:$H$768)-MIN(pima_data!$H$1:$H$768))</f>
        <v>0.35</v>
      </c>
    </row>
    <row r="94" spans="1:8">
      <c r="A94" s="5">
        <f>(pima_data!A94-MIN(pima_data!$A$1:$A$768))/(MAX(pima_data!$A$1:$A$768)-MIN(pima_data!$A$1:$A$768))</f>
        <v>0.235294117647059</v>
      </c>
      <c r="B94" s="5">
        <f>(pima_data!B94-MIN(pima_data!$B$1:$B$768))/(MAX(pima_data!$B$1:$B$768)-MIN(pima_data!$B$1:$B$768))</f>
        <v>0.673366834170854</v>
      </c>
      <c r="C94" s="5">
        <f>(pima_data!C94-MIN(pima_data!$C$1:$C$768))/(MAX(pima_data!$C$1:$C$768)-MIN(pima_data!$C$1:$C$768))</f>
        <v>0.590163934426229</v>
      </c>
      <c r="D94" s="5">
        <f>(pima_data!D94-MIN(pima_data!$D$1:$D$768))/(MAX(pima_data!$D$1:$D$768)-MIN(pima_data!$D$1:$D$768))</f>
        <v>0</v>
      </c>
      <c r="E94" s="5">
        <f>(pima_data!E94-MIN(pima_data!$E$1:$E$768))/(MAX(pima_data!$E$1:$E$768)-MIN(pima_data!$E$1:$E$768))</f>
        <v>0</v>
      </c>
      <c r="F94" s="5">
        <f>(pima_data!F94-MIN(pima_data!$F$1:$F$768))/(MAX(pima_data!$F$1:$F$768)-MIN(pima_data!$F$1:$F$768))</f>
        <v>0.354694485842027</v>
      </c>
      <c r="G94" s="5">
        <f>(pima_data!G94-MIN(pima_data!$G$1:$G$768))/(MAX(pima_data!$G$1:$G$768)-MIN(pima_data!$G$1:$G$768))</f>
        <v>0.0849701110162255</v>
      </c>
      <c r="H94" s="5">
        <f>(pima_data!H94-MIN(pima_data!$H$1:$H$768))/(MAX(pima_data!$H$1:$H$768)-MIN(pima_data!$H$1:$H$768))</f>
        <v>0.65</v>
      </c>
    </row>
    <row r="95" spans="1:8">
      <c r="A95" s="5">
        <f>(pima_data!A95-MIN(pima_data!$A$1:$A$768))/(MAX(pima_data!$A$1:$A$768)-MIN(pima_data!$A$1:$A$768))</f>
        <v>0.117647058823529</v>
      </c>
      <c r="B95" s="5">
        <f>(pima_data!B95-MIN(pima_data!$B$1:$B$768))/(MAX(pima_data!$B$1:$B$768)-MIN(pima_data!$B$1:$B$768))</f>
        <v>0.71356783919598</v>
      </c>
      <c r="C95" s="5">
        <f>(pima_data!C95-MIN(pima_data!$C$1:$C$768))/(MAX(pima_data!$C$1:$C$768)-MIN(pima_data!$C$1:$C$768))</f>
        <v>0.672131147540984</v>
      </c>
      <c r="D95" s="5">
        <f>(pima_data!D95-MIN(pima_data!$D$1:$D$768))/(MAX(pima_data!$D$1:$D$768)-MIN(pima_data!$D$1:$D$768))</f>
        <v>0.181818181818182</v>
      </c>
      <c r="E95" s="5">
        <f>(pima_data!E95-MIN(pima_data!$E$1:$E$768))/(MAX(pima_data!$E$1:$E$768)-MIN(pima_data!$E$1:$E$768))</f>
        <v>0.0756501182033097</v>
      </c>
      <c r="F95" s="5">
        <f>(pima_data!F95-MIN(pima_data!$F$1:$F$768))/(MAX(pima_data!$F$1:$F$768)-MIN(pima_data!$F$1:$F$768))</f>
        <v>0.368107302533532</v>
      </c>
      <c r="G95" s="5">
        <f>(pima_data!G95-MIN(pima_data!$G$1:$G$768))/(MAX(pima_data!$G$1:$G$768)-MIN(pima_data!$G$1:$G$768))</f>
        <v>0.291631084543126</v>
      </c>
      <c r="H95" s="5">
        <f>(pima_data!H95-MIN(pima_data!$H$1:$H$768))/(MAX(pima_data!$H$1:$H$768)-MIN(pima_data!$H$1:$H$768))</f>
        <v>0</v>
      </c>
    </row>
    <row r="96" spans="1:8">
      <c r="A96" s="5">
        <f>(pima_data!A96-MIN(pima_data!$A$1:$A$768))/(MAX(pima_data!$A$1:$A$768)-MIN(pima_data!$A$1:$A$768))</f>
        <v>0.352941176470588</v>
      </c>
      <c r="B96" s="5">
        <f>(pima_data!B96-MIN(pima_data!$B$1:$B$768))/(MAX(pima_data!$B$1:$B$768)-MIN(pima_data!$B$1:$B$768))</f>
        <v>0.723618090452261</v>
      </c>
      <c r="C96" s="5">
        <f>(pima_data!C96-MIN(pima_data!$C$1:$C$768))/(MAX(pima_data!$C$1:$C$768)-MIN(pima_data!$C$1:$C$768))</f>
        <v>0.590163934426229</v>
      </c>
      <c r="D96" s="5">
        <f>(pima_data!D96-MIN(pima_data!$D$1:$D$768))/(MAX(pima_data!$D$1:$D$768)-MIN(pima_data!$D$1:$D$768))</f>
        <v>0.272727272727273</v>
      </c>
      <c r="E96" s="5">
        <f>(pima_data!E96-MIN(pima_data!$E$1:$E$768))/(MAX(pima_data!$E$1:$E$768)-MIN(pima_data!$E$1:$E$768))</f>
        <v>0.269503546099291</v>
      </c>
      <c r="F96" s="5">
        <f>(pima_data!F96-MIN(pima_data!$F$1:$F$768))/(MAX(pima_data!$F$1:$F$768)-MIN(pima_data!$F$1:$F$768))</f>
        <v>0.50521609538003</v>
      </c>
      <c r="G96" s="5">
        <f>(pima_data!G96-MIN(pima_data!$G$1:$G$768))/(MAX(pima_data!$G$1:$G$768)-MIN(pima_data!$G$1:$G$768))</f>
        <v>0.0755764304013663</v>
      </c>
      <c r="H96" s="5">
        <f>(pima_data!H96-MIN(pima_data!$H$1:$H$768))/(MAX(pima_data!$H$1:$H$768)-MIN(pima_data!$H$1:$H$768))</f>
        <v>0.316666666666667</v>
      </c>
    </row>
    <row r="97" spans="1:8">
      <c r="A97" s="5">
        <f>(pima_data!A97-MIN(pima_data!$A$1:$A$768))/(MAX(pima_data!$A$1:$A$768)-MIN(pima_data!$A$1:$A$768))</f>
        <v>0.117647058823529</v>
      </c>
      <c r="B97" s="5">
        <f>(pima_data!B97-MIN(pima_data!$B$1:$B$768))/(MAX(pima_data!$B$1:$B$768)-MIN(pima_data!$B$1:$B$768))</f>
        <v>0.462311557788945</v>
      </c>
      <c r="C97" s="5">
        <f>(pima_data!C97-MIN(pima_data!$C$1:$C$768))/(MAX(pima_data!$C$1:$C$768)-MIN(pima_data!$C$1:$C$768))</f>
        <v>0.508196721311475</v>
      </c>
      <c r="D97" s="5">
        <f>(pima_data!D97-MIN(pima_data!$D$1:$D$768))/(MAX(pima_data!$D$1:$D$768)-MIN(pima_data!$D$1:$D$768))</f>
        <v>0.282828282828283</v>
      </c>
      <c r="E97" s="5">
        <f>(pima_data!E97-MIN(pima_data!$E$1:$E$768))/(MAX(pima_data!$E$1:$E$768)-MIN(pima_data!$E$1:$E$768))</f>
        <v>0</v>
      </c>
      <c r="F97" s="5">
        <f>(pima_data!F97-MIN(pima_data!$F$1:$F$768))/(MAX(pima_data!$F$1:$F$768)-MIN(pima_data!$F$1:$F$768))</f>
        <v>0.470938897168405</v>
      </c>
      <c r="G97" s="5">
        <f>(pima_data!G97-MIN(pima_data!$G$1:$G$768))/(MAX(pima_data!$G$1:$G$768)-MIN(pima_data!$G$1:$G$768))</f>
        <v>0.022203245089667</v>
      </c>
      <c r="H97" s="5">
        <f>(pima_data!H97-MIN(pima_data!$H$1:$H$768))/(MAX(pima_data!$H$1:$H$768)-MIN(pima_data!$H$1:$H$768))</f>
        <v>0.05</v>
      </c>
    </row>
    <row r="98" spans="1:8">
      <c r="A98" s="5">
        <f>(pima_data!A98-MIN(pima_data!$A$1:$A$768))/(MAX(pima_data!$A$1:$A$768)-MIN(pima_data!$A$1:$A$768))</f>
        <v>0.0588235294117647</v>
      </c>
      <c r="B98" s="5">
        <f>(pima_data!B98-MIN(pima_data!$B$1:$B$768))/(MAX(pima_data!$B$1:$B$768)-MIN(pima_data!$B$1:$B$768))</f>
        <v>0.35678391959799</v>
      </c>
      <c r="C98" s="5">
        <f>(pima_data!C98-MIN(pima_data!$C$1:$C$768))/(MAX(pima_data!$C$1:$C$768)-MIN(pima_data!$C$1:$C$768))</f>
        <v>0.39344262295082</v>
      </c>
      <c r="D98" s="5">
        <f>(pima_data!D98-MIN(pima_data!$D$1:$D$768))/(MAX(pima_data!$D$1:$D$768)-MIN(pima_data!$D$1:$D$768))</f>
        <v>0.181818181818182</v>
      </c>
      <c r="E98" s="5">
        <f>(pima_data!E98-MIN(pima_data!$E$1:$E$768))/(MAX(pima_data!$E$1:$E$768)-MIN(pima_data!$E$1:$E$768))</f>
        <v>0.0898345153664303</v>
      </c>
      <c r="F98" s="5">
        <f>(pima_data!F98-MIN(pima_data!$F$1:$F$768))/(MAX(pima_data!$F$1:$F$768)-MIN(pima_data!$F$1:$F$768))</f>
        <v>0.304023845007452</v>
      </c>
      <c r="G98" s="5">
        <f>(pima_data!G98-MIN(pima_data!$G$1:$G$768))/(MAX(pima_data!$G$1:$G$768)-MIN(pima_data!$G$1:$G$768))</f>
        <v>0.104611443210931</v>
      </c>
      <c r="H98" s="5">
        <f>(pima_data!H98-MIN(pima_data!$H$1:$H$768))/(MAX(pima_data!$H$1:$H$768)-MIN(pima_data!$H$1:$H$768))</f>
        <v>0.0166666666666667</v>
      </c>
    </row>
    <row r="99" spans="1:8">
      <c r="A99" s="5">
        <f>(pima_data!A99-MIN(pima_data!$A$1:$A$768))/(MAX(pima_data!$A$1:$A$768)-MIN(pima_data!$A$1:$A$768))</f>
        <v>0.352941176470588</v>
      </c>
      <c r="B99" s="5">
        <f>(pima_data!B99-MIN(pima_data!$B$1:$B$768))/(MAX(pima_data!$B$1:$B$768)-MIN(pima_data!$B$1:$B$768))</f>
        <v>0.467336683417085</v>
      </c>
      <c r="C99" s="5">
        <f>(pima_data!C99-MIN(pima_data!$C$1:$C$768))/(MAX(pima_data!$C$1:$C$768)-MIN(pima_data!$C$1:$C$768))</f>
        <v>0.409836065573771</v>
      </c>
      <c r="D99" s="5">
        <f>(pima_data!D99-MIN(pima_data!$D$1:$D$768))/(MAX(pima_data!$D$1:$D$768)-MIN(pima_data!$D$1:$D$768))</f>
        <v>0.303030303030303</v>
      </c>
      <c r="E99" s="5">
        <f>(pima_data!E99-MIN(pima_data!$E$1:$E$768))/(MAX(pima_data!$E$1:$E$768)-MIN(pima_data!$E$1:$E$768))</f>
        <v>0.0756501182033097</v>
      </c>
      <c r="F99" s="5">
        <f>(pima_data!F99-MIN(pima_data!$F$1:$F$768))/(MAX(pima_data!$F$1:$F$768)-MIN(pima_data!$F$1:$F$768))</f>
        <v>0.427719821162444</v>
      </c>
      <c r="G99" s="5">
        <f>(pima_data!G99-MIN(pima_data!$G$1:$G$768))/(MAX(pima_data!$G$1:$G$768)-MIN(pima_data!$G$1:$G$768))</f>
        <v>0.118701964133219</v>
      </c>
      <c r="H99" s="5">
        <f>(pima_data!H99-MIN(pima_data!$H$1:$H$768))/(MAX(pima_data!$H$1:$H$768)-MIN(pima_data!$H$1:$H$768))</f>
        <v>0.0333333333333333</v>
      </c>
    </row>
    <row r="100" spans="1:8">
      <c r="A100" s="5">
        <f>(pima_data!A100-MIN(pima_data!$A$1:$A$768))/(MAX(pima_data!$A$1:$A$768)-MIN(pima_data!$A$1:$A$768))</f>
        <v>0.0588235294117647</v>
      </c>
      <c r="B100" s="5">
        <f>(pima_data!B100-MIN(pima_data!$B$1:$B$768))/(MAX(pima_data!$B$1:$B$768)-MIN(pima_data!$B$1:$B$768))</f>
        <v>0.613065326633166</v>
      </c>
      <c r="C100" s="5">
        <f>(pima_data!C100-MIN(pima_data!$C$1:$C$768))/(MAX(pima_data!$C$1:$C$768)-MIN(pima_data!$C$1:$C$768))</f>
        <v>0.737704918032787</v>
      </c>
      <c r="D100" s="5">
        <f>(pima_data!D100-MIN(pima_data!$D$1:$D$768))/(MAX(pima_data!$D$1:$D$768)-MIN(pima_data!$D$1:$D$768))</f>
        <v>0.515151515151515</v>
      </c>
      <c r="E100" s="5">
        <f>(pima_data!E100-MIN(pima_data!$E$1:$E$768))/(MAX(pima_data!$E$1:$E$768)-MIN(pima_data!$E$1:$E$768))</f>
        <v>0.260047281323877</v>
      </c>
      <c r="F100" s="5">
        <f>(pima_data!F100-MIN(pima_data!$F$1:$F$768))/(MAX(pima_data!$F$1:$F$768)-MIN(pima_data!$F$1:$F$768))</f>
        <v>0.740685543964233</v>
      </c>
      <c r="G100" s="5">
        <f>(pima_data!G100-MIN(pima_data!$G$1:$G$768))/(MAX(pima_data!$G$1:$G$768)-MIN(pima_data!$G$1:$G$768))</f>
        <v>0.105465414175918</v>
      </c>
      <c r="H100" s="5">
        <f>(pima_data!H100-MIN(pima_data!$H$1:$H$768))/(MAX(pima_data!$H$1:$H$768)-MIN(pima_data!$H$1:$H$768))</f>
        <v>0.166666666666667</v>
      </c>
    </row>
    <row r="101" spans="1:8">
      <c r="A101" s="5">
        <f>(pima_data!A101-MIN(pima_data!$A$1:$A$768))/(MAX(pima_data!$A$1:$A$768)-MIN(pima_data!$A$1:$A$768))</f>
        <v>0.0588235294117647</v>
      </c>
      <c r="B101" s="5">
        <f>(pima_data!B101-MIN(pima_data!$B$1:$B$768))/(MAX(pima_data!$B$1:$B$768)-MIN(pima_data!$B$1:$B$768))</f>
        <v>0.819095477386935</v>
      </c>
      <c r="C101" s="5">
        <f>(pima_data!C101-MIN(pima_data!$C$1:$C$768))/(MAX(pima_data!$C$1:$C$768)-MIN(pima_data!$C$1:$C$768))</f>
        <v>0.590163934426229</v>
      </c>
      <c r="D101" s="5">
        <f>(pima_data!D101-MIN(pima_data!$D$1:$D$768))/(MAX(pima_data!$D$1:$D$768)-MIN(pima_data!$D$1:$D$768))</f>
        <v>0</v>
      </c>
      <c r="E101" s="5">
        <f>(pima_data!E101-MIN(pima_data!$E$1:$E$768))/(MAX(pima_data!$E$1:$E$768)-MIN(pima_data!$E$1:$E$768))</f>
        <v>0</v>
      </c>
      <c r="F101" s="5">
        <f>(pima_data!F101-MIN(pima_data!$F$1:$F$768))/(MAX(pima_data!$F$1:$F$768)-MIN(pima_data!$F$1:$F$768))</f>
        <v>0.581222056631893</v>
      </c>
      <c r="G101" s="5">
        <f>(pima_data!G101-MIN(pima_data!$G$1:$G$768))/(MAX(pima_data!$G$1:$G$768)-MIN(pima_data!$G$1:$G$768))</f>
        <v>0.488471391972673</v>
      </c>
      <c r="H101" s="5">
        <f>(pima_data!H101-MIN(pima_data!$H$1:$H$768))/(MAX(pima_data!$H$1:$H$768)-MIN(pima_data!$H$1:$H$768))</f>
        <v>0.2</v>
      </c>
    </row>
    <row r="102" spans="1:8">
      <c r="A102" s="5">
        <f>(pima_data!A102-MIN(pima_data!$A$1:$A$768))/(MAX(pima_data!$A$1:$A$768)-MIN(pima_data!$A$1:$A$768))</f>
        <v>0.0588235294117647</v>
      </c>
      <c r="B102" s="5">
        <f>(pima_data!B102-MIN(pima_data!$B$1:$B$768))/(MAX(pima_data!$B$1:$B$768)-MIN(pima_data!$B$1:$B$768))</f>
        <v>0.758793969849246</v>
      </c>
      <c r="C102" s="5">
        <f>(pima_data!C102-MIN(pima_data!$C$1:$C$768))/(MAX(pima_data!$C$1:$C$768)-MIN(pima_data!$C$1:$C$768))</f>
        <v>0.491803278688525</v>
      </c>
      <c r="D102" s="5">
        <f>(pima_data!D102-MIN(pima_data!$D$1:$D$768))/(MAX(pima_data!$D$1:$D$768)-MIN(pima_data!$D$1:$D$768))</f>
        <v>0</v>
      </c>
      <c r="E102" s="5">
        <f>(pima_data!E102-MIN(pima_data!$E$1:$E$768))/(MAX(pima_data!$E$1:$E$768)-MIN(pima_data!$E$1:$E$768))</f>
        <v>0</v>
      </c>
      <c r="F102" s="5">
        <f>(pima_data!F102-MIN(pima_data!$F$1:$F$768))/(MAX(pima_data!$F$1:$F$768)-MIN(pima_data!$F$1:$F$768))</f>
        <v>0.388971684053651</v>
      </c>
      <c r="G102" s="5">
        <f>(pima_data!G102-MIN(pima_data!$G$1:$G$768))/(MAX(pima_data!$G$1:$G$768)-MIN(pima_data!$G$1:$G$768))</f>
        <v>0.0431255337318531</v>
      </c>
      <c r="H102" s="5">
        <f>(pima_data!H102-MIN(pima_data!$H$1:$H$768))/(MAX(pima_data!$H$1:$H$768)-MIN(pima_data!$H$1:$H$768))</f>
        <v>0.0166666666666667</v>
      </c>
    </row>
    <row r="103" spans="1:8">
      <c r="A103" s="5">
        <f>(pima_data!A103-MIN(pima_data!$A$1:$A$768))/(MAX(pima_data!$A$1:$A$768)-MIN(pima_data!$A$1:$A$768))</f>
        <v>0</v>
      </c>
      <c r="B103" s="5">
        <f>(pima_data!B103-MIN(pima_data!$B$1:$B$768))/(MAX(pima_data!$B$1:$B$768)-MIN(pima_data!$B$1:$B$768))</f>
        <v>0.628140703517588</v>
      </c>
      <c r="C103" s="5">
        <f>(pima_data!C103-MIN(pima_data!$C$1:$C$768))/(MAX(pima_data!$C$1:$C$768)-MIN(pima_data!$C$1:$C$768))</f>
        <v>0.786885245901639</v>
      </c>
      <c r="D103" s="5">
        <f>(pima_data!D103-MIN(pima_data!$D$1:$D$768))/(MAX(pima_data!$D$1:$D$768)-MIN(pima_data!$D$1:$D$768))</f>
        <v>0</v>
      </c>
      <c r="E103" s="5">
        <f>(pima_data!E103-MIN(pima_data!$E$1:$E$768))/(MAX(pima_data!$E$1:$E$768)-MIN(pima_data!$E$1:$E$768))</f>
        <v>0</v>
      </c>
      <c r="F103" s="5">
        <f>(pima_data!F103-MIN(pima_data!$F$1:$F$768))/(MAX(pima_data!$F$1:$F$768)-MIN(pima_data!$F$1:$F$768))</f>
        <v>0.33532041728763</v>
      </c>
      <c r="G103" s="5">
        <f>(pima_data!G103-MIN(pima_data!$G$1:$G$768))/(MAX(pima_data!$G$1:$G$768)-MIN(pima_data!$G$1:$G$768))</f>
        <v>0.0785653287788215</v>
      </c>
      <c r="H103" s="5">
        <f>(pima_data!H103-MIN(pima_data!$H$1:$H$768))/(MAX(pima_data!$H$1:$H$768)-MIN(pima_data!$H$1:$H$768))</f>
        <v>0</v>
      </c>
    </row>
    <row r="104" spans="1:8">
      <c r="A104" s="5">
        <f>(pima_data!A104-MIN(pima_data!$A$1:$A$768))/(MAX(pima_data!$A$1:$A$768)-MIN(pima_data!$A$1:$A$768))</f>
        <v>0.0588235294117647</v>
      </c>
      <c r="B104" s="5">
        <f>(pima_data!B104-MIN(pima_data!$B$1:$B$768))/(MAX(pima_data!$B$1:$B$768)-MIN(pima_data!$B$1:$B$768))</f>
        <v>0.407035175879397</v>
      </c>
      <c r="C104" s="5">
        <f>(pima_data!C104-MIN(pima_data!$C$1:$C$768))/(MAX(pima_data!$C$1:$C$768)-MIN(pima_data!$C$1:$C$768))</f>
        <v>0.590163934426229</v>
      </c>
      <c r="D104" s="5">
        <f>(pima_data!D104-MIN(pima_data!$D$1:$D$768))/(MAX(pima_data!$D$1:$D$768)-MIN(pima_data!$D$1:$D$768))</f>
        <v>0.181818181818182</v>
      </c>
      <c r="E104" s="5">
        <f>(pima_data!E104-MIN(pima_data!$E$1:$E$768))/(MAX(pima_data!$E$1:$E$768)-MIN(pima_data!$E$1:$E$768))</f>
        <v>0.0472813238770686</v>
      </c>
      <c r="F104" s="5">
        <f>(pima_data!F104-MIN(pima_data!$F$1:$F$768))/(MAX(pima_data!$F$1:$F$768)-MIN(pima_data!$F$1:$F$768))</f>
        <v>0.396423248882265</v>
      </c>
      <c r="G104" s="5">
        <f>(pima_data!G104-MIN(pima_data!$G$1:$G$768))/(MAX(pima_data!$G$1:$G$768)-MIN(pima_data!$G$1:$G$768))</f>
        <v>0.087532023911187</v>
      </c>
      <c r="H104" s="5">
        <f>(pima_data!H104-MIN(pima_data!$H$1:$H$768))/(MAX(pima_data!$H$1:$H$768)-MIN(pima_data!$H$1:$H$768))</f>
        <v>0.05</v>
      </c>
    </row>
    <row r="105" spans="1:8">
      <c r="A105" s="5">
        <f>(pima_data!A105-MIN(pima_data!$A$1:$A$768))/(MAX(pima_data!$A$1:$A$768)-MIN(pima_data!$A$1:$A$768))</f>
        <v>0.117647058823529</v>
      </c>
      <c r="B105" s="5">
        <f>(pima_data!B105-MIN(pima_data!$B$1:$B$768))/(MAX(pima_data!$B$1:$B$768)-MIN(pima_data!$B$1:$B$768))</f>
        <v>0.42713567839196</v>
      </c>
      <c r="C105" s="5">
        <f>(pima_data!C105-MIN(pima_data!$C$1:$C$768))/(MAX(pima_data!$C$1:$C$768)-MIN(pima_data!$C$1:$C$768))</f>
        <v>0.532786885245902</v>
      </c>
      <c r="D105" s="5">
        <f>(pima_data!D105-MIN(pima_data!$D$1:$D$768))/(MAX(pima_data!$D$1:$D$768)-MIN(pima_data!$D$1:$D$768))</f>
        <v>0</v>
      </c>
      <c r="E105" s="5">
        <f>(pima_data!E105-MIN(pima_data!$E$1:$E$768))/(MAX(pima_data!$E$1:$E$768)-MIN(pima_data!$E$1:$E$768))</f>
        <v>0</v>
      </c>
      <c r="F105" s="5">
        <f>(pima_data!F105-MIN(pima_data!$F$1:$F$768))/(MAX(pima_data!$F$1:$F$768)-MIN(pima_data!$F$1:$F$768))</f>
        <v>0.59016393442623</v>
      </c>
      <c r="G105" s="5">
        <f>(pima_data!G105-MIN(pima_data!$G$1:$G$768))/(MAX(pima_data!$G$1:$G$768)-MIN(pima_data!$G$1:$G$768))</f>
        <v>0.363791631084543</v>
      </c>
      <c r="H105" s="5">
        <f>(pima_data!H105-MIN(pima_data!$H$1:$H$768))/(MAX(pima_data!$H$1:$H$768)-MIN(pima_data!$H$1:$H$768))</f>
        <v>0.1</v>
      </c>
    </row>
    <row r="106" spans="1:8">
      <c r="A106" s="5">
        <f>(pima_data!A106-MIN(pima_data!$A$1:$A$768))/(MAX(pima_data!$A$1:$A$768)-MIN(pima_data!$A$1:$A$768))</f>
        <v>0.0588235294117647</v>
      </c>
      <c r="B106" s="5">
        <f>(pima_data!B106-MIN(pima_data!$B$1:$B$768))/(MAX(pima_data!$B$1:$B$768)-MIN(pima_data!$B$1:$B$768))</f>
        <v>0.633165829145729</v>
      </c>
      <c r="C106" s="5">
        <f>(pima_data!C106-MIN(pima_data!$C$1:$C$768))/(MAX(pima_data!$C$1:$C$768)-MIN(pima_data!$C$1:$C$768))</f>
        <v>0.459016393442623</v>
      </c>
      <c r="D106" s="5">
        <f>(pima_data!D106-MIN(pima_data!$D$1:$D$768))/(MAX(pima_data!$D$1:$D$768)-MIN(pima_data!$D$1:$D$768))</f>
        <v>0.292929292929293</v>
      </c>
      <c r="E106" s="5">
        <f>(pima_data!E106-MIN(pima_data!$E$1:$E$768))/(MAX(pima_data!$E$1:$E$768)-MIN(pima_data!$E$1:$E$768))</f>
        <v>0.179669030732861</v>
      </c>
      <c r="F106" s="5">
        <f>(pima_data!F106-MIN(pima_data!$F$1:$F$768))/(MAX(pima_data!$F$1:$F$768)-MIN(pima_data!$F$1:$F$768))</f>
        <v>0.427719821162444</v>
      </c>
      <c r="G106" s="5">
        <f>(pima_data!G106-MIN(pima_data!$G$1:$G$768))/(MAX(pima_data!$G$1:$G$768)-MIN(pima_data!$G$1:$G$768))</f>
        <v>0.308710503842869</v>
      </c>
      <c r="H106" s="5">
        <f>(pima_data!H106-MIN(pima_data!$H$1:$H$768))/(MAX(pima_data!$H$1:$H$768)-MIN(pima_data!$H$1:$H$768))</f>
        <v>0</v>
      </c>
    </row>
    <row r="107" spans="1:8">
      <c r="A107" s="5">
        <f>(pima_data!A107-MIN(pima_data!$A$1:$A$768))/(MAX(pima_data!$A$1:$A$768)-MIN(pima_data!$A$1:$A$768))</f>
        <v>0.0588235294117647</v>
      </c>
      <c r="B107" s="5">
        <f>(pima_data!B107-MIN(pima_data!$B$1:$B$768))/(MAX(pima_data!$B$1:$B$768)-MIN(pima_data!$B$1:$B$768))</f>
        <v>0.482412060301508</v>
      </c>
      <c r="C107" s="5">
        <f>(pima_data!C107-MIN(pima_data!$C$1:$C$768))/(MAX(pima_data!$C$1:$C$768)-MIN(pima_data!$C$1:$C$768))</f>
        <v>1</v>
      </c>
      <c r="D107" s="5">
        <f>(pima_data!D107-MIN(pima_data!$D$1:$D$768))/(MAX(pima_data!$D$1:$D$768)-MIN(pima_data!$D$1:$D$768))</f>
        <v>0</v>
      </c>
      <c r="E107" s="5">
        <f>(pima_data!E107-MIN(pima_data!$E$1:$E$768))/(MAX(pima_data!$E$1:$E$768)-MIN(pima_data!$E$1:$E$768))</f>
        <v>0</v>
      </c>
      <c r="F107" s="5">
        <f>(pima_data!F107-MIN(pima_data!$F$1:$F$768))/(MAX(pima_data!$F$1:$F$768)-MIN(pima_data!$F$1:$F$768))</f>
        <v>0.333830104321908</v>
      </c>
      <c r="G107" s="5">
        <f>(pima_data!G107-MIN(pima_data!$G$1:$G$768))/(MAX(pima_data!$G$1:$G$768)-MIN(pima_data!$G$1:$G$768))</f>
        <v>0.0550811272416738</v>
      </c>
      <c r="H107" s="5">
        <f>(pima_data!H107-MIN(pima_data!$H$1:$H$768))/(MAX(pima_data!$H$1:$H$768)-MIN(pima_data!$H$1:$H$768))</f>
        <v>0.1</v>
      </c>
    </row>
    <row r="108" spans="1:8">
      <c r="A108" s="5">
        <f>(pima_data!A108-MIN(pima_data!$A$1:$A$768))/(MAX(pima_data!$A$1:$A$768)-MIN(pima_data!$A$1:$A$768))</f>
        <v>0.235294117647059</v>
      </c>
      <c r="B108" s="5">
        <f>(pima_data!B108-MIN(pima_data!$B$1:$B$768))/(MAX(pima_data!$B$1:$B$768)-MIN(pima_data!$B$1:$B$768))</f>
        <v>0.723618090452261</v>
      </c>
      <c r="C108" s="5">
        <f>(pima_data!C108-MIN(pima_data!$C$1:$C$768))/(MAX(pima_data!$C$1:$C$768)-MIN(pima_data!$C$1:$C$768))</f>
        <v>0.475409836065574</v>
      </c>
      <c r="D108" s="5">
        <f>(pima_data!D108-MIN(pima_data!$D$1:$D$768))/(MAX(pima_data!$D$1:$D$768)-MIN(pima_data!$D$1:$D$768))</f>
        <v>0.282828282828283</v>
      </c>
      <c r="E108" s="5">
        <f>(pima_data!E108-MIN(pima_data!$E$1:$E$768))/(MAX(pima_data!$E$1:$E$768)-MIN(pima_data!$E$1:$E$768))</f>
        <v>0.16548463356974</v>
      </c>
      <c r="F108" s="5">
        <f>(pima_data!F108-MIN(pima_data!$F$1:$F$768))/(MAX(pima_data!$F$1:$F$768)-MIN(pima_data!$F$1:$F$768))</f>
        <v>0.439642324888227</v>
      </c>
      <c r="G108" s="5">
        <f>(pima_data!G108-MIN(pima_data!$G$1:$G$768))/(MAX(pima_data!$G$1:$G$768)-MIN(pima_data!$G$1:$G$768))</f>
        <v>0.0892399658411614</v>
      </c>
      <c r="H108" s="5">
        <f>(pima_data!H108-MIN(pima_data!$H$1:$H$768))/(MAX(pima_data!$H$1:$H$768)-MIN(pima_data!$H$1:$H$768))</f>
        <v>0.266666666666667</v>
      </c>
    </row>
    <row r="109" spans="1:8">
      <c r="A109" s="5">
        <f>(pima_data!A109-MIN(pima_data!$A$1:$A$768))/(MAX(pima_data!$A$1:$A$768)-MIN(pima_data!$A$1:$A$768))</f>
        <v>0.176470588235294</v>
      </c>
      <c r="B109" s="5">
        <f>(pima_data!B109-MIN(pima_data!$B$1:$B$768))/(MAX(pima_data!$B$1:$B$768)-MIN(pima_data!$B$1:$B$768))</f>
        <v>0.417085427135678</v>
      </c>
      <c r="C109" s="5">
        <f>(pima_data!C109-MIN(pima_data!$C$1:$C$768))/(MAX(pima_data!$C$1:$C$768)-MIN(pima_data!$C$1:$C$768))</f>
        <v>0.475409836065574</v>
      </c>
      <c r="D109" s="5">
        <f>(pima_data!D109-MIN(pima_data!$D$1:$D$768))/(MAX(pima_data!$D$1:$D$768)-MIN(pima_data!$D$1:$D$768))</f>
        <v>0.313131313131313</v>
      </c>
      <c r="E109" s="5">
        <f>(pima_data!E109-MIN(pima_data!$E$1:$E$768))/(MAX(pima_data!$E$1:$E$768)-MIN(pima_data!$E$1:$E$768))</f>
        <v>0.0212765957446809</v>
      </c>
      <c r="F109" s="5">
        <f>(pima_data!F109-MIN(pima_data!$F$1:$F$768))/(MAX(pima_data!$F$1:$F$768)-MIN(pima_data!$F$1:$F$768))</f>
        <v>0.511177347242921</v>
      </c>
      <c r="G109" s="5">
        <f>(pima_data!G109-MIN(pima_data!$G$1:$G$768))/(MAX(pima_data!$G$1:$G$768)-MIN(pima_data!$G$1:$G$768))</f>
        <v>0.110162254483348</v>
      </c>
      <c r="H109" s="5">
        <f>(pima_data!H109-MIN(pima_data!$H$1:$H$768))/(MAX(pima_data!$H$1:$H$768)-MIN(pima_data!$H$1:$H$768))</f>
        <v>0.0666666666666667</v>
      </c>
    </row>
    <row r="110" spans="1:8">
      <c r="A110" s="5">
        <f>(pima_data!A110-MIN(pima_data!$A$1:$A$768))/(MAX(pima_data!$A$1:$A$768)-MIN(pima_data!$A$1:$A$768))</f>
        <v>0</v>
      </c>
      <c r="B110" s="5">
        <f>(pima_data!B110-MIN(pima_data!$B$1:$B$768))/(MAX(pima_data!$B$1:$B$768)-MIN(pima_data!$B$1:$B$768))</f>
        <v>0.477386934673367</v>
      </c>
      <c r="C110" s="5">
        <f>(pima_data!C110-MIN(pima_data!$C$1:$C$768))/(MAX(pima_data!$C$1:$C$768)-MIN(pima_data!$C$1:$C$768))</f>
        <v>0.69672131147541</v>
      </c>
      <c r="D110" s="5">
        <f>(pima_data!D110-MIN(pima_data!$D$1:$D$768))/(MAX(pima_data!$D$1:$D$768)-MIN(pima_data!$D$1:$D$768))</f>
        <v>0.252525252525253</v>
      </c>
      <c r="E110" s="5">
        <f>(pima_data!E110-MIN(pima_data!$E$1:$E$768))/(MAX(pima_data!$E$1:$E$768)-MIN(pima_data!$E$1:$E$768))</f>
        <v>0.0425531914893617</v>
      </c>
      <c r="F110" s="5">
        <f>(pima_data!F110-MIN(pima_data!$F$1:$F$768))/(MAX(pima_data!$F$1:$F$768)-MIN(pima_data!$F$1:$F$768))</f>
        <v>0.557377049180328</v>
      </c>
      <c r="G110" s="5">
        <f>(pima_data!G110-MIN(pima_data!$G$1:$G$768))/(MAX(pima_data!$G$1:$G$768)-MIN(pima_data!$G$1:$G$768))</f>
        <v>0.0721605465414176</v>
      </c>
      <c r="H110" s="5">
        <f>(pima_data!H110-MIN(pima_data!$H$1:$H$768))/(MAX(pima_data!$H$1:$H$768)-MIN(pima_data!$H$1:$H$768))</f>
        <v>0.05</v>
      </c>
    </row>
    <row r="111" spans="1:8">
      <c r="A111" s="5">
        <f>(pima_data!A111-MIN(pima_data!$A$1:$A$768))/(MAX(pima_data!$A$1:$A$768)-MIN(pima_data!$A$1:$A$768))</f>
        <v>0.176470588235294</v>
      </c>
      <c r="B111" s="5">
        <f>(pima_data!B111-MIN(pima_data!$B$1:$B$768))/(MAX(pima_data!$B$1:$B$768)-MIN(pima_data!$B$1:$B$768))</f>
        <v>0.85929648241206</v>
      </c>
      <c r="C111" s="5">
        <f>(pima_data!C111-MIN(pima_data!$C$1:$C$768))/(MAX(pima_data!$C$1:$C$768)-MIN(pima_data!$C$1:$C$768))</f>
        <v>0.590163934426229</v>
      </c>
      <c r="D111" s="5">
        <f>(pima_data!D111-MIN(pima_data!$D$1:$D$768))/(MAX(pima_data!$D$1:$D$768)-MIN(pima_data!$D$1:$D$768))</f>
        <v>0.333333333333333</v>
      </c>
      <c r="E111" s="5">
        <f>(pima_data!E111-MIN(pima_data!$E$1:$E$768))/(MAX(pima_data!$E$1:$E$768)-MIN(pima_data!$E$1:$E$768))</f>
        <v>0.159574468085106</v>
      </c>
      <c r="F111" s="5">
        <f>(pima_data!F111-MIN(pima_data!$F$1:$F$768))/(MAX(pima_data!$F$1:$F$768)-MIN(pima_data!$F$1:$F$768))</f>
        <v>0.496274217585693</v>
      </c>
      <c r="G111" s="5">
        <f>(pima_data!G111-MIN(pima_data!$G$1:$G$768))/(MAX(pima_data!$G$1:$G$768)-MIN(pima_data!$G$1:$G$768))</f>
        <v>0.051665243381725</v>
      </c>
      <c r="H111" s="5">
        <f>(pima_data!H111-MIN(pima_data!$H$1:$H$768))/(MAX(pima_data!$H$1:$H$768)-MIN(pima_data!$H$1:$H$768))</f>
        <v>0.05</v>
      </c>
    </row>
    <row r="112" spans="1:8">
      <c r="A112" s="5">
        <f>(pima_data!A112-MIN(pima_data!$A$1:$A$768))/(MAX(pima_data!$A$1:$A$768)-MIN(pima_data!$A$1:$A$768))</f>
        <v>0.470588235294118</v>
      </c>
      <c r="B112" s="5">
        <f>(pima_data!B112-MIN(pima_data!$B$1:$B$768))/(MAX(pima_data!$B$1:$B$768)-MIN(pima_data!$B$1:$B$768))</f>
        <v>0.778894472361809</v>
      </c>
      <c r="C112" s="5">
        <f>(pima_data!C112-MIN(pima_data!$C$1:$C$768))/(MAX(pima_data!$C$1:$C$768)-MIN(pima_data!$C$1:$C$768))</f>
        <v>0.508196721311475</v>
      </c>
      <c r="D112" s="5">
        <f>(pima_data!D112-MIN(pima_data!$D$1:$D$768))/(MAX(pima_data!$D$1:$D$768)-MIN(pima_data!$D$1:$D$768))</f>
        <v>0.262626262626263</v>
      </c>
      <c r="E112" s="5">
        <f>(pima_data!E112-MIN(pima_data!$E$1:$E$768))/(MAX(pima_data!$E$1:$E$768)-MIN(pima_data!$E$1:$E$768))</f>
        <v>0.585106382978723</v>
      </c>
      <c r="F112" s="5">
        <f>(pima_data!F112-MIN(pima_data!$F$1:$F$768))/(MAX(pima_data!$F$1:$F$768)-MIN(pima_data!$F$1:$F$768))</f>
        <v>0.506706408345753</v>
      </c>
      <c r="G112" s="5">
        <f>(pima_data!G112-MIN(pima_data!$G$1:$G$768))/(MAX(pima_data!$G$1:$G$768)-MIN(pima_data!$G$1:$G$768))</f>
        <v>0.198548249359522</v>
      </c>
      <c r="H112" s="5">
        <f>(pima_data!H112-MIN(pima_data!$H$1:$H$768))/(MAX(pima_data!$H$1:$H$768)-MIN(pima_data!$H$1:$H$768))</f>
        <v>0.416666666666667</v>
      </c>
    </row>
    <row r="113" spans="1:8">
      <c r="A113" s="5">
        <f>(pima_data!A113-MIN(pima_data!$A$1:$A$768))/(MAX(pima_data!$A$1:$A$768)-MIN(pima_data!$A$1:$A$768))</f>
        <v>0.0588235294117647</v>
      </c>
      <c r="B113" s="5">
        <f>(pima_data!B113-MIN(pima_data!$B$1:$B$768))/(MAX(pima_data!$B$1:$B$768)-MIN(pima_data!$B$1:$B$768))</f>
        <v>0.447236180904523</v>
      </c>
      <c r="C113" s="5">
        <f>(pima_data!C113-MIN(pima_data!$C$1:$C$768))/(MAX(pima_data!$C$1:$C$768)-MIN(pima_data!$C$1:$C$768))</f>
        <v>0.622950819672131</v>
      </c>
      <c r="D113" s="5">
        <f>(pima_data!D113-MIN(pima_data!$D$1:$D$768))/(MAX(pima_data!$D$1:$D$768)-MIN(pima_data!$D$1:$D$768))</f>
        <v>0.343434343434343</v>
      </c>
      <c r="E113" s="5">
        <f>(pima_data!E113-MIN(pima_data!$E$1:$E$768))/(MAX(pima_data!$E$1:$E$768)-MIN(pima_data!$E$1:$E$768))</f>
        <v>0.0437352245862884</v>
      </c>
      <c r="F113" s="5">
        <f>(pima_data!F113-MIN(pima_data!$F$1:$F$768))/(MAX(pima_data!$F$1:$F$768)-MIN(pima_data!$F$1:$F$768))</f>
        <v>0.464977645305514</v>
      </c>
      <c r="G113" s="5">
        <f>(pima_data!G113-MIN(pima_data!$G$1:$G$768))/(MAX(pima_data!$G$1:$G$768)-MIN(pima_data!$G$1:$G$768))</f>
        <v>0.0486763450042699</v>
      </c>
      <c r="H113" s="5">
        <f>(pima_data!H113-MIN(pima_data!$H$1:$H$768))/(MAX(pima_data!$H$1:$H$768)-MIN(pima_data!$H$1:$H$768))</f>
        <v>0.0333333333333333</v>
      </c>
    </row>
    <row r="114" spans="1:8">
      <c r="A114" s="5">
        <f>(pima_data!A114-MIN(pima_data!$A$1:$A$768))/(MAX(pima_data!$A$1:$A$768)-MIN(pima_data!$A$1:$A$768))</f>
        <v>0.235294117647059</v>
      </c>
      <c r="B114" s="5">
        <f>(pima_data!B114-MIN(pima_data!$B$1:$B$768))/(MAX(pima_data!$B$1:$B$768)-MIN(pima_data!$B$1:$B$768))</f>
        <v>0.381909547738693</v>
      </c>
      <c r="C114" s="5">
        <f>(pima_data!C114-MIN(pima_data!$C$1:$C$768))/(MAX(pima_data!$C$1:$C$768)-MIN(pima_data!$C$1:$C$768))</f>
        <v>0.508196721311475</v>
      </c>
      <c r="D114" s="5">
        <f>(pima_data!D114-MIN(pima_data!$D$1:$D$768))/(MAX(pima_data!$D$1:$D$768)-MIN(pima_data!$D$1:$D$768))</f>
        <v>0</v>
      </c>
      <c r="E114" s="5">
        <f>(pima_data!E114-MIN(pima_data!$E$1:$E$768))/(MAX(pima_data!$E$1:$E$768)-MIN(pima_data!$E$1:$E$768))</f>
        <v>0</v>
      </c>
      <c r="F114" s="5">
        <f>(pima_data!F114-MIN(pima_data!$F$1:$F$768))/(MAX(pima_data!$F$1:$F$768)-MIN(pima_data!$F$1:$F$768))</f>
        <v>0.506706408345753</v>
      </c>
      <c r="G114" s="5">
        <f>(pima_data!G114-MIN(pima_data!$G$1:$G$768))/(MAX(pima_data!$G$1:$G$768)-MIN(pima_data!$G$1:$G$768))</f>
        <v>0.133646456020495</v>
      </c>
      <c r="H114" s="5">
        <f>(pima_data!H114-MIN(pima_data!$H$1:$H$768))/(MAX(pima_data!$H$1:$H$768)-MIN(pima_data!$H$1:$H$768))</f>
        <v>0.0666666666666667</v>
      </c>
    </row>
    <row r="115" spans="1:8">
      <c r="A115" s="5">
        <f>(pima_data!A115-MIN(pima_data!$A$1:$A$768))/(MAX(pima_data!$A$1:$A$768)-MIN(pima_data!$A$1:$A$768))</f>
        <v>0.411764705882353</v>
      </c>
      <c r="B115" s="5">
        <f>(pima_data!B115-MIN(pima_data!$B$1:$B$768))/(MAX(pima_data!$B$1:$B$768)-MIN(pima_data!$B$1:$B$768))</f>
        <v>0.804020100502513</v>
      </c>
      <c r="C115" s="5">
        <f>(pima_data!C115-MIN(pima_data!$C$1:$C$768))/(MAX(pima_data!$C$1:$C$768)-MIN(pima_data!$C$1:$C$768))</f>
        <v>0.442622950819672</v>
      </c>
      <c r="D115" s="5">
        <f>(pima_data!D115-MIN(pima_data!$D$1:$D$768))/(MAX(pima_data!$D$1:$D$768)-MIN(pima_data!$D$1:$D$768))</f>
        <v>0.323232323232323</v>
      </c>
      <c r="E115" s="5">
        <f>(pima_data!E115-MIN(pima_data!$E$1:$E$768))/(MAX(pima_data!$E$1:$E$768)-MIN(pima_data!$E$1:$E$768))</f>
        <v>0.206855791962175</v>
      </c>
      <c r="F115" s="5">
        <f>(pima_data!F115-MIN(pima_data!$F$1:$F$768))/(MAX(pima_data!$F$1:$F$768)-MIN(pima_data!$F$1:$F$768))</f>
        <v>0.454545454545455</v>
      </c>
      <c r="G115" s="5">
        <f>(pima_data!G115-MIN(pima_data!$G$1:$G$768))/(MAX(pima_data!$G$1:$G$768)-MIN(pima_data!$G$1:$G$768))</f>
        <v>0.217762596071734</v>
      </c>
      <c r="H115" s="5">
        <f>(pima_data!H115-MIN(pima_data!$H$1:$H$768))/(MAX(pima_data!$H$1:$H$768)-MIN(pima_data!$H$1:$H$768))</f>
        <v>0.3</v>
      </c>
    </row>
    <row r="116" spans="1:8">
      <c r="A116" s="5">
        <f>(pima_data!A116-MIN(pima_data!$A$1:$A$768))/(MAX(pima_data!$A$1:$A$768)-MIN(pima_data!$A$1:$A$768))</f>
        <v>0.235294117647059</v>
      </c>
      <c r="B116" s="5">
        <f>(pima_data!B116-MIN(pima_data!$B$1:$B$768))/(MAX(pima_data!$B$1:$B$768)-MIN(pima_data!$B$1:$B$768))</f>
        <v>0.733668341708543</v>
      </c>
      <c r="C116" s="5">
        <f>(pima_data!C116-MIN(pima_data!$C$1:$C$768))/(MAX(pima_data!$C$1:$C$768)-MIN(pima_data!$C$1:$C$768))</f>
        <v>0.754098360655738</v>
      </c>
      <c r="D116" s="5">
        <f>(pima_data!D116-MIN(pima_data!$D$1:$D$768))/(MAX(pima_data!$D$1:$D$768)-MIN(pima_data!$D$1:$D$768))</f>
        <v>0</v>
      </c>
      <c r="E116" s="5">
        <f>(pima_data!E116-MIN(pima_data!$E$1:$E$768))/(MAX(pima_data!$E$1:$E$768)-MIN(pima_data!$E$1:$E$768))</f>
        <v>0</v>
      </c>
      <c r="F116" s="5">
        <f>(pima_data!F116-MIN(pima_data!$F$1:$F$768))/(MAX(pima_data!$F$1:$F$768)-MIN(pima_data!$F$1:$F$768))</f>
        <v>0.464977645305514</v>
      </c>
      <c r="G116" s="5">
        <f>(pima_data!G116-MIN(pima_data!$G$1:$G$768))/(MAX(pima_data!$G$1:$G$768)-MIN(pima_data!$G$1:$G$768))</f>
        <v>0.196840307429547</v>
      </c>
      <c r="H116" s="5">
        <f>(pima_data!H116-MIN(pima_data!$H$1:$H$768))/(MAX(pima_data!$H$1:$H$768)-MIN(pima_data!$H$1:$H$768))</f>
        <v>0.666666666666667</v>
      </c>
    </row>
    <row r="117" spans="1:8">
      <c r="A117" s="5">
        <f>(pima_data!A117-MIN(pima_data!$A$1:$A$768))/(MAX(pima_data!$A$1:$A$768)-MIN(pima_data!$A$1:$A$768))</f>
        <v>0.294117647058824</v>
      </c>
      <c r="B117" s="5">
        <f>(pima_data!B117-MIN(pima_data!$B$1:$B$768))/(MAX(pima_data!$B$1:$B$768)-MIN(pima_data!$B$1:$B$768))</f>
        <v>0.623115577889447</v>
      </c>
      <c r="C117" s="5">
        <f>(pima_data!C117-MIN(pima_data!$C$1:$C$768))/(MAX(pima_data!$C$1:$C$768)-MIN(pima_data!$C$1:$C$768))</f>
        <v>0.60655737704918</v>
      </c>
      <c r="D117" s="5">
        <f>(pima_data!D117-MIN(pima_data!$D$1:$D$768))/(MAX(pima_data!$D$1:$D$768)-MIN(pima_data!$D$1:$D$768))</f>
        <v>0</v>
      </c>
      <c r="E117" s="5">
        <f>(pima_data!E117-MIN(pima_data!$E$1:$E$768))/(MAX(pima_data!$E$1:$E$768)-MIN(pima_data!$E$1:$E$768))</f>
        <v>0</v>
      </c>
      <c r="F117" s="5">
        <f>(pima_data!F117-MIN(pima_data!$F$1:$F$768))/(MAX(pima_data!$F$1:$F$768)-MIN(pima_data!$F$1:$F$768))</f>
        <v>0.506706408345753</v>
      </c>
      <c r="G117" s="5">
        <f>(pima_data!G117-MIN(pima_data!$G$1:$G$768))/(MAX(pima_data!$G$1:$G$768)-MIN(pima_data!$G$1:$G$768))</f>
        <v>0.0606319385140905</v>
      </c>
      <c r="H117" s="5">
        <f>(pima_data!H117-MIN(pima_data!$H$1:$H$768))/(MAX(pima_data!$H$1:$H$768)-MIN(pima_data!$H$1:$H$768))</f>
        <v>0.283333333333333</v>
      </c>
    </row>
    <row r="118" spans="1:8">
      <c r="A118" s="5">
        <f>(pima_data!A118-MIN(pima_data!$A$1:$A$768))/(MAX(pima_data!$A$1:$A$768)-MIN(pima_data!$A$1:$A$768))</f>
        <v>0.294117647058824</v>
      </c>
      <c r="B118" s="5">
        <f>(pima_data!B118-MIN(pima_data!$B$1:$B$768))/(MAX(pima_data!$B$1:$B$768)-MIN(pima_data!$B$1:$B$768))</f>
        <v>0.391959798994975</v>
      </c>
      <c r="C118" s="5">
        <f>(pima_data!C118-MIN(pima_data!$C$1:$C$768))/(MAX(pima_data!$C$1:$C$768)-MIN(pima_data!$C$1:$C$768))</f>
        <v>0.39344262295082</v>
      </c>
      <c r="D118" s="5">
        <f>(pima_data!D118-MIN(pima_data!$D$1:$D$768))/(MAX(pima_data!$D$1:$D$768)-MIN(pima_data!$D$1:$D$768))</f>
        <v>0</v>
      </c>
      <c r="E118" s="5">
        <f>(pima_data!E118-MIN(pima_data!$E$1:$E$768))/(MAX(pima_data!$E$1:$E$768)-MIN(pima_data!$E$1:$E$768))</f>
        <v>0</v>
      </c>
      <c r="F118" s="5">
        <f>(pima_data!F118-MIN(pima_data!$F$1:$F$768))/(MAX(pima_data!$F$1:$F$768)-MIN(pima_data!$F$1:$F$768))</f>
        <v>0.502235469448584</v>
      </c>
      <c r="G118" s="5">
        <f>(pima_data!G118-MIN(pima_data!$G$1:$G$768))/(MAX(pima_data!$G$1:$G$768)-MIN(pima_data!$G$1:$G$768))</f>
        <v>0.245943637916311</v>
      </c>
      <c r="H118" s="5">
        <f>(pima_data!H118-MIN(pima_data!$H$1:$H$768))/(MAX(pima_data!$H$1:$H$768)-MIN(pima_data!$H$1:$H$768))</f>
        <v>0.0666666666666667</v>
      </c>
    </row>
    <row r="119" spans="1:8">
      <c r="A119" s="5">
        <f>(pima_data!A119-MIN(pima_data!$A$1:$A$768))/(MAX(pima_data!$A$1:$A$768)-MIN(pima_data!$A$1:$A$768))</f>
        <v>0.235294117647059</v>
      </c>
      <c r="B119" s="5">
        <f>(pima_data!B119-MIN(pima_data!$B$1:$B$768))/(MAX(pima_data!$B$1:$B$768)-MIN(pima_data!$B$1:$B$768))</f>
        <v>0.487437185929648</v>
      </c>
      <c r="C119" s="5">
        <f>(pima_data!C119-MIN(pima_data!$C$1:$C$768))/(MAX(pima_data!$C$1:$C$768)-MIN(pima_data!$C$1:$C$768))</f>
        <v>0.491803278688525</v>
      </c>
      <c r="D119" s="5">
        <f>(pima_data!D119-MIN(pima_data!$D$1:$D$768))/(MAX(pima_data!$D$1:$D$768)-MIN(pima_data!$D$1:$D$768))</f>
        <v>0.232323232323232</v>
      </c>
      <c r="E119" s="5">
        <f>(pima_data!E119-MIN(pima_data!$E$1:$E$768))/(MAX(pima_data!$E$1:$E$768)-MIN(pima_data!$E$1:$E$768))</f>
        <v>0</v>
      </c>
      <c r="F119" s="5">
        <f>(pima_data!F119-MIN(pima_data!$F$1:$F$768))/(MAX(pima_data!$F$1:$F$768)-MIN(pima_data!$F$1:$F$768))</f>
        <v>0.42026825633383</v>
      </c>
      <c r="G119" s="5">
        <f>(pima_data!G119-MIN(pima_data!$G$1:$G$768))/(MAX(pima_data!$G$1:$G$768)-MIN(pima_data!$G$1:$G$768))</f>
        <v>0.155849701110162</v>
      </c>
      <c r="H119" s="5">
        <f>(pima_data!H119-MIN(pima_data!$H$1:$H$768))/(MAX(pima_data!$H$1:$H$768)-MIN(pima_data!$H$1:$H$768))</f>
        <v>0.0166666666666667</v>
      </c>
    </row>
    <row r="120" spans="1:8">
      <c r="A120" s="5">
        <f>(pima_data!A120-MIN(pima_data!$A$1:$A$768))/(MAX(pima_data!$A$1:$A$768)-MIN(pima_data!$A$1:$A$768))</f>
        <v>0.235294117647059</v>
      </c>
      <c r="B120" s="5">
        <f>(pima_data!B120-MIN(pima_data!$B$1:$B$768))/(MAX(pima_data!$B$1:$B$768)-MIN(pima_data!$B$1:$B$768))</f>
        <v>0.49748743718593</v>
      </c>
      <c r="C120" s="5">
        <f>(pima_data!C120-MIN(pima_data!$C$1:$C$768))/(MAX(pima_data!$C$1:$C$768)-MIN(pima_data!$C$1:$C$768))</f>
        <v>0.622950819672131</v>
      </c>
      <c r="D120" s="5">
        <f>(pima_data!D120-MIN(pima_data!$D$1:$D$768))/(MAX(pima_data!$D$1:$D$768)-MIN(pima_data!$D$1:$D$768))</f>
        <v>0.151515151515152</v>
      </c>
      <c r="E120" s="5">
        <f>(pima_data!E120-MIN(pima_data!$E$1:$E$768))/(MAX(pima_data!$E$1:$E$768)-MIN(pima_data!$E$1:$E$768))</f>
        <v>0.0602836879432624</v>
      </c>
      <c r="F120" s="5">
        <f>(pima_data!F120-MIN(pima_data!$F$1:$F$768))/(MAX(pima_data!$F$1:$F$768)-MIN(pima_data!$F$1:$F$768))</f>
        <v>0.34575260804769</v>
      </c>
      <c r="G120" s="5">
        <f>(pima_data!G120-MIN(pima_data!$G$1:$G$768))/(MAX(pima_data!$G$1:$G$768)-MIN(pima_data!$G$1:$G$768))</f>
        <v>0.0619128949615713</v>
      </c>
      <c r="H120" s="5">
        <f>(pima_data!H120-MIN(pima_data!$H$1:$H$768))/(MAX(pima_data!$H$1:$H$768)-MIN(pima_data!$H$1:$H$768))</f>
        <v>0</v>
      </c>
    </row>
    <row r="121" spans="1:8">
      <c r="A121" s="5">
        <f>(pima_data!A121-MIN(pima_data!$A$1:$A$768))/(MAX(pima_data!$A$1:$A$768)-MIN(pima_data!$A$1:$A$768))</f>
        <v>0</v>
      </c>
      <c r="B121" s="5">
        <f>(pima_data!B121-MIN(pima_data!$B$1:$B$768))/(MAX(pima_data!$B$1:$B$768)-MIN(pima_data!$B$1:$B$768))</f>
        <v>0.814070351758794</v>
      </c>
      <c r="C121" s="5">
        <f>(pima_data!C121-MIN(pima_data!$C$1:$C$768))/(MAX(pima_data!$C$1:$C$768)-MIN(pima_data!$C$1:$C$768))</f>
        <v>0.622950819672131</v>
      </c>
      <c r="D121" s="5">
        <f>(pima_data!D121-MIN(pima_data!$D$1:$D$768))/(MAX(pima_data!$D$1:$D$768)-MIN(pima_data!$D$1:$D$768))</f>
        <v>0.565656565656566</v>
      </c>
      <c r="E121" s="5">
        <f>(pima_data!E121-MIN(pima_data!$E$1:$E$768))/(MAX(pima_data!$E$1:$E$768)-MIN(pima_data!$E$1:$E$768))</f>
        <v>0.118203309692671</v>
      </c>
      <c r="F121" s="5">
        <f>(pima_data!F121-MIN(pima_data!$F$1:$F$768))/(MAX(pima_data!$F$1:$F$768)-MIN(pima_data!$F$1:$F$768))</f>
        <v>0.792846497764531</v>
      </c>
      <c r="G121" s="5">
        <f>(pima_data!G121-MIN(pima_data!$G$1:$G$768))/(MAX(pima_data!$G$1:$G$768)-MIN(pima_data!$G$1:$G$768))</f>
        <v>0.290777113578138</v>
      </c>
      <c r="H121" s="5">
        <f>(pima_data!H121-MIN(pima_data!$H$1:$H$768))/(MAX(pima_data!$H$1:$H$768)-MIN(pima_data!$H$1:$H$768))</f>
        <v>0.0666666666666667</v>
      </c>
    </row>
    <row r="122" spans="1:8">
      <c r="A122" s="5">
        <f>(pima_data!A122-MIN(pima_data!$A$1:$A$768))/(MAX(pima_data!$A$1:$A$768)-MIN(pima_data!$A$1:$A$768))</f>
        <v>0.352941176470588</v>
      </c>
      <c r="B122" s="5">
        <f>(pima_data!B122-MIN(pima_data!$B$1:$B$768))/(MAX(pima_data!$B$1:$B$768)-MIN(pima_data!$B$1:$B$768))</f>
        <v>0.557788944723618</v>
      </c>
      <c r="C122" s="5">
        <f>(pima_data!C122-MIN(pima_data!$C$1:$C$768))/(MAX(pima_data!$C$1:$C$768)-MIN(pima_data!$C$1:$C$768))</f>
        <v>0.524590163934426</v>
      </c>
      <c r="D122" s="5">
        <f>(pima_data!D122-MIN(pima_data!$D$1:$D$768))/(MAX(pima_data!$D$1:$D$768)-MIN(pima_data!$D$1:$D$768))</f>
        <v>0.393939393939394</v>
      </c>
      <c r="E122" s="5">
        <f>(pima_data!E122-MIN(pima_data!$E$1:$E$768))/(MAX(pima_data!$E$1:$E$768)-MIN(pima_data!$E$1:$E$768))</f>
        <v>0</v>
      </c>
      <c r="F122" s="5">
        <f>(pima_data!F122-MIN(pima_data!$F$1:$F$768))/(MAX(pima_data!$F$1:$F$768)-MIN(pima_data!$F$1:$F$768))</f>
        <v>0.509687034277198</v>
      </c>
      <c r="G122" s="5">
        <f>(pima_data!G122-MIN(pima_data!$G$1:$G$768))/(MAX(pima_data!$G$1:$G$768)-MIN(pima_data!$G$1:$G$768))</f>
        <v>0.0777113578138343</v>
      </c>
      <c r="H122" s="5">
        <f>(pima_data!H122-MIN(pima_data!$H$1:$H$768))/(MAX(pima_data!$H$1:$H$768)-MIN(pima_data!$H$1:$H$768))</f>
        <v>0.05</v>
      </c>
    </row>
    <row r="123" spans="1:8">
      <c r="A123" s="5">
        <f>(pima_data!A123-MIN(pima_data!$A$1:$A$768))/(MAX(pima_data!$A$1:$A$768)-MIN(pima_data!$A$1:$A$768))</f>
        <v>0.117647058823529</v>
      </c>
      <c r="B123" s="5">
        <f>(pima_data!B123-MIN(pima_data!$B$1:$B$768))/(MAX(pima_data!$B$1:$B$768)-MIN(pima_data!$B$1:$B$768))</f>
        <v>0.537688442211055</v>
      </c>
      <c r="C123" s="5">
        <f>(pima_data!C123-MIN(pima_data!$C$1:$C$768))/(MAX(pima_data!$C$1:$C$768)-MIN(pima_data!$C$1:$C$768))</f>
        <v>0.60655737704918</v>
      </c>
      <c r="D123" s="5">
        <f>(pima_data!D123-MIN(pima_data!$D$1:$D$768))/(MAX(pima_data!$D$1:$D$768)-MIN(pima_data!$D$1:$D$768))</f>
        <v>0.303030303030303</v>
      </c>
      <c r="E123" s="5">
        <f>(pima_data!E123-MIN(pima_data!$E$1:$E$768))/(MAX(pima_data!$E$1:$E$768)-MIN(pima_data!$E$1:$E$768))</f>
        <v>0.118203309692671</v>
      </c>
      <c r="F123" s="5">
        <f>(pima_data!F123-MIN(pima_data!$F$1:$F$768))/(MAX(pima_data!$F$1:$F$768)-MIN(pima_data!$F$1:$F$768))</f>
        <v>0.500745156482861</v>
      </c>
      <c r="G123" s="5">
        <f>(pima_data!G123-MIN(pima_data!$G$1:$G$768))/(MAX(pima_data!$G$1:$G$768)-MIN(pima_data!$G$1:$G$768))</f>
        <v>0.139197267292912</v>
      </c>
      <c r="H123" s="5">
        <f>(pima_data!H123-MIN(pima_data!$H$1:$H$768))/(MAX(pima_data!$H$1:$H$768)-MIN(pima_data!$H$1:$H$768))</f>
        <v>0.0333333333333333</v>
      </c>
    </row>
    <row r="124" spans="1:8">
      <c r="A124" s="5">
        <f>(pima_data!A124-MIN(pima_data!$A$1:$A$768))/(MAX(pima_data!$A$1:$A$768)-MIN(pima_data!$A$1:$A$768))</f>
        <v>0.294117647058824</v>
      </c>
      <c r="B124" s="5">
        <f>(pima_data!B124-MIN(pima_data!$B$1:$B$768))/(MAX(pima_data!$B$1:$B$768)-MIN(pima_data!$B$1:$B$768))</f>
        <v>0.663316582914573</v>
      </c>
      <c r="C124" s="5">
        <f>(pima_data!C124-MIN(pima_data!$C$1:$C$768))/(MAX(pima_data!$C$1:$C$768)-MIN(pima_data!$C$1:$C$768))</f>
        <v>0.655737704918033</v>
      </c>
      <c r="D124" s="5">
        <f>(pima_data!D124-MIN(pima_data!$D$1:$D$768))/(MAX(pima_data!$D$1:$D$768)-MIN(pima_data!$D$1:$D$768))</f>
        <v>0</v>
      </c>
      <c r="E124" s="5">
        <f>(pima_data!E124-MIN(pima_data!$E$1:$E$768))/(MAX(pima_data!$E$1:$E$768)-MIN(pima_data!$E$1:$E$768))</f>
        <v>0</v>
      </c>
      <c r="F124" s="5">
        <f>(pima_data!F124-MIN(pima_data!$F$1:$F$768))/(MAX(pima_data!$F$1:$F$768)-MIN(pima_data!$F$1:$F$768))</f>
        <v>0.399403874813711</v>
      </c>
      <c r="G124" s="5">
        <f>(pima_data!G124-MIN(pima_data!$G$1:$G$768))/(MAX(pima_data!$G$1:$G$768)-MIN(pima_data!$G$1:$G$768))</f>
        <v>0.0461144321093083</v>
      </c>
      <c r="H124" s="5">
        <f>(pima_data!H124-MIN(pima_data!$H$1:$H$768))/(MAX(pima_data!$H$1:$H$768)-MIN(pima_data!$H$1:$H$768))</f>
        <v>0.8</v>
      </c>
    </row>
    <row r="125" spans="1:8">
      <c r="A125" s="5">
        <f>(pima_data!A125-MIN(pima_data!$A$1:$A$768))/(MAX(pima_data!$A$1:$A$768)-MIN(pima_data!$A$1:$A$768))</f>
        <v>0</v>
      </c>
      <c r="B125" s="5">
        <f>(pima_data!B125-MIN(pima_data!$B$1:$B$768))/(MAX(pima_data!$B$1:$B$768)-MIN(pima_data!$B$1:$B$768))</f>
        <v>0.5678391959799</v>
      </c>
      <c r="C125" s="5">
        <f>(pima_data!C125-MIN(pima_data!$C$1:$C$768))/(MAX(pima_data!$C$1:$C$768)-MIN(pima_data!$C$1:$C$768))</f>
        <v>0.622950819672131</v>
      </c>
      <c r="D125" s="5">
        <f>(pima_data!D125-MIN(pima_data!$D$1:$D$768))/(MAX(pima_data!$D$1:$D$768)-MIN(pima_data!$D$1:$D$768))</f>
        <v>0</v>
      </c>
      <c r="E125" s="5">
        <f>(pima_data!E125-MIN(pima_data!$E$1:$E$768))/(MAX(pima_data!$E$1:$E$768)-MIN(pima_data!$E$1:$E$768))</f>
        <v>0</v>
      </c>
      <c r="F125" s="5">
        <f>(pima_data!F125-MIN(pima_data!$F$1:$F$768))/(MAX(pima_data!$F$1:$F$768)-MIN(pima_data!$F$1:$F$768))</f>
        <v>0.496274217585693</v>
      </c>
      <c r="G125" s="5">
        <f>(pima_data!G125-MIN(pima_data!$G$1:$G$768))/(MAX(pima_data!$G$1:$G$768)-MIN(pima_data!$G$1:$G$768))</f>
        <v>0.085397096498719</v>
      </c>
      <c r="H125" s="5">
        <f>(pima_data!H125-MIN(pima_data!$H$1:$H$768))/(MAX(pima_data!$H$1:$H$768)-MIN(pima_data!$H$1:$H$768))</f>
        <v>0.0333333333333333</v>
      </c>
    </row>
    <row r="126" spans="1:8">
      <c r="A126" s="5">
        <f>(pima_data!A126-MIN(pima_data!$A$1:$A$768))/(MAX(pima_data!$A$1:$A$768)-MIN(pima_data!$A$1:$A$768))</f>
        <v>0.0588235294117647</v>
      </c>
      <c r="B126" s="5">
        <f>(pima_data!B126-MIN(pima_data!$B$1:$B$768))/(MAX(pima_data!$B$1:$B$768)-MIN(pima_data!$B$1:$B$768))</f>
        <v>0.442211055276382</v>
      </c>
      <c r="C126" s="5">
        <f>(pima_data!C126-MIN(pima_data!$C$1:$C$768))/(MAX(pima_data!$C$1:$C$768)-MIN(pima_data!$C$1:$C$768))</f>
        <v>0.245901639344262</v>
      </c>
      <c r="D126" s="5">
        <f>(pima_data!D126-MIN(pima_data!$D$1:$D$768))/(MAX(pima_data!$D$1:$D$768)-MIN(pima_data!$D$1:$D$768))</f>
        <v>0.424242424242424</v>
      </c>
      <c r="E126" s="5">
        <f>(pima_data!E126-MIN(pima_data!$E$1:$E$768))/(MAX(pima_data!$E$1:$E$768)-MIN(pima_data!$E$1:$E$768))</f>
        <v>0.117021276595745</v>
      </c>
      <c r="F126" s="5">
        <f>(pima_data!F126-MIN(pima_data!$F$1:$F$768))/(MAX(pima_data!$F$1:$F$768)-MIN(pima_data!$F$1:$F$768))</f>
        <v>0.819672131147541</v>
      </c>
      <c r="G126" s="5">
        <f>(pima_data!G126-MIN(pima_data!$G$1:$G$768))/(MAX(pima_data!$G$1:$G$768)-MIN(pima_data!$G$1:$G$768))</f>
        <v>0.178479931682323</v>
      </c>
      <c r="H126" s="5">
        <f>(pima_data!H126-MIN(pima_data!$H$1:$H$768))/(MAX(pima_data!$H$1:$H$768)-MIN(pima_data!$H$1:$H$768))</f>
        <v>0.0833333333333333</v>
      </c>
    </row>
    <row r="127" spans="1:8">
      <c r="A127" s="5">
        <f>(pima_data!A127-MIN(pima_data!$A$1:$A$768))/(MAX(pima_data!$A$1:$A$768)-MIN(pima_data!$A$1:$A$768))</f>
        <v>0.176470588235294</v>
      </c>
      <c r="B127" s="5">
        <f>(pima_data!B127-MIN(pima_data!$B$1:$B$768))/(MAX(pima_data!$B$1:$B$768)-MIN(pima_data!$B$1:$B$768))</f>
        <v>0.603015075376884</v>
      </c>
      <c r="C127" s="5">
        <f>(pima_data!C127-MIN(pima_data!$C$1:$C$768))/(MAX(pima_data!$C$1:$C$768)-MIN(pima_data!$C$1:$C$768))</f>
        <v>0.573770491803279</v>
      </c>
      <c r="D127" s="5">
        <f>(pima_data!D127-MIN(pima_data!$D$1:$D$768))/(MAX(pima_data!$D$1:$D$768)-MIN(pima_data!$D$1:$D$768))</f>
        <v>0.303030303030303</v>
      </c>
      <c r="E127" s="5">
        <f>(pima_data!E127-MIN(pima_data!$E$1:$E$768))/(MAX(pima_data!$E$1:$E$768)-MIN(pima_data!$E$1:$E$768))</f>
        <v>0.159574468085106</v>
      </c>
      <c r="F127" s="5">
        <f>(pima_data!F127-MIN(pima_data!$F$1:$F$768))/(MAX(pima_data!$F$1:$F$768)-MIN(pima_data!$F$1:$F$768))</f>
        <v>0.639344262295082</v>
      </c>
      <c r="G127" s="5">
        <f>(pima_data!G127-MIN(pima_data!$G$1:$G$768))/(MAX(pima_data!$G$1:$G$768)-MIN(pima_data!$G$1:$G$768))</f>
        <v>0.159692570452605</v>
      </c>
      <c r="H127" s="5">
        <f>(pima_data!H127-MIN(pima_data!$H$1:$H$768))/(MAX(pima_data!$H$1:$H$768)-MIN(pima_data!$H$1:$H$768))</f>
        <v>0.15</v>
      </c>
    </row>
    <row r="128" spans="1:8">
      <c r="A128" s="5">
        <f>(pima_data!A128-MIN(pima_data!$A$1:$A$768))/(MAX(pima_data!$A$1:$A$768)-MIN(pima_data!$A$1:$A$768))</f>
        <v>0.0588235294117647</v>
      </c>
      <c r="B128" s="5">
        <f>(pima_data!B128-MIN(pima_data!$B$1:$B$768))/(MAX(pima_data!$B$1:$B$768)-MIN(pima_data!$B$1:$B$768))</f>
        <v>0.592964824120603</v>
      </c>
      <c r="C128" s="5">
        <f>(pima_data!C128-MIN(pima_data!$C$1:$C$768))/(MAX(pima_data!$C$1:$C$768)-MIN(pima_data!$C$1:$C$768))</f>
        <v>0.475409836065574</v>
      </c>
      <c r="D128" s="5">
        <f>(pima_data!D128-MIN(pima_data!$D$1:$D$768))/(MAX(pima_data!$D$1:$D$768)-MIN(pima_data!$D$1:$D$768))</f>
        <v>0.363636363636364</v>
      </c>
      <c r="E128" s="5">
        <f>(pima_data!E128-MIN(pima_data!$E$1:$E$768))/(MAX(pima_data!$E$1:$E$768)-MIN(pima_data!$E$1:$E$768))</f>
        <v>0.111111111111111</v>
      </c>
      <c r="F128" s="5">
        <f>(pima_data!F128-MIN(pima_data!$F$1:$F$768))/(MAX(pima_data!$F$1:$F$768)-MIN(pima_data!$F$1:$F$768))</f>
        <v>0.496274217585693</v>
      </c>
      <c r="G128" s="5">
        <f>(pima_data!G128-MIN(pima_data!$G$1:$G$768))/(MAX(pima_data!$G$1:$G$768)-MIN(pima_data!$G$1:$G$768))</f>
        <v>0.0781383432963279</v>
      </c>
      <c r="H128" s="5">
        <f>(pima_data!H128-MIN(pima_data!$H$1:$H$768))/(MAX(pima_data!$H$1:$H$768)-MIN(pima_data!$H$1:$H$768))</f>
        <v>0.0333333333333333</v>
      </c>
    </row>
    <row r="129" spans="1:8">
      <c r="A129" s="5">
        <f>(pima_data!A129-MIN(pima_data!$A$1:$A$768))/(MAX(pima_data!$A$1:$A$768)-MIN(pima_data!$A$1:$A$768))</f>
        <v>0.0588235294117647</v>
      </c>
      <c r="B129" s="5">
        <f>(pima_data!B129-MIN(pima_data!$B$1:$B$768))/(MAX(pima_data!$B$1:$B$768)-MIN(pima_data!$B$1:$B$768))</f>
        <v>0.587939698492462</v>
      </c>
      <c r="C129" s="5">
        <f>(pima_data!C129-MIN(pima_data!$C$1:$C$768))/(MAX(pima_data!$C$1:$C$768)-MIN(pima_data!$C$1:$C$768))</f>
        <v>0.721311475409836</v>
      </c>
      <c r="D129" s="5">
        <f>(pima_data!D129-MIN(pima_data!$D$1:$D$768))/(MAX(pima_data!$D$1:$D$768)-MIN(pima_data!$D$1:$D$768))</f>
        <v>0.242424242424242</v>
      </c>
      <c r="E129" s="5">
        <f>(pima_data!E129-MIN(pima_data!$E$1:$E$768))/(MAX(pima_data!$E$1:$E$768)-MIN(pima_data!$E$1:$E$768))</f>
        <v>0.171394799054374</v>
      </c>
      <c r="F129" s="5">
        <f>(pima_data!F129-MIN(pima_data!$F$1:$F$768))/(MAX(pima_data!$F$1:$F$768)-MIN(pima_data!$F$1:$F$768))</f>
        <v>0.514157973174367</v>
      </c>
      <c r="G129" s="5">
        <f>(pima_data!G129-MIN(pima_data!$G$1:$G$768))/(MAX(pima_data!$G$1:$G$768)-MIN(pima_data!$G$1:$G$768))</f>
        <v>0.138770281810418</v>
      </c>
      <c r="H129" s="5">
        <f>(pima_data!H129-MIN(pima_data!$H$1:$H$768))/(MAX(pima_data!$H$1:$H$768)-MIN(pima_data!$H$1:$H$768))</f>
        <v>0.316666666666667</v>
      </c>
    </row>
    <row r="130" spans="1:8">
      <c r="A130" s="5">
        <f>(pima_data!A130-MIN(pima_data!$A$1:$A$768))/(MAX(pima_data!$A$1:$A$768)-MIN(pima_data!$A$1:$A$768))</f>
        <v>0</v>
      </c>
      <c r="B130" s="5">
        <f>(pima_data!B130-MIN(pima_data!$B$1:$B$768))/(MAX(pima_data!$B$1:$B$768)-MIN(pima_data!$B$1:$B$768))</f>
        <v>0.527638190954774</v>
      </c>
      <c r="C130" s="5">
        <f>(pima_data!C130-MIN(pima_data!$C$1:$C$768))/(MAX(pima_data!$C$1:$C$768)-MIN(pima_data!$C$1:$C$768))</f>
        <v>0.688524590163934</v>
      </c>
      <c r="D130" s="5">
        <f>(pima_data!D130-MIN(pima_data!$D$1:$D$768))/(MAX(pima_data!$D$1:$D$768)-MIN(pima_data!$D$1:$D$768))</f>
        <v>0</v>
      </c>
      <c r="E130" s="5">
        <f>(pima_data!E130-MIN(pima_data!$E$1:$E$768))/(MAX(pima_data!$E$1:$E$768)-MIN(pima_data!$E$1:$E$768))</f>
        <v>0</v>
      </c>
      <c r="F130" s="5">
        <f>(pima_data!F130-MIN(pima_data!$F$1:$F$768))/(MAX(pima_data!$F$1:$F$768)-MIN(pima_data!$F$1:$F$768))</f>
        <v>0.415797317436662</v>
      </c>
      <c r="G130" s="5">
        <f>(pima_data!G130-MIN(pima_data!$G$1:$G$768))/(MAX(pima_data!$G$1:$G$768)-MIN(pima_data!$G$1:$G$768))</f>
        <v>0.283091374893254</v>
      </c>
      <c r="H130" s="5">
        <f>(pima_data!H130-MIN(pima_data!$H$1:$H$768))/(MAX(pima_data!$H$1:$H$768)-MIN(pima_data!$H$1:$H$768))</f>
        <v>0.683333333333333</v>
      </c>
    </row>
    <row r="131" spans="1:8">
      <c r="A131" s="5">
        <f>(pima_data!A131-MIN(pima_data!$A$1:$A$768))/(MAX(pima_data!$A$1:$A$768)-MIN(pima_data!$A$1:$A$768))</f>
        <v>0.235294117647059</v>
      </c>
      <c r="B131" s="5">
        <f>(pima_data!B131-MIN(pima_data!$B$1:$B$768))/(MAX(pima_data!$B$1:$B$768)-MIN(pima_data!$B$1:$B$768))</f>
        <v>0.869346733668342</v>
      </c>
      <c r="C131" s="5">
        <f>(pima_data!C131-MIN(pima_data!$C$1:$C$768))/(MAX(pima_data!$C$1:$C$768)-MIN(pima_data!$C$1:$C$768))</f>
        <v>0.573770491803279</v>
      </c>
      <c r="D131" s="5">
        <f>(pima_data!D131-MIN(pima_data!$D$1:$D$768))/(MAX(pima_data!$D$1:$D$768)-MIN(pima_data!$D$1:$D$768))</f>
        <v>0.141414141414141</v>
      </c>
      <c r="E131" s="5">
        <f>(pima_data!E131-MIN(pima_data!$E$1:$E$768))/(MAX(pima_data!$E$1:$E$768)-MIN(pima_data!$E$1:$E$768))</f>
        <v>0.198581560283688</v>
      </c>
      <c r="F131" s="5">
        <f>(pima_data!F131-MIN(pima_data!$F$1:$F$768))/(MAX(pima_data!$F$1:$F$768)-MIN(pima_data!$F$1:$F$768))</f>
        <v>0.442622950819672</v>
      </c>
      <c r="G131" s="5">
        <f>(pima_data!G131-MIN(pima_data!$G$1:$G$768))/(MAX(pima_data!$G$1:$G$768)-MIN(pima_data!$G$1:$G$768))</f>
        <v>0.120836891545687</v>
      </c>
      <c r="H131" s="5">
        <f>(pima_data!H131-MIN(pima_data!$H$1:$H$768))/(MAX(pima_data!$H$1:$H$768)-MIN(pima_data!$H$1:$H$768))</f>
        <v>0.2</v>
      </c>
    </row>
    <row r="132" spans="1:8">
      <c r="A132" s="5">
        <f>(pima_data!A132-MIN(pima_data!$A$1:$A$768))/(MAX(pima_data!$A$1:$A$768)-MIN(pima_data!$A$1:$A$768))</f>
        <v>0.529411764705882</v>
      </c>
      <c r="B132" s="5">
        <f>(pima_data!B132-MIN(pima_data!$B$1:$B$768))/(MAX(pima_data!$B$1:$B$768)-MIN(pima_data!$B$1:$B$768))</f>
        <v>0.613065326633166</v>
      </c>
      <c r="C132" s="5">
        <f>(pima_data!C132-MIN(pima_data!$C$1:$C$768))/(MAX(pima_data!$C$1:$C$768)-MIN(pima_data!$C$1:$C$768))</f>
        <v>0.459016393442623</v>
      </c>
      <c r="D132" s="5">
        <f>(pima_data!D132-MIN(pima_data!$D$1:$D$768))/(MAX(pima_data!$D$1:$D$768)-MIN(pima_data!$D$1:$D$768))</f>
        <v>0</v>
      </c>
      <c r="E132" s="5">
        <f>(pima_data!E132-MIN(pima_data!$E$1:$E$768))/(MAX(pima_data!$E$1:$E$768)-MIN(pima_data!$E$1:$E$768))</f>
        <v>0</v>
      </c>
      <c r="F132" s="5">
        <f>(pima_data!F132-MIN(pima_data!$F$1:$F$768))/(MAX(pima_data!$F$1:$F$768)-MIN(pima_data!$F$1:$F$768))</f>
        <v>0.496274217585693</v>
      </c>
      <c r="G132" s="5">
        <f>(pima_data!G132-MIN(pima_data!$G$1:$G$768))/(MAX(pima_data!$G$1:$G$768)-MIN(pima_data!$G$1:$G$768))</f>
        <v>0.442356959863365</v>
      </c>
      <c r="H132" s="5">
        <f>(pima_data!H132-MIN(pima_data!$H$1:$H$768))/(MAX(pima_data!$H$1:$H$768)-MIN(pima_data!$H$1:$H$768))</f>
        <v>0.2</v>
      </c>
    </row>
    <row r="133" spans="1:8">
      <c r="A133" s="5">
        <f>(pima_data!A133-MIN(pima_data!$A$1:$A$768))/(MAX(pima_data!$A$1:$A$768)-MIN(pima_data!$A$1:$A$768))</f>
        <v>0.176470588235294</v>
      </c>
      <c r="B133" s="5">
        <f>(pima_data!B133-MIN(pima_data!$B$1:$B$768))/(MAX(pima_data!$B$1:$B$768)-MIN(pima_data!$B$1:$B$768))</f>
        <v>0.85427135678392</v>
      </c>
      <c r="C133" s="5">
        <f>(pima_data!C133-MIN(pima_data!$C$1:$C$768))/(MAX(pima_data!$C$1:$C$768)-MIN(pima_data!$C$1:$C$768))</f>
        <v>0.524590163934426</v>
      </c>
      <c r="D133" s="5">
        <f>(pima_data!D133-MIN(pima_data!$D$1:$D$768))/(MAX(pima_data!$D$1:$D$768)-MIN(pima_data!$D$1:$D$768))</f>
        <v>0.373737373737374</v>
      </c>
      <c r="E133" s="5">
        <f>(pima_data!E133-MIN(pima_data!$E$1:$E$768))/(MAX(pima_data!$E$1:$E$768)-MIN(pima_data!$E$1:$E$768))</f>
        <v>0.265957446808511</v>
      </c>
      <c r="F133" s="5">
        <f>(pima_data!F133-MIN(pima_data!$F$1:$F$768))/(MAX(pima_data!$F$1:$F$768)-MIN(pima_data!$F$1:$F$768))</f>
        <v>0.514157973174367</v>
      </c>
      <c r="G133" s="5">
        <f>(pima_data!G133-MIN(pima_data!$G$1:$G$768))/(MAX(pima_data!$G$1:$G$768)-MIN(pima_data!$G$1:$G$768))</f>
        <v>0.118701964133219</v>
      </c>
      <c r="H133" s="5">
        <f>(pima_data!H133-MIN(pima_data!$H$1:$H$768))/(MAX(pima_data!$H$1:$H$768)-MIN(pima_data!$H$1:$H$768))</f>
        <v>0.15</v>
      </c>
    </row>
    <row r="134" spans="1:8">
      <c r="A134" s="5">
        <f>(pima_data!A134-MIN(pima_data!$A$1:$A$768))/(MAX(pima_data!$A$1:$A$768)-MIN(pima_data!$A$1:$A$768))</f>
        <v>0.470588235294118</v>
      </c>
      <c r="B134" s="5">
        <f>(pima_data!B134-MIN(pima_data!$B$1:$B$768))/(MAX(pima_data!$B$1:$B$768)-MIN(pima_data!$B$1:$B$768))</f>
        <v>0.422110552763819</v>
      </c>
      <c r="C134" s="5">
        <f>(pima_data!C134-MIN(pima_data!$C$1:$C$768))/(MAX(pima_data!$C$1:$C$768)-MIN(pima_data!$C$1:$C$768))</f>
        <v>0.60655737704918</v>
      </c>
      <c r="D134" s="5">
        <f>(pima_data!D134-MIN(pima_data!$D$1:$D$768))/(MAX(pima_data!$D$1:$D$768)-MIN(pima_data!$D$1:$D$768))</f>
        <v>0.313131313131313</v>
      </c>
      <c r="E134" s="5">
        <f>(pima_data!E134-MIN(pima_data!$E$1:$E$768))/(MAX(pima_data!$E$1:$E$768)-MIN(pima_data!$E$1:$E$768))</f>
        <v>0</v>
      </c>
      <c r="F134" s="5">
        <f>(pima_data!F134-MIN(pima_data!$F$1:$F$768))/(MAX(pima_data!$F$1:$F$768)-MIN(pima_data!$F$1:$F$768))</f>
        <v>0.570789865871833</v>
      </c>
      <c r="G134" s="5">
        <f>(pima_data!G134-MIN(pima_data!$G$1:$G$768))/(MAX(pima_data!$G$1:$G$768)-MIN(pima_data!$G$1:$G$768))</f>
        <v>0.161827497865073</v>
      </c>
      <c r="H134" s="5">
        <f>(pima_data!H134-MIN(pima_data!$H$1:$H$768))/(MAX(pima_data!$H$1:$H$768)-MIN(pima_data!$H$1:$H$768))</f>
        <v>0.3</v>
      </c>
    </row>
    <row r="135" spans="1:8">
      <c r="A135" s="5">
        <f>(pima_data!A135-MIN(pima_data!$A$1:$A$768))/(MAX(pima_data!$A$1:$A$768)-MIN(pima_data!$A$1:$A$768))</f>
        <v>0.117647058823529</v>
      </c>
      <c r="B135" s="5">
        <f>(pima_data!B135-MIN(pima_data!$B$1:$B$768))/(MAX(pima_data!$B$1:$B$768)-MIN(pima_data!$B$1:$B$768))</f>
        <v>0.482412060301508</v>
      </c>
      <c r="C135" s="5">
        <f>(pima_data!C135-MIN(pima_data!$C$1:$C$768))/(MAX(pima_data!$C$1:$C$768)-MIN(pima_data!$C$1:$C$768))</f>
        <v>0.557377049180328</v>
      </c>
      <c r="D135" s="5">
        <f>(pima_data!D135-MIN(pima_data!$D$1:$D$768))/(MAX(pima_data!$D$1:$D$768)-MIN(pima_data!$D$1:$D$768))</f>
        <v>0.131313131313131</v>
      </c>
      <c r="E135" s="5">
        <f>(pima_data!E135-MIN(pima_data!$E$1:$E$768))/(MAX(pima_data!$E$1:$E$768)-MIN(pima_data!$E$1:$E$768))</f>
        <v>0.057919621749409</v>
      </c>
      <c r="F135" s="5">
        <f>(pima_data!F135-MIN(pima_data!$F$1:$F$768))/(MAX(pima_data!$F$1:$F$768)-MIN(pima_data!$F$1:$F$768))</f>
        <v>0.314456035767511</v>
      </c>
      <c r="G135" s="5">
        <f>(pima_data!G135-MIN(pima_data!$G$1:$G$768))/(MAX(pima_data!$G$1:$G$768)-MIN(pima_data!$G$1:$G$768))</f>
        <v>0.242954739538856</v>
      </c>
      <c r="H135" s="5">
        <f>(pima_data!H135-MIN(pima_data!$H$1:$H$768))/(MAX(pima_data!$H$1:$H$768)-MIN(pima_data!$H$1:$H$768))</f>
        <v>0.0833333333333333</v>
      </c>
    </row>
    <row r="136" spans="1:8">
      <c r="A136" s="5">
        <f>(pima_data!A136-MIN(pima_data!$A$1:$A$768))/(MAX(pima_data!$A$1:$A$768)-MIN(pima_data!$A$1:$A$768))</f>
        <v>0.117647058823529</v>
      </c>
      <c r="B136" s="5">
        <f>(pima_data!B136-MIN(pima_data!$B$1:$B$768))/(MAX(pima_data!$B$1:$B$768)-MIN(pima_data!$B$1:$B$768))</f>
        <v>0.628140703517588</v>
      </c>
      <c r="C136" s="5">
        <f>(pima_data!C136-MIN(pima_data!$C$1:$C$768))/(MAX(pima_data!$C$1:$C$768)-MIN(pima_data!$C$1:$C$768))</f>
        <v>0.491803278688525</v>
      </c>
      <c r="D136" s="5">
        <f>(pima_data!D136-MIN(pima_data!$D$1:$D$768))/(MAX(pima_data!$D$1:$D$768)-MIN(pima_data!$D$1:$D$768))</f>
        <v>0.202020202020202</v>
      </c>
      <c r="E136" s="5">
        <f>(pima_data!E136-MIN(pima_data!$E$1:$E$768))/(MAX(pima_data!$E$1:$E$768)-MIN(pima_data!$E$1:$E$768))</f>
        <v>0.16548463356974</v>
      </c>
      <c r="F136" s="5">
        <f>(pima_data!F136-MIN(pima_data!$F$1:$F$768))/(MAX(pima_data!$F$1:$F$768)-MIN(pima_data!$F$1:$F$768))</f>
        <v>0.503725782414307</v>
      </c>
      <c r="G136" s="5">
        <f>(pima_data!G136-MIN(pima_data!$G$1:$G$768))/(MAX(pima_data!$G$1:$G$768)-MIN(pima_data!$G$1:$G$768))</f>
        <v>0.00426985482493595</v>
      </c>
      <c r="H136" s="5">
        <f>(pima_data!H136-MIN(pima_data!$H$1:$H$768))/(MAX(pima_data!$H$1:$H$768)-MIN(pima_data!$H$1:$H$768))</f>
        <v>0.166666666666667</v>
      </c>
    </row>
    <row r="137" spans="1:8">
      <c r="A137" s="5">
        <f>(pima_data!A137-MIN(pima_data!$A$1:$A$768))/(MAX(pima_data!$A$1:$A$768)-MIN(pima_data!$A$1:$A$768))</f>
        <v>0</v>
      </c>
      <c r="B137" s="5">
        <f>(pima_data!B137-MIN(pima_data!$B$1:$B$768))/(MAX(pima_data!$B$1:$B$768)-MIN(pima_data!$B$1:$B$768))</f>
        <v>0.50251256281407</v>
      </c>
      <c r="C137" s="5">
        <f>(pima_data!C137-MIN(pima_data!$C$1:$C$768))/(MAX(pima_data!$C$1:$C$768)-MIN(pima_data!$C$1:$C$768))</f>
        <v>0.573770491803279</v>
      </c>
      <c r="D137" s="5">
        <f>(pima_data!D137-MIN(pima_data!$D$1:$D$768))/(MAX(pima_data!$D$1:$D$768)-MIN(pima_data!$D$1:$D$768))</f>
        <v>0.262626262626263</v>
      </c>
      <c r="E137" s="5">
        <f>(pima_data!E137-MIN(pima_data!$E$1:$E$768))/(MAX(pima_data!$E$1:$E$768)-MIN(pima_data!$E$1:$E$768))</f>
        <v>0.0591016548463357</v>
      </c>
      <c r="F137" s="5">
        <f>(pima_data!F137-MIN(pima_data!$F$1:$F$768))/(MAX(pima_data!$F$1:$F$768)-MIN(pima_data!$F$1:$F$768))</f>
        <v>0.459016393442623</v>
      </c>
      <c r="G137" s="5">
        <f>(pima_data!G137-MIN(pima_data!$G$1:$G$768))/(MAX(pima_data!$G$1:$G$768)-MIN(pima_data!$G$1:$G$768))</f>
        <v>0.221605465414176</v>
      </c>
      <c r="H137" s="5">
        <f>(pima_data!H137-MIN(pima_data!$H$1:$H$768))/(MAX(pima_data!$H$1:$H$768)-MIN(pima_data!$H$1:$H$768))</f>
        <v>0</v>
      </c>
    </row>
    <row r="138" spans="1:8">
      <c r="A138" s="5">
        <f>(pima_data!A138-MIN(pima_data!$A$1:$A$768))/(MAX(pima_data!$A$1:$A$768)-MIN(pima_data!$A$1:$A$768))</f>
        <v>0</v>
      </c>
      <c r="B138" s="5">
        <f>(pima_data!B138-MIN(pima_data!$B$1:$B$768))/(MAX(pima_data!$B$1:$B$768)-MIN(pima_data!$B$1:$B$768))</f>
        <v>0.467336683417085</v>
      </c>
      <c r="C138" s="5">
        <f>(pima_data!C138-MIN(pima_data!$C$1:$C$768))/(MAX(pima_data!$C$1:$C$768)-MIN(pima_data!$C$1:$C$768))</f>
        <v>0.491803278688525</v>
      </c>
      <c r="D138" s="5">
        <f>(pima_data!D138-MIN(pima_data!$D$1:$D$768))/(MAX(pima_data!$D$1:$D$768)-MIN(pima_data!$D$1:$D$768))</f>
        <v>0.252525252525253</v>
      </c>
      <c r="E138" s="5">
        <f>(pima_data!E138-MIN(pima_data!$E$1:$E$768))/(MAX(pima_data!$E$1:$E$768)-MIN(pima_data!$E$1:$E$768))</f>
        <v>0.108747044917258</v>
      </c>
      <c r="F138" s="5">
        <f>(pima_data!F138-MIN(pima_data!$F$1:$F$768))/(MAX(pima_data!$F$1:$F$768)-MIN(pima_data!$F$1:$F$768))</f>
        <v>0.427719821162444</v>
      </c>
      <c r="G138" s="5">
        <f>(pima_data!G138-MIN(pima_data!$G$1:$G$768))/(MAX(pima_data!$G$1:$G$768)-MIN(pima_data!$G$1:$G$768))</f>
        <v>0.193851409052092</v>
      </c>
      <c r="H138" s="5">
        <f>(pima_data!H138-MIN(pima_data!$H$1:$H$768))/(MAX(pima_data!$H$1:$H$768)-MIN(pima_data!$H$1:$H$768))</f>
        <v>0.0166666666666667</v>
      </c>
    </row>
    <row r="139" spans="1:8">
      <c r="A139" s="5">
        <f>(pima_data!A139-MIN(pima_data!$A$1:$A$768))/(MAX(pima_data!$A$1:$A$768)-MIN(pima_data!$A$1:$A$768))</f>
        <v>0</v>
      </c>
      <c r="B139" s="5">
        <f>(pima_data!B139-MIN(pima_data!$B$1:$B$768))/(MAX(pima_data!$B$1:$B$768)-MIN(pima_data!$B$1:$B$768))</f>
        <v>0.648241206030151</v>
      </c>
      <c r="C139" s="5">
        <f>(pima_data!C139-MIN(pima_data!$C$1:$C$768))/(MAX(pima_data!$C$1:$C$768)-MIN(pima_data!$C$1:$C$768))</f>
        <v>0.655737704918033</v>
      </c>
      <c r="D139" s="5">
        <f>(pima_data!D139-MIN(pima_data!$D$1:$D$768))/(MAX(pima_data!$D$1:$D$768)-MIN(pima_data!$D$1:$D$768))</f>
        <v>0</v>
      </c>
      <c r="E139" s="5">
        <f>(pima_data!E139-MIN(pima_data!$E$1:$E$768))/(MAX(pima_data!$E$1:$E$768)-MIN(pima_data!$E$1:$E$768))</f>
        <v>0</v>
      </c>
      <c r="F139" s="5">
        <f>(pima_data!F139-MIN(pima_data!$F$1:$F$768))/(MAX(pima_data!$F$1:$F$768)-MIN(pima_data!$F$1:$F$768))</f>
        <v>0.464977645305514</v>
      </c>
      <c r="G139" s="5">
        <f>(pima_data!G139-MIN(pima_data!$G$1:$G$768))/(MAX(pima_data!$G$1:$G$768)-MIN(pima_data!$G$1:$G$768))</f>
        <v>0.266865926558497</v>
      </c>
      <c r="H139" s="5">
        <f>(pima_data!H139-MIN(pima_data!$H$1:$H$768))/(MAX(pima_data!$H$1:$H$768)-MIN(pima_data!$H$1:$H$768))</f>
        <v>0.133333333333333</v>
      </c>
    </row>
    <row r="140" spans="1:8">
      <c r="A140" s="5">
        <f>(pima_data!A140-MIN(pima_data!$A$1:$A$768))/(MAX(pima_data!$A$1:$A$768)-MIN(pima_data!$A$1:$A$768))</f>
        <v>0.294117647058824</v>
      </c>
      <c r="B140" s="5">
        <f>(pima_data!B140-MIN(pima_data!$B$1:$B$768))/(MAX(pima_data!$B$1:$B$768)-MIN(pima_data!$B$1:$B$768))</f>
        <v>0.527638190954774</v>
      </c>
      <c r="C140" s="5">
        <f>(pima_data!C140-MIN(pima_data!$C$1:$C$768))/(MAX(pima_data!$C$1:$C$768)-MIN(pima_data!$C$1:$C$768))</f>
        <v>0.590163934426229</v>
      </c>
      <c r="D140" s="5">
        <f>(pima_data!D140-MIN(pima_data!$D$1:$D$768))/(MAX(pima_data!$D$1:$D$768)-MIN(pima_data!$D$1:$D$768))</f>
        <v>0.292929292929293</v>
      </c>
      <c r="E140" s="5">
        <f>(pima_data!E140-MIN(pima_data!$E$1:$E$768))/(MAX(pima_data!$E$1:$E$768)-MIN(pima_data!$E$1:$E$768))</f>
        <v>0.384160756501182</v>
      </c>
      <c r="F140" s="5">
        <f>(pima_data!F140-MIN(pima_data!$F$1:$F$768))/(MAX(pima_data!$F$1:$F$768)-MIN(pima_data!$F$1:$F$768))</f>
        <v>0.549925484351714</v>
      </c>
      <c r="G140" s="5">
        <f>(pima_data!G140-MIN(pima_data!$G$1:$G$768))/(MAX(pima_data!$G$1:$G$768)-MIN(pima_data!$G$1:$G$768))</f>
        <v>0.0345858240819812</v>
      </c>
      <c r="H140" s="5">
        <f>(pima_data!H140-MIN(pima_data!$H$1:$H$768))/(MAX(pima_data!$H$1:$H$768)-MIN(pima_data!$H$1:$H$768))</f>
        <v>0.116666666666667</v>
      </c>
    </row>
    <row r="141" spans="1:8">
      <c r="A141" s="5">
        <f>(pima_data!A141-MIN(pima_data!$A$1:$A$768))/(MAX(pima_data!$A$1:$A$768)-MIN(pima_data!$A$1:$A$768))</f>
        <v>0.176470588235294</v>
      </c>
      <c r="B141" s="5">
        <f>(pima_data!B141-MIN(pima_data!$B$1:$B$768))/(MAX(pima_data!$B$1:$B$768)-MIN(pima_data!$B$1:$B$768))</f>
        <v>0.64321608040201</v>
      </c>
      <c r="C141" s="5">
        <f>(pima_data!C141-MIN(pima_data!$C$1:$C$768))/(MAX(pima_data!$C$1:$C$768)-MIN(pima_data!$C$1:$C$768))</f>
        <v>0.639344262295082</v>
      </c>
      <c r="D141" s="5">
        <f>(pima_data!D141-MIN(pima_data!$D$1:$D$768))/(MAX(pima_data!$D$1:$D$768)-MIN(pima_data!$D$1:$D$768))</f>
        <v>0</v>
      </c>
      <c r="E141" s="5">
        <f>(pima_data!E141-MIN(pima_data!$E$1:$E$768))/(MAX(pima_data!$E$1:$E$768)-MIN(pima_data!$E$1:$E$768))</f>
        <v>0</v>
      </c>
      <c r="F141" s="5">
        <f>(pima_data!F141-MIN(pima_data!$F$1:$F$768))/(MAX(pima_data!$F$1:$F$768)-MIN(pima_data!$F$1:$F$768))</f>
        <v>0.314456035767511</v>
      </c>
      <c r="G141" s="5">
        <f>(pima_data!G141-MIN(pima_data!$G$1:$G$768))/(MAX(pima_data!$G$1:$G$768)-MIN(pima_data!$G$1:$G$768))</f>
        <v>0.0811272416737831</v>
      </c>
      <c r="H141" s="5">
        <f>(pima_data!H141-MIN(pima_data!$H$1:$H$768))/(MAX(pima_data!$H$1:$H$768)-MIN(pima_data!$H$1:$H$768))</f>
        <v>0.566666666666667</v>
      </c>
    </row>
    <row r="142" spans="1:8">
      <c r="A142" s="5">
        <f>(pima_data!A142-MIN(pima_data!$A$1:$A$768))/(MAX(pima_data!$A$1:$A$768)-MIN(pima_data!$A$1:$A$768))</f>
        <v>0.294117647058824</v>
      </c>
      <c r="B142" s="5">
        <f>(pima_data!B142-MIN(pima_data!$B$1:$B$768))/(MAX(pima_data!$B$1:$B$768)-MIN(pima_data!$B$1:$B$768))</f>
        <v>0.532663316582915</v>
      </c>
      <c r="C142" s="5">
        <f>(pima_data!C142-MIN(pima_data!$C$1:$C$768))/(MAX(pima_data!$C$1:$C$768)-MIN(pima_data!$C$1:$C$768))</f>
        <v>0.672131147540984</v>
      </c>
      <c r="D142" s="5">
        <f>(pima_data!D142-MIN(pima_data!$D$1:$D$768))/(MAX(pima_data!$D$1:$D$768)-MIN(pima_data!$D$1:$D$768))</f>
        <v>0.303030303030303</v>
      </c>
      <c r="E142" s="5">
        <f>(pima_data!E142-MIN(pima_data!$E$1:$E$768))/(MAX(pima_data!$E$1:$E$768)-MIN(pima_data!$E$1:$E$768))</f>
        <v>0</v>
      </c>
      <c r="F142" s="5">
        <f>(pima_data!F142-MIN(pima_data!$F$1:$F$768))/(MAX(pima_data!$F$1:$F$768)-MIN(pima_data!$F$1:$F$768))</f>
        <v>0.588673621460507</v>
      </c>
      <c r="G142" s="5">
        <f>(pima_data!G142-MIN(pima_data!$G$1:$G$768))/(MAX(pima_data!$G$1:$G$768)-MIN(pima_data!$G$1:$G$768))</f>
        <v>0.0888129803586678</v>
      </c>
      <c r="H142" s="5">
        <f>(pima_data!H142-MIN(pima_data!$H$1:$H$768))/(MAX(pima_data!$H$1:$H$768)-MIN(pima_data!$H$1:$H$768))</f>
        <v>0.283333333333333</v>
      </c>
    </row>
    <row r="143" spans="1:8">
      <c r="A143" s="5">
        <f>(pima_data!A143-MIN(pima_data!$A$1:$A$768))/(MAX(pima_data!$A$1:$A$768)-MIN(pima_data!$A$1:$A$768))</f>
        <v>0.117647058823529</v>
      </c>
      <c r="B143" s="5">
        <f>(pima_data!B143-MIN(pima_data!$B$1:$B$768))/(MAX(pima_data!$B$1:$B$768)-MIN(pima_data!$B$1:$B$768))</f>
        <v>0.542713567839196</v>
      </c>
      <c r="C143" s="5">
        <f>(pima_data!C143-MIN(pima_data!$C$1:$C$768))/(MAX(pima_data!$C$1:$C$768)-MIN(pima_data!$C$1:$C$768))</f>
        <v>0.426229508196721</v>
      </c>
      <c r="D143" s="5">
        <f>(pima_data!D143-MIN(pima_data!$D$1:$D$768))/(MAX(pima_data!$D$1:$D$768)-MIN(pima_data!$D$1:$D$768))</f>
        <v>0.262626262626263</v>
      </c>
      <c r="E143" s="5">
        <f>(pima_data!E143-MIN(pima_data!$E$1:$E$768))/(MAX(pima_data!$E$1:$E$768)-MIN(pima_data!$E$1:$E$768))</f>
        <v>0.074468085106383</v>
      </c>
      <c r="F143" s="5">
        <f>(pima_data!F143-MIN(pima_data!$F$1:$F$768))/(MAX(pima_data!$F$1:$F$768)-MIN(pima_data!$F$1:$F$768))</f>
        <v>0.484351713859911</v>
      </c>
      <c r="G143" s="5">
        <f>(pima_data!G143-MIN(pima_data!$G$1:$G$768))/(MAX(pima_data!$G$1:$G$768)-MIN(pima_data!$G$1:$G$768))</f>
        <v>0.102476515798463</v>
      </c>
      <c r="H143" s="5">
        <f>(pima_data!H143-MIN(pima_data!$H$1:$H$768))/(MAX(pima_data!$H$1:$H$768)-MIN(pima_data!$H$1:$H$768))</f>
        <v>0.0166666666666667</v>
      </c>
    </row>
    <row r="144" spans="1:8">
      <c r="A144" s="5">
        <f>(pima_data!A144-MIN(pima_data!$A$1:$A$768))/(MAX(pima_data!$A$1:$A$768)-MIN(pima_data!$A$1:$A$768))</f>
        <v>0.588235294117647</v>
      </c>
      <c r="B144" s="5">
        <f>(pima_data!B144-MIN(pima_data!$B$1:$B$768))/(MAX(pima_data!$B$1:$B$768)-MIN(pima_data!$B$1:$B$768))</f>
        <v>0.542713567839196</v>
      </c>
      <c r="C144" s="5">
        <f>(pima_data!C144-MIN(pima_data!$C$1:$C$768))/(MAX(pima_data!$C$1:$C$768)-MIN(pima_data!$C$1:$C$768))</f>
        <v>0.540983606557377</v>
      </c>
      <c r="D144" s="5">
        <f>(pima_data!D144-MIN(pima_data!$D$1:$D$768))/(MAX(pima_data!$D$1:$D$768)-MIN(pima_data!$D$1:$D$768))</f>
        <v>0</v>
      </c>
      <c r="E144" s="5">
        <f>(pima_data!E144-MIN(pima_data!$E$1:$E$768))/(MAX(pima_data!$E$1:$E$768)-MIN(pima_data!$E$1:$E$768))</f>
        <v>0</v>
      </c>
      <c r="F144" s="5">
        <f>(pima_data!F144-MIN(pima_data!$F$1:$F$768))/(MAX(pima_data!$F$1:$F$768)-MIN(pima_data!$F$1:$F$768))</f>
        <v>0.482861400894188</v>
      </c>
      <c r="G144" s="5">
        <f>(pima_data!G144-MIN(pima_data!$G$1:$G$768))/(MAX(pima_data!$G$1:$G$768)-MIN(pima_data!$G$1:$G$768))</f>
        <v>0.0828351836037575</v>
      </c>
      <c r="H144" s="5">
        <f>(pima_data!H144-MIN(pima_data!$H$1:$H$768))/(MAX(pima_data!$H$1:$H$768)-MIN(pima_data!$H$1:$H$768))</f>
        <v>0.35</v>
      </c>
    </row>
    <row r="145" spans="1:8">
      <c r="A145" s="5">
        <f>(pima_data!A145-MIN(pima_data!$A$1:$A$768))/(MAX(pima_data!$A$1:$A$768)-MIN(pima_data!$A$1:$A$768))</f>
        <v>0.235294117647059</v>
      </c>
      <c r="B145" s="5">
        <f>(pima_data!B145-MIN(pima_data!$B$1:$B$768))/(MAX(pima_data!$B$1:$B$768)-MIN(pima_data!$B$1:$B$768))</f>
        <v>0.773869346733668</v>
      </c>
      <c r="C145" s="5">
        <f>(pima_data!C145-MIN(pima_data!$C$1:$C$768))/(MAX(pima_data!$C$1:$C$768)-MIN(pima_data!$C$1:$C$768))</f>
        <v>0.508196721311475</v>
      </c>
      <c r="D145" s="5">
        <f>(pima_data!D145-MIN(pima_data!$D$1:$D$768))/(MAX(pima_data!$D$1:$D$768)-MIN(pima_data!$D$1:$D$768))</f>
        <v>0.313131313131313</v>
      </c>
      <c r="E145" s="5">
        <f>(pima_data!E145-MIN(pima_data!$E$1:$E$768))/(MAX(pima_data!$E$1:$E$768)-MIN(pima_data!$E$1:$E$768))</f>
        <v>0.335697399527187</v>
      </c>
      <c r="F145" s="5">
        <f>(pima_data!F145-MIN(pima_data!$F$1:$F$768))/(MAX(pima_data!$F$1:$F$768)-MIN(pima_data!$F$1:$F$768))</f>
        <v>0.488822652757079</v>
      </c>
      <c r="G145" s="5">
        <f>(pima_data!G145-MIN(pima_data!$G$1:$G$768))/(MAX(pima_data!$G$1:$G$768)-MIN(pima_data!$G$1:$G$768))</f>
        <v>0.0678906917164816</v>
      </c>
      <c r="H145" s="5">
        <f>(pima_data!H145-MIN(pima_data!$H$1:$H$768))/(MAX(pima_data!$H$1:$H$768)-MIN(pima_data!$H$1:$H$768))</f>
        <v>0.0333333333333333</v>
      </c>
    </row>
    <row r="146" spans="1:8">
      <c r="A146" s="5">
        <f>(pima_data!A146-MIN(pima_data!$A$1:$A$768))/(MAX(pima_data!$A$1:$A$768)-MIN(pima_data!$A$1:$A$768))</f>
        <v>0</v>
      </c>
      <c r="B146" s="5">
        <f>(pima_data!B146-MIN(pima_data!$B$1:$B$768))/(MAX(pima_data!$B$1:$B$768)-MIN(pima_data!$B$1:$B$768))</f>
        <v>0.512562814070352</v>
      </c>
      <c r="C146" s="5">
        <f>(pima_data!C146-MIN(pima_data!$C$1:$C$768))/(MAX(pima_data!$C$1:$C$768)-MIN(pima_data!$C$1:$C$768))</f>
        <v>0.614754098360656</v>
      </c>
      <c r="D146" s="5">
        <f>(pima_data!D146-MIN(pima_data!$D$1:$D$768))/(MAX(pima_data!$D$1:$D$768)-MIN(pima_data!$D$1:$D$768))</f>
        <v>0.232323232323232</v>
      </c>
      <c r="E146" s="5">
        <f>(pima_data!E146-MIN(pima_data!$E$1:$E$768))/(MAX(pima_data!$E$1:$E$768)-MIN(pima_data!$E$1:$E$768))</f>
        <v>0</v>
      </c>
      <c r="F146" s="5">
        <f>(pima_data!F146-MIN(pima_data!$F$1:$F$768))/(MAX(pima_data!$F$1:$F$768)-MIN(pima_data!$F$1:$F$768))</f>
        <v>0</v>
      </c>
      <c r="G146" s="5">
        <f>(pima_data!G146-MIN(pima_data!$G$1:$G$768))/(MAX(pima_data!$G$1:$G$768)-MIN(pima_data!$G$1:$G$768))</f>
        <v>0.210930828351836</v>
      </c>
      <c r="H146" s="5">
        <f>(pima_data!H146-MIN(pima_data!$H$1:$H$768))/(MAX(pima_data!$H$1:$H$768)-MIN(pima_data!$H$1:$H$768))</f>
        <v>0</v>
      </c>
    </row>
    <row r="147" spans="1:8">
      <c r="A147" s="5">
        <f>(pima_data!A147-MIN(pima_data!$A$1:$A$768))/(MAX(pima_data!$A$1:$A$768)-MIN(pima_data!$A$1:$A$768))</f>
        <v>0.529411764705882</v>
      </c>
      <c r="B147" s="5">
        <f>(pima_data!B147-MIN(pima_data!$B$1:$B$768))/(MAX(pima_data!$B$1:$B$768)-MIN(pima_data!$B$1:$B$768))</f>
        <v>0.28643216080402</v>
      </c>
      <c r="C147" s="5">
        <f>(pima_data!C147-MIN(pima_data!$C$1:$C$768))/(MAX(pima_data!$C$1:$C$768)-MIN(pima_data!$C$1:$C$768))</f>
        <v>0.655737704918033</v>
      </c>
      <c r="D147" s="5">
        <f>(pima_data!D147-MIN(pima_data!$D$1:$D$768))/(MAX(pima_data!$D$1:$D$768)-MIN(pima_data!$D$1:$D$768))</f>
        <v>0.373737373737374</v>
      </c>
      <c r="E147" s="5">
        <f>(pima_data!E147-MIN(pima_data!$E$1:$E$768))/(MAX(pima_data!$E$1:$E$768)-MIN(pima_data!$E$1:$E$768))</f>
        <v>0</v>
      </c>
      <c r="F147" s="5">
        <f>(pima_data!F147-MIN(pima_data!$F$1:$F$768))/(MAX(pima_data!$F$1:$F$768)-MIN(pima_data!$F$1:$F$768))</f>
        <v>0.488822652757079</v>
      </c>
      <c r="G147" s="5">
        <f>(pima_data!G147-MIN(pima_data!$G$1:$G$768))/(MAX(pima_data!$G$1:$G$768)-MIN(pima_data!$G$1:$G$768))</f>
        <v>0.00768573868488471</v>
      </c>
      <c r="H147" s="5">
        <f>(pima_data!H147-MIN(pima_data!$H$1:$H$768))/(MAX(pima_data!$H$1:$H$768)-MIN(pima_data!$H$1:$H$768))</f>
        <v>0.333333333333333</v>
      </c>
    </row>
    <row r="148" spans="1:8">
      <c r="A148" s="5">
        <f>(pima_data!A148-MIN(pima_data!$A$1:$A$768))/(MAX(pima_data!$A$1:$A$768)-MIN(pima_data!$A$1:$A$768))</f>
        <v>0.117647058823529</v>
      </c>
      <c r="B148" s="5">
        <f>(pima_data!B148-MIN(pima_data!$B$1:$B$768))/(MAX(pima_data!$B$1:$B$768)-MIN(pima_data!$B$1:$B$768))</f>
        <v>0.532663316582915</v>
      </c>
      <c r="C148" s="5">
        <f>(pima_data!C148-MIN(pima_data!$C$1:$C$768))/(MAX(pima_data!$C$1:$C$768)-MIN(pima_data!$C$1:$C$768))</f>
        <v>0.524590163934426</v>
      </c>
      <c r="D148" s="5">
        <f>(pima_data!D148-MIN(pima_data!$D$1:$D$768))/(MAX(pima_data!$D$1:$D$768)-MIN(pima_data!$D$1:$D$768))</f>
        <v>0.353535353535354</v>
      </c>
      <c r="E148" s="5">
        <f>(pima_data!E148-MIN(pima_data!$E$1:$E$768))/(MAX(pima_data!$E$1:$E$768)-MIN(pima_data!$E$1:$E$768))</f>
        <v>0.140661938534279</v>
      </c>
      <c r="F148" s="5">
        <f>(pima_data!F148-MIN(pima_data!$F$1:$F$768))/(MAX(pima_data!$F$1:$F$768)-MIN(pima_data!$F$1:$F$768))</f>
        <v>0.454545454545455</v>
      </c>
      <c r="G148" s="5">
        <f>(pima_data!G148-MIN(pima_data!$G$1:$G$768))/(MAX(pima_data!$G$1:$G$768)-MIN(pima_data!$G$1:$G$768))</f>
        <v>0.564474807856533</v>
      </c>
      <c r="H148" s="5">
        <f>(pima_data!H148-MIN(pima_data!$H$1:$H$768))/(MAX(pima_data!$H$1:$H$768)-MIN(pima_data!$H$1:$H$768))</f>
        <v>0.216666666666667</v>
      </c>
    </row>
    <row r="149" spans="1:8">
      <c r="A149" s="5">
        <f>(pima_data!A149-MIN(pima_data!$A$1:$A$768))/(MAX(pima_data!$A$1:$A$768)-MIN(pima_data!$A$1:$A$768))</f>
        <v>0.294117647058824</v>
      </c>
      <c r="B149" s="5">
        <f>(pima_data!B149-MIN(pima_data!$B$1:$B$768))/(MAX(pima_data!$B$1:$B$768)-MIN(pima_data!$B$1:$B$768))</f>
        <v>0.738693467336683</v>
      </c>
      <c r="C149" s="5">
        <f>(pima_data!C149-MIN(pima_data!$C$1:$C$768))/(MAX(pima_data!$C$1:$C$768)-MIN(pima_data!$C$1:$C$768))</f>
        <v>0.639344262295082</v>
      </c>
      <c r="D149" s="5">
        <f>(pima_data!D149-MIN(pima_data!$D$1:$D$768))/(MAX(pima_data!$D$1:$D$768)-MIN(pima_data!$D$1:$D$768))</f>
        <v>0</v>
      </c>
      <c r="E149" s="5">
        <f>(pima_data!E149-MIN(pima_data!$E$1:$E$768))/(MAX(pima_data!$E$1:$E$768)-MIN(pima_data!$E$1:$E$768))</f>
        <v>0</v>
      </c>
      <c r="F149" s="5">
        <f>(pima_data!F149-MIN(pima_data!$F$1:$F$768))/(MAX(pima_data!$F$1:$F$768)-MIN(pima_data!$F$1:$F$768))</f>
        <v>0.502235469448584</v>
      </c>
      <c r="G149" s="5">
        <f>(pima_data!G149-MIN(pima_data!$G$1:$G$768))/(MAX(pima_data!$G$1:$G$768)-MIN(pima_data!$G$1:$G$768))</f>
        <v>0.0597779675491033</v>
      </c>
      <c r="H149" s="5">
        <f>(pima_data!H149-MIN(pima_data!$H$1:$H$768))/(MAX(pima_data!$H$1:$H$768)-MIN(pima_data!$H$1:$H$768))</f>
        <v>0.733333333333333</v>
      </c>
    </row>
    <row r="150" spans="1:8">
      <c r="A150" s="5">
        <f>(pima_data!A150-MIN(pima_data!$A$1:$A$768))/(MAX(pima_data!$A$1:$A$768)-MIN(pima_data!$A$1:$A$768))</f>
        <v>0.117647058823529</v>
      </c>
      <c r="B150" s="5">
        <f>(pima_data!B150-MIN(pima_data!$B$1:$B$768))/(MAX(pima_data!$B$1:$B$768)-MIN(pima_data!$B$1:$B$768))</f>
        <v>0.452261306532663</v>
      </c>
      <c r="C150" s="5">
        <f>(pima_data!C150-MIN(pima_data!$C$1:$C$768))/(MAX(pima_data!$C$1:$C$768)-MIN(pima_data!$C$1:$C$768))</f>
        <v>0.573770491803279</v>
      </c>
      <c r="D150" s="5">
        <f>(pima_data!D150-MIN(pima_data!$D$1:$D$768))/(MAX(pima_data!$D$1:$D$768)-MIN(pima_data!$D$1:$D$768))</f>
        <v>0.171717171717172</v>
      </c>
      <c r="E150" s="5">
        <f>(pima_data!E150-MIN(pima_data!$E$1:$E$768))/(MAX(pima_data!$E$1:$E$768)-MIN(pima_data!$E$1:$E$768))</f>
        <v>0</v>
      </c>
      <c r="F150" s="5">
        <f>(pima_data!F150-MIN(pima_data!$F$1:$F$768))/(MAX(pima_data!$F$1:$F$768)-MIN(pima_data!$F$1:$F$768))</f>
        <v>0.406855439642325</v>
      </c>
      <c r="G150" s="5">
        <f>(pima_data!G150-MIN(pima_data!$G$1:$G$768))/(MAX(pima_data!$G$1:$G$768)-MIN(pima_data!$G$1:$G$768))</f>
        <v>0.00298889837745517</v>
      </c>
      <c r="H150" s="5">
        <f>(pima_data!H150-MIN(pima_data!$H$1:$H$768))/(MAX(pima_data!$H$1:$H$768)-MIN(pima_data!$H$1:$H$768))</f>
        <v>0.0166666666666667</v>
      </c>
    </row>
    <row r="151" spans="1:8">
      <c r="A151" s="5">
        <f>(pima_data!A151-MIN(pima_data!$A$1:$A$768))/(MAX(pima_data!$A$1:$A$768)-MIN(pima_data!$A$1:$A$768))</f>
        <v>0.0588235294117647</v>
      </c>
      <c r="B151" s="5">
        <f>(pima_data!B151-MIN(pima_data!$B$1:$B$768))/(MAX(pima_data!$B$1:$B$768)-MIN(pima_data!$B$1:$B$768))</f>
        <v>0.683417085427136</v>
      </c>
      <c r="C151" s="5">
        <f>(pima_data!C151-MIN(pima_data!$C$1:$C$768))/(MAX(pima_data!$C$1:$C$768)-MIN(pima_data!$C$1:$C$768))</f>
        <v>0.60655737704918</v>
      </c>
      <c r="D151" s="5">
        <f>(pima_data!D151-MIN(pima_data!$D$1:$D$768))/(MAX(pima_data!$D$1:$D$768)-MIN(pima_data!$D$1:$D$768))</f>
        <v>0.505050505050505</v>
      </c>
      <c r="E151" s="5">
        <f>(pima_data!E151-MIN(pima_data!$E$1:$E$768))/(MAX(pima_data!$E$1:$E$768)-MIN(pima_data!$E$1:$E$768))</f>
        <v>0.24113475177305</v>
      </c>
      <c r="F151" s="5">
        <f>(pima_data!F151-MIN(pima_data!$F$1:$F$768))/(MAX(pima_data!$F$1:$F$768)-MIN(pima_data!$F$1:$F$768))</f>
        <v>0.557377049180328</v>
      </c>
      <c r="G151" s="5">
        <f>(pima_data!G151-MIN(pima_data!$G$1:$G$768))/(MAX(pima_data!$G$1:$G$768)-MIN(pima_data!$G$1:$G$768))</f>
        <v>0.137062339880444</v>
      </c>
      <c r="H151" s="5">
        <f>(pima_data!H151-MIN(pima_data!$H$1:$H$768))/(MAX(pima_data!$H$1:$H$768)-MIN(pima_data!$H$1:$H$768))</f>
        <v>0.05</v>
      </c>
    </row>
    <row r="152" spans="1:8">
      <c r="A152" s="5">
        <f>(pima_data!A152-MIN(pima_data!$A$1:$A$768))/(MAX(pima_data!$A$1:$A$768)-MIN(pima_data!$A$1:$A$768))</f>
        <v>0.235294117647059</v>
      </c>
      <c r="B152" s="5">
        <f>(pima_data!B152-MIN(pima_data!$B$1:$B$768))/(MAX(pima_data!$B$1:$B$768)-MIN(pima_data!$B$1:$B$768))</f>
        <v>0.57286432160804</v>
      </c>
      <c r="C152" s="5">
        <f>(pima_data!C152-MIN(pima_data!$C$1:$C$768))/(MAX(pima_data!$C$1:$C$768)-MIN(pima_data!$C$1:$C$768))</f>
        <v>0.532786885245902</v>
      </c>
      <c r="D152" s="5">
        <f>(pima_data!D152-MIN(pima_data!$D$1:$D$768))/(MAX(pima_data!$D$1:$D$768)-MIN(pima_data!$D$1:$D$768))</f>
        <v>0</v>
      </c>
      <c r="E152" s="5">
        <f>(pima_data!E152-MIN(pima_data!$E$1:$E$768))/(MAX(pima_data!$E$1:$E$768)-MIN(pima_data!$E$1:$E$768))</f>
        <v>0</v>
      </c>
      <c r="F152" s="5">
        <f>(pima_data!F152-MIN(pima_data!$F$1:$F$768))/(MAX(pima_data!$F$1:$F$768)-MIN(pima_data!$F$1:$F$768))</f>
        <v>0.326378539493294</v>
      </c>
      <c r="G152" s="5">
        <f>(pima_data!G152-MIN(pima_data!$G$1:$G$768))/(MAX(pima_data!$G$1:$G$768)-MIN(pima_data!$G$1:$G$768))</f>
        <v>0.151152860802733</v>
      </c>
      <c r="H152" s="5">
        <f>(pima_data!H152-MIN(pima_data!$H$1:$H$768))/(MAX(pima_data!$H$1:$H$768)-MIN(pima_data!$H$1:$H$768))</f>
        <v>0.266666666666667</v>
      </c>
    </row>
    <row r="153" spans="1:8">
      <c r="A153" s="5">
        <f>(pima_data!A153-MIN(pima_data!$A$1:$A$768))/(MAX(pima_data!$A$1:$A$768)-MIN(pima_data!$A$1:$A$768))</f>
        <v>0.529411764705882</v>
      </c>
      <c r="B153" s="5">
        <f>(pima_data!B153-MIN(pima_data!$B$1:$B$768))/(MAX(pima_data!$B$1:$B$768)-MIN(pima_data!$B$1:$B$768))</f>
        <v>0.78391959798995</v>
      </c>
      <c r="C153" s="5">
        <f>(pima_data!C153-MIN(pima_data!$C$1:$C$768))/(MAX(pima_data!$C$1:$C$768)-MIN(pima_data!$C$1:$C$768))</f>
        <v>0.704918032786885</v>
      </c>
      <c r="D153" s="5">
        <f>(pima_data!D153-MIN(pima_data!$D$1:$D$768))/(MAX(pima_data!$D$1:$D$768)-MIN(pima_data!$D$1:$D$768))</f>
        <v>0.282828282828283</v>
      </c>
      <c r="E153" s="5">
        <f>(pima_data!E153-MIN(pima_data!$E$1:$E$768))/(MAX(pima_data!$E$1:$E$768)-MIN(pima_data!$E$1:$E$768))</f>
        <v>0.183215130023641</v>
      </c>
      <c r="F153" s="5">
        <f>(pima_data!F153-MIN(pima_data!$F$1:$F$768))/(MAX(pima_data!$F$1:$F$768)-MIN(pima_data!$F$1:$F$768))</f>
        <v>0.511177347242921</v>
      </c>
      <c r="G153" s="5">
        <f>(pima_data!G153-MIN(pima_data!$G$1:$G$768))/(MAX(pima_data!$G$1:$G$768)-MIN(pima_data!$G$1:$G$768))</f>
        <v>0.474380871050384</v>
      </c>
      <c r="H153" s="5">
        <f>(pima_data!H153-MIN(pima_data!$H$1:$H$768))/(MAX(pima_data!$H$1:$H$768)-MIN(pima_data!$H$1:$H$768))</f>
        <v>0.35</v>
      </c>
    </row>
    <row r="154" spans="1:8">
      <c r="A154" s="5">
        <f>(pima_data!A154-MIN(pima_data!$A$1:$A$768))/(MAX(pima_data!$A$1:$A$768)-MIN(pima_data!$A$1:$A$768))</f>
        <v>0.0588235294117647</v>
      </c>
      <c r="B154" s="5">
        <f>(pima_data!B154-MIN(pima_data!$B$1:$B$768))/(MAX(pima_data!$B$1:$B$768)-MIN(pima_data!$B$1:$B$768))</f>
        <v>0.768844221105528</v>
      </c>
      <c r="C154" s="5">
        <f>(pima_data!C154-MIN(pima_data!$C$1:$C$768))/(MAX(pima_data!$C$1:$C$768)-MIN(pima_data!$C$1:$C$768))</f>
        <v>0.672131147540984</v>
      </c>
      <c r="D154" s="5">
        <f>(pima_data!D154-MIN(pima_data!$D$1:$D$768))/(MAX(pima_data!$D$1:$D$768)-MIN(pima_data!$D$1:$D$768))</f>
        <v>0.424242424242424</v>
      </c>
      <c r="E154" s="5">
        <f>(pima_data!E154-MIN(pima_data!$E$1:$E$768))/(MAX(pima_data!$E$1:$E$768)-MIN(pima_data!$E$1:$E$768))</f>
        <v>0.573286052009456</v>
      </c>
      <c r="F154" s="5">
        <f>(pima_data!F154-MIN(pima_data!$F$1:$F$768))/(MAX(pima_data!$F$1:$F$768)-MIN(pima_data!$F$1:$F$768))</f>
        <v>0.605067064083458</v>
      </c>
      <c r="G154" s="5">
        <f>(pima_data!G154-MIN(pima_data!$G$1:$G$768))/(MAX(pima_data!$G$1:$G$768)-MIN(pima_data!$G$1:$G$768))</f>
        <v>0.2600341588386</v>
      </c>
      <c r="H154" s="5">
        <f>(pima_data!H154-MIN(pima_data!$H$1:$H$768))/(MAX(pima_data!$H$1:$H$768)-MIN(pima_data!$H$1:$H$768))</f>
        <v>0.0333333333333333</v>
      </c>
    </row>
    <row r="155" spans="1:8">
      <c r="A155" s="5">
        <f>(pima_data!A155-MIN(pima_data!$A$1:$A$768))/(MAX(pima_data!$A$1:$A$768)-MIN(pima_data!$A$1:$A$768))</f>
        <v>0.470588235294118</v>
      </c>
      <c r="B155" s="5">
        <f>(pima_data!B155-MIN(pima_data!$B$1:$B$768))/(MAX(pima_data!$B$1:$B$768)-MIN(pima_data!$B$1:$B$768))</f>
        <v>0.944723618090452</v>
      </c>
      <c r="C155" s="5">
        <f>(pima_data!C155-MIN(pima_data!$C$1:$C$768))/(MAX(pima_data!$C$1:$C$768)-MIN(pima_data!$C$1:$C$768))</f>
        <v>0.639344262295082</v>
      </c>
      <c r="D155" s="5">
        <f>(pima_data!D155-MIN(pima_data!$D$1:$D$768))/(MAX(pima_data!$D$1:$D$768)-MIN(pima_data!$D$1:$D$768))</f>
        <v>0</v>
      </c>
      <c r="E155" s="5">
        <f>(pima_data!E155-MIN(pima_data!$E$1:$E$768))/(MAX(pima_data!$E$1:$E$768)-MIN(pima_data!$E$1:$E$768))</f>
        <v>0</v>
      </c>
      <c r="F155" s="5">
        <f>(pima_data!F155-MIN(pima_data!$F$1:$F$768))/(MAX(pima_data!$F$1:$F$768)-MIN(pima_data!$F$1:$F$768))</f>
        <v>0.713859910581222</v>
      </c>
      <c r="G155" s="5">
        <f>(pima_data!G155-MIN(pima_data!$G$1:$G$768))/(MAX(pima_data!$G$1:$G$768)-MIN(pima_data!$G$1:$G$768))</f>
        <v>0.0251921434671221</v>
      </c>
      <c r="H155" s="5">
        <f>(pima_data!H155-MIN(pima_data!$H$1:$H$768))/(MAX(pima_data!$H$1:$H$768)-MIN(pima_data!$H$1:$H$768))</f>
        <v>0.366666666666667</v>
      </c>
    </row>
    <row r="156" spans="1:8">
      <c r="A156" s="5">
        <f>(pima_data!A156-MIN(pima_data!$A$1:$A$768))/(MAX(pima_data!$A$1:$A$768)-MIN(pima_data!$A$1:$A$768))</f>
        <v>0.411764705882353</v>
      </c>
      <c r="B156" s="5">
        <f>(pima_data!B156-MIN(pima_data!$B$1:$B$768))/(MAX(pima_data!$B$1:$B$768)-MIN(pima_data!$B$1:$B$768))</f>
        <v>0.763819095477387</v>
      </c>
      <c r="C156" s="5">
        <f>(pima_data!C156-MIN(pima_data!$C$1:$C$768))/(MAX(pima_data!$C$1:$C$768)-MIN(pima_data!$C$1:$C$768))</f>
        <v>0.721311475409836</v>
      </c>
      <c r="D156" s="5">
        <f>(pima_data!D156-MIN(pima_data!$D$1:$D$768))/(MAX(pima_data!$D$1:$D$768)-MIN(pima_data!$D$1:$D$768))</f>
        <v>0.444444444444444</v>
      </c>
      <c r="E156" s="5">
        <f>(pima_data!E156-MIN(pima_data!$E$1:$E$768))/(MAX(pima_data!$E$1:$E$768)-MIN(pima_data!$E$1:$E$768))</f>
        <v>0</v>
      </c>
      <c r="F156" s="5">
        <f>(pima_data!F156-MIN(pima_data!$F$1:$F$768))/(MAX(pima_data!$F$1:$F$768)-MIN(pima_data!$F$1:$F$768))</f>
        <v>0.745156482861401</v>
      </c>
      <c r="G156" s="5">
        <f>(pima_data!G156-MIN(pima_data!$G$1:$G$768))/(MAX(pima_data!$G$1:$G$768)-MIN(pima_data!$G$1:$G$768))</f>
        <v>0.110589239965841</v>
      </c>
      <c r="H156" s="5">
        <f>(pima_data!H156-MIN(pima_data!$H$1:$H$768))/(MAX(pima_data!$H$1:$H$768)-MIN(pima_data!$H$1:$H$768))</f>
        <v>0.25</v>
      </c>
    </row>
    <row r="157" spans="1:8">
      <c r="A157" s="5">
        <f>(pima_data!A157-MIN(pima_data!$A$1:$A$768))/(MAX(pima_data!$A$1:$A$768)-MIN(pima_data!$A$1:$A$768))</f>
        <v>0.117647058823529</v>
      </c>
      <c r="B157" s="5">
        <f>(pima_data!B157-MIN(pima_data!$B$1:$B$768))/(MAX(pima_data!$B$1:$B$768)-MIN(pima_data!$B$1:$B$768))</f>
        <v>0.49748743718593</v>
      </c>
      <c r="C157" s="5">
        <f>(pima_data!C157-MIN(pima_data!$C$1:$C$768))/(MAX(pima_data!$C$1:$C$768)-MIN(pima_data!$C$1:$C$768))</f>
        <v>0.426229508196721</v>
      </c>
      <c r="D157" s="5">
        <f>(pima_data!D157-MIN(pima_data!$D$1:$D$768))/(MAX(pima_data!$D$1:$D$768)-MIN(pima_data!$D$1:$D$768))</f>
        <v>0.151515151515152</v>
      </c>
      <c r="E157" s="5">
        <f>(pima_data!E157-MIN(pima_data!$E$1:$E$768))/(MAX(pima_data!$E$1:$E$768)-MIN(pima_data!$E$1:$E$768))</f>
        <v>0.111111111111111</v>
      </c>
      <c r="F157" s="5">
        <f>(pima_data!F157-MIN(pima_data!$F$1:$F$768))/(MAX(pima_data!$F$1:$F$768)-MIN(pima_data!$F$1:$F$768))</f>
        <v>0.366616989567809</v>
      </c>
      <c r="G157" s="5">
        <f>(pima_data!G157-MIN(pima_data!$G$1:$G$768))/(MAX(pima_data!$G$1:$G$768)-MIN(pima_data!$G$1:$G$768))</f>
        <v>0.23868488471392</v>
      </c>
      <c r="H157" s="5">
        <f>(pima_data!H157-MIN(pima_data!$H$1:$H$768))/(MAX(pima_data!$H$1:$H$768)-MIN(pima_data!$H$1:$H$768))</f>
        <v>0</v>
      </c>
    </row>
    <row r="158" spans="1:8">
      <c r="A158" s="5">
        <f>(pima_data!A158-MIN(pima_data!$A$1:$A$768))/(MAX(pima_data!$A$1:$A$768)-MIN(pima_data!$A$1:$A$768))</f>
        <v>0.0588235294117647</v>
      </c>
      <c r="B158" s="5">
        <f>(pima_data!B158-MIN(pima_data!$B$1:$B$768))/(MAX(pima_data!$B$1:$B$768)-MIN(pima_data!$B$1:$B$768))</f>
        <v>0.547738693467337</v>
      </c>
      <c r="C158" s="5">
        <f>(pima_data!C158-MIN(pima_data!$C$1:$C$768))/(MAX(pima_data!$C$1:$C$768)-MIN(pima_data!$C$1:$C$768))</f>
        <v>0.459016393442623</v>
      </c>
      <c r="D158" s="5">
        <f>(pima_data!D158-MIN(pima_data!$D$1:$D$768))/(MAX(pima_data!$D$1:$D$768)-MIN(pima_data!$D$1:$D$768))</f>
        <v>0.212121212121212</v>
      </c>
      <c r="E158" s="5">
        <f>(pima_data!E158-MIN(pima_data!$E$1:$E$768))/(MAX(pima_data!$E$1:$E$768)-MIN(pima_data!$E$1:$E$768))</f>
        <v>0.159574468085106</v>
      </c>
      <c r="F158" s="5">
        <f>(pima_data!F158-MIN(pima_data!$F$1:$F$768))/(MAX(pima_data!$F$1:$F$768)-MIN(pima_data!$F$1:$F$768))</f>
        <v>0.375558867362146</v>
      </c>
      <c r="G158" s="5">
        <f>(pima_data!G158-MIN(pima_data!$G$1:$G$768))/(MAX(pima_data!$G$1:$G$768)-MIN(pima_data!$G$1:$G$768))</f>
        <v>0.322374039282664</v>
      </c>
      <c r="H158" s="5">
        <f>(pima_data!H158-MIN(pima_data!$H$1:$H$768))/(MAX(pima_data!$H$1:$H$768)-MIN(pima_data!$H$1:$H$768))</f>
        <v>0.0333333333333333</v>
      </c>
    </row>
    <row r="159" spans="1:8">
      <c r="A159" s="5">
        <f>(pima_data!A159-MIN(pima_data!$A$1:$A$768))/(MAX(pima_data!$A$1:$A$768)-MIN(pima_data!$A$1:$A$768))</f>
        <v>0.117647058823529</v>
      </c>
      <c r="B159" s="5">
        <f>(pima_data!B159-MIN(pima_data!$B$1:$B$768))/(MAX(pima_data!$B$1:$B$768)-MIN(pima_data!$B$1:$B$768))</f>
        <v>0.442211055276382</v>
      </c>
      <c r="C159" s="5">
        <f>(pima_data!C159-MIN(pima_data!$C$1:$C$768))/(MAX(pima_data!$C$1:$C$768)-MIN(pima_data!$C$1:$C$768))</f>
        <v>0.60655737704918</v>
      </c>
      <c r="D159" s="5">
        <f>(pima_data!D159-MIN(pima_data!$D$1:$D$768))/(MAX(pima_data!$D$1:$D$768)-MIN(pima_data!$D$1:$D$768))</f>
        <v>0.191919191919192</v>
      </c>
      <c r="E159" s="5">
        <f>(pima_data!E159-MIN(pima_data!$E$1:$E$768))/(MAX(pima_data!$E$1:$E$768)-MIN(pima_data!$E$1:$E$768))</f>
        <v>0.0626477541371158</v>
      </c>
      <c r="F159" s="5">
        <f>(pima_data!F159-MIN(pima_data!$F$1:$F$768))/(MAX(pima_data!$F$1:$F$768)-MIN(pima_data!$F$1:$F$768))</f>
        <v>0.432190760059613</v>
      </c>
      <c r="G159" s="5">
        <f>(pima_data!G159-MIN(pima_data!$G$1:$G$768))/(MAX(pima_data!$G$1:$G$768)-MIN(pima_data!$G$1:$G$768))</f>
        <v>0.0644748078565329</v>
      </c>
      <c r="H159" s="5">
        <f>(pima_data!H159-MIN(pima_data!$H$1:$H$768))/(MAX(pima_data!$H$1:$H$768)-MIN(pima_data!$H$1:$H$768))</f>
        <v>0.0166666666666667</v>
      </c>
    </row>
    <row r="160" spans="1:8">
      <c r="A160" s="5">
        <f>(pima_data!A160-MIN(pima_data!$A$1:$A$768))/(MAX(pima_data!$A$1:$A$768)-MIN(pima_data!$A$1:$A$768))</f>
        <v>1</v>
      </c>
      <c r="B160" s="5">
        <f>(pima_data!B160-MIN(pima_data!$B$1:$B$768))/(MAX(pima_data!$B$1:$B$768)-MIN(pima_data!$B$1:$B$768))</f>
        <v>0.819095477386935</v>
      </c>
      <c r="C160" s="5">
        <f>(pima_data!C160-MIN(pima_data!$C$1:$C$768))/(MAX(pima_data!$C$1:$C$768)-MIN(pima_data!$C$1:$C$768))</f>
        <v>0.590163934426229</v>
      </c>
      <c r="D160" s="5">
        <f>(pima_data!D160-MIN(pima_data!$D$1:$D$768))/(MAX(pima_data!$D$1:$D$768)-MIN(pima_data!$D$1:$D$768))</f>
        <v>0.414141414141414</v>
      </c>
      <c r="E160" s="5">
        <f>(pima_data!E160-MIN(pima_data!$E$1:$E$768))/(MAX(pima_data!$E$1:$E$768)-MIN(pima_data!$E$1:$E$768))</f>
        <v>0.134751773049645</v>
      </c>
      <c r="F160" s="5">
        <f>(pima_data!F160-MIN(pima_data!$F$1:$F$768))/(MAX(pima_data!$F$1:$F$768)-MIN(pima_data!$F$1:$F$768))</f>
        <v>0.609538002980626</v>
      </c>
      <c r="G160" s="5">
        <f>(pima_data!G160-MIN(pima_data!$G$1:$G$768))/(MAX(pima_data!$G$1:$G$768)-MIN(pima_data!$G$1:$G$768))</f>
        <v>0.315542271562767</v>
      </c>
      <c r="H160" s="5">
        <f>(pima_data!H160-MIN(pima_data!$H$1:$H$768))/(MAX(pima_data!$H$1:$H$768)-MIN(pima_data!$H$1:$H$768))</f>
        <v>0.433333333333333</v>
      </c>
    </row>
    <row r="161" spans="1:8">
      <c r="A161" s="5">
        <f>(pima_data!A161-MIN(pima_data!$A$1:$A$768))/(MAX(pima_data!$A$1:$A$768)-MIN(pima_data!$A$1:$A$768))</f>
        <v>0.235294117647059</v>
      </c>
      <c r="B161" s="5">
        <f>(pima_data!B161-MIN(pima_data!$B$1:$B$768))/(MAX(pima_data!$B$1:$B$768)-MIN(pima_data!$B$1:$B$768))</f>
        <v>0.758793969849246</v>
      </c>
      <c r="C161" s="5">
        <f>(pima_data!C161-MIN(pima_data!$C$1:$C$768))/(MAX(pima_data!$C$1:$C$768)-MIN(pima_data!$C$1:$C$768))</f>
        <v>0.737704918032787</v>
      </c>
      <c r="D161" s="5">
        <f>(pima_data!D161-MIN(pima_data!$D$1:$D$768))/(MAX(pima_data!$D$1:$D$768)-MIN(pima_data!$D$1:$D$768))</f>
        <v>0.383838383838384</v>
      </c>
      <c r="E161" s="5">
        <f>(pima_data!E161-MIN(pima_data!$E$1:$E$768))/(MAX(pima_data!$E$1:$E$768)-MIN(pima_data!$E$1:$E$768))</f>
        <v>0</v>
      </c>
      <c r="F161" s="5">
        <f>(pima_data!F161-MIN(pima_data!$F$1:$F$768))/(MAX(pima_data!$F$1:$F$768)-MIN(pima_data!$F$1:$F$768))</f>
        <v>0.442622950819672</v>
      </c>
      <c r="G161" s="5">
        <f>(pima_data!G161-MIN(pima_data!$G$1:$G$768))/(MAX(pima_data!$G$1:$G$768)-MIN(pima_data!$G$1:$G$768))</f>
        <v>0.0922288642186165</v>
      </c>
      <c r="H161" s="5">
        <f>(pima_data!H161-MIN(pima_data!$H$1:$H$768))/(MAX(pima_data!$H$1:$H$768)-MIN(pima_data!$H$1:$H$768))</f>
        <v>0.25</v>
      </c>
    </row>
    <row r="162" spans="1:8">
      <c r="A162" s="5">
        <f>(pima_data!A162-MIN(pima_data!$A$1:$A$768))/(MAX(pima_data!$A$1:$A$768)-MIN(pima_data!$A$1:$A$768))</f>
        <v>0.411764705882353</v>
      </c>
      <c r="B162" s="5">
        <f>(pima_data!B162-MIN(pima_data!$B$1:$B$768))/(MAX(pima_data!$B$1:$B$768)-MIN(pima_data!$B$1:$B$768))</f>
        <v>0.512562814070352</v>
      </c>
      <c r="C162" s="5">
        <f>(pima_data!C162-MIN(pima_data!$C$1:$C$768))/(MAX(pima_data!$C$1:$C$768)-MIN(pima_data!$C$1:$C$768))</f>
        <v>0.60655737704918</v>
      </c>
      <c r="D162" s="5">
        <f>(pima_data!D162-MIN(pima_data!$D$1:$D$768))/(MAX(pima_data!$D$1:$D$768)-MIN(pima_data!$D$1:$D$768))</f>
        <v>0.404040404040404</v>
      </c>
      <c r="E162" s="5">
        <f>(pima_data!E162-MIN(pima_data!$E$1:$E$768))/(MAX(pima_data!$E$1:$E$768)-MIN(pima_data!$E$1:$E$768))</f>
        <v>0.124113475177305</v>
      </c>
      <c r="F162" s="5">
        <f>(pima_data!F162-MIN(pima_data!$F$1:$F$768))/(MAX(pima_data!$F$1:$F$768)-MIN(pima_data!$F$1:$F$768))</f>
        <v>0.554396423248882</v>
      </c>
      <c r="G162" s="5">
        <f>(pima_data!G162-MIN(pima_data!$G$1:$G$768))/(MAX(pima_data!$G$1:$G$768)-MIN(pima_data!$G$1:$G$768))</f>
        <v>0.053800170794193</v>
      </c>
      <c r="H162" s="5">
        <f>(pima_data!H162-MIN(pima_data!$H$1:$H$768))/(MAX(pima_data!$H$1:$H$768)-MIN(pima_data!$H$1:$H$768))</f>
        <v>0.4</v>
      </c>
    </row>
    <row r="163" spans="1:8">
      <c r="A163" s="5">
        <f>(pima_data!A163-MIN(pima_data!$A$1:$A$768))/(MAX(pima_data!$A$1:$A$768)-MIN(pima_data!$A$1:$A$768))</f>
        <v>0</v>
      </c>
      <c r="B163" s="5">
        <f>(pima_data!B163-MIN(pima_data!$B$1:$B$768))/(MAX(pima_data!$B$1:$B$768)-MIN(pima_data!$B$1:$B$768))</f>
        <v>0.57286432160804</v>
      </c>
      <c r="C163" s="5">
        <f>(pima_data!C163-MIN(pima_data!$C$1:$C$768))/(MAX(pima_data!$C$1:$C$768)-MIN(pima_data!$C$1:$C$768))</f>
        <v>0.655737704918033</v>
      </c>
      <c r="D163" s="5">
        <f>(pima_data!D163-MIN(pima_data!$D$1:$D$768))/(MAX(pima_data!$D$1:$D$768)-MIN(pima_data!$D$1:$D$768))</f>
        <v>0.343434343434343</v>
      </c>
      <c r="E163" s="5">
        <f>(pima_data!E163-MIN(pima_data!$E$1:$E$768))/(MAX(pima_data!$E$1:$E$768)-MIN(pima_data!$E$1:$E$768))</f>
        <v>0.336879432624113</v>
      </c>
      <c r="F163" s="5">
        <f>(pima_data!F163-MIN(pima_data!$F$1:$F$768))/(MAX(pima_data!$F$1:$F$768)-MIN(pima_data!$F$1:$F$768))</f>
        <v>0.658718330849479</v>
      </c>
      <c r="G163" s="5">
        <f>(pima_data!G163-MIN(pima_data!$G$1:$G$768))/(MAX(pima_data!$G$1:$G$768)-MIN(pima_data!$G$1:$G$768))</f>
        <v>0.03800170794193</v>
      </c>
      <c r="H163" s="5">
        <f>(pima_data!H163-MIN(pima_data!$H$1:$H$768))/(MAX(pima_data!$H$1:$H$768)-MIN(pima_data!$H$1:$H$768))</f>
        <v>0.1</v>
      </c>
    </row>
    <row r="164" spans="1:8">
      <c r="A164" s="5">
        <f>(pima_data!A164-MIN(pima_data!$A$1:$A$768))/(MAX(pima_data!$A$1:$A$768)-MIN(pima_data!$A$1:$A$768))</f>
        <v>0.117647058823529</v>
      </c>
      <c r="B164" s="5">
        <f>(pima_data!B164-MIN(pima_data!$B$1:$B$768))/(MAX(pima_data!$B$1:$B$768)-MIN(pima_data!$B$1:$B$768))</f>
        <v>0.50251256281407</v>
      </c>
      <c r="C164" s="5">
        <f>(pima_data!C164-MIN(pima_data!$C$1:$C$768))/(MAX(pima_data!$C$1:$C$768)-MIN(pima_data!$C$1:$C$768))</f>
        <v>0.524590163934426</v>
      </c>
      <c r="D164" s="5">
        <f>(pima_data!D164-MIN(pima_data!$D$1:$D$768))/(MAX(pima_data!$D$1:$D$768)-MIN(pima_data!$D$1:$D$768))</f>
        <v>0.232323232323232</v>
      </c>
      <c r="E164" s="5">
        <f>(pima_data!E164-MIN(pima_data!$E$1:$E$768))/(MAX(pima_data!$E$1:$E$768)-MIN(pima_data!$E$1:$E$768))</f>
        <v>0</v>
      </c>
      <c r="F164" s="5">
        <f>(pima_data!F164-MIN(pima_data!$F$1:$F$768))/(MAX(pima_data!$F$1:$F$768)-MIN(pima_data!$F$1:$F$768))</f>
        <v>0.442622950819672</v>
      </c>
      <c r="G164" s="5">
        <f>(pima_data!G164-MIN(pima_data!$G$1:$G$768))/(MAX(pima_data!$G$1:$G$768)-MIN(pima_data!$G$1:$G$768))</f>
        <v>0.123825789923143</v>
      </c>
      <c r="H164" s="5">
        <f>(pima_data!H164-MIN(pima_data!$H$1:$H$768))/(MAX(pima_data!$H$1:$H$768)-MIN(pima_data!$H$1:$H$768))</f>
        <v>0</v>
      </c>
    </row>
    <row r="165" spans="1:8">
      <c r="A165" s="5">
        <f>(pima_data!A165-MIN(pima_data!$A$1:$A$768))/(MAX(pima_data!$A$1:$A$768)-MIN(pima_data!$A$1:$A$768))</f>
        <v>0</v>
      </c>
      <c r="B165" s="5">
        <f>(pima_data!B165-MIN(pima_data!$B$1:$B$768))/(MAX(pima_data!$B$1:$B$768)-MIN(pima_data!$B$1:$B$768))</f>
        <v>0.658291457286432</v>
      </c>
      <c r="C165" s="5">
        <f>(pima_data!C165-MIN(pima_data!$C$1:$C$768))/(MAX(pima_data!$C$1:$C$768)-MIN(pima_data!$C$1:$C$768))</f>
        <v>0.721311475409836</v>
      </c>
      <c r="D165" s="5">
        <f>(pima_data!D165-MIN(pima_data!$D$1:$D$768))/(MAX(pima_data!$D$1:$D$768)-MIN(pima_data!$D$1:$D$768))</f>
        <v>0</v>
      </c>
      <c r="E165" s="5">
        <f>(pima_data!E165-MIN(pima_data!$E$1:$E$768))/(MAX(pima_data!$E$1:$E$768)-MIN(pima_data!$E$1:$E$768))</f>
        <v>0</v>
      </c>
      <c r="F165" s="5">
        <f>(pima_data!F165-MIN(pima_data!$F$1:$F$768))/(MAX(pima_data!$F$1:$F$768)-MIN(pima_data!$F$1:$F$768))</f>
        <v>0.470938897168405</v>
      </c>
      <c r="G165" s="5">
        <f>(pima_data!G165-MIN(pima_data!$G$1:$G$768))/(MAX(pima_data!$G$1:$G$768)-MIN(pima_data!$G$1:$G$768))</f>
        <v>0.283945345858241</v>
      </c>
      <c r="H165" s="5">
        <f>(pima_data!H165-MIN(pima_data!$H$1:$H$768))/(MAX(pima_data!$H$1:$H$768)-MIN(pima_data!$H$1:$H$768))</f>
        <v>0.183333333333333</v>
      </c>
    </row>
    <row r="166" spans="1:8">
      <c r="A166" s="5">
        <f>(pima_data!A166-MIN(pima_data!$A$1:$A$768))/(MAX(pima_data!$A$1:$A$768)-MIN(pima_data!$A$1:$A$768))</f>
        <v>0.352941176470588</v>
      </c>
      <c r="B166" s="5">
        <f>(pima_data!B166-MIN(pima_data!$B$1:$B$768))/(MAX(pima_data!$B$1:$B$768)-MIN(pima_data!$B$1:$B$768))</f>
        <v>0.522613065326633</v>
      </c>
      <c r="C166" s="5">
        <f>(pima_data!C166-MIN(pima_data!$C$1:$C$768))/(MAX(pima_data!$C$1:$C$768)-MIN(pima_data!$C$1:$C$768))</f>
        <v>0.60655737704918</v>
      </c>
      <c r="D166" s="5">
        <f>(pima_data!D166-MIN(pima_data!$D$1:$D$768))/(MAX(pima_data!$D$1:$D$768)-MIN(pima_data!$D$1:$D$768))</f>
        <v>0.181818181818182</v>
      </c>
      <c r="E166" s="5">
        <f>(pima_data!E166-MIN(pima_data!$E$1:$E$768))/(MAX(pima_data!$E$1:$E$768)-MIN(pima_data!$E$1:$E$768))</f>
        <v>0.184397163120567</v>
      </c>
      <c r="F166" s="5">
        <f>(pima_data!F166-MIN(pima_data!$F$1:$F$768))/(MAX(pima_data!$F$1:$F$768)-MIN(pima_data!$F$1:$F$768))</f>
        <v>0.445603576751118</v>
      </c>
      <c r="G166" s="5">
        <f>(pima_data!G166-MIN(pima_data!$G$1:$G$768))/(MAX(pima_data!$G$1:$G$768)-MIN(pima_data!$G$1:$G$768))</f>
        <v>0.274978650725875</v>
      </c>
      <c r="H166" s="5">
        <f>(pima_data!H166-MIN(pima_data!$H$1:$H$768))/(MAX(pima_data!$H$1:$H$768)-MIN(pima_data!$H$1:$H$768))</f>
        <v>0.333333333333333</v>
      </c>
    </row>
    <row r="167" spans="1:8">
      <c r="A167" s="5">
        <f>(pima_data!A167-MIN(pima_data!$A$1:$A$768))/(MAX(pima_data!$A$1:$A$768)-MIN(pima_data!$A$1:$A$768))</f>
        <v>0.176470588235294</v>
      </c>
      <c r="B167" s="5">
        <f>(pima_data!B167-MIN(pima_data!$B$1:$B$768))/(MAX(pima_data!$B$1:$B$768)-MIN(pima_data!$B$1:$B$768))</f>
        <v>0.743718592964824</v>
      </c>
      <c r="C167" s="5">
        <f>(pima_data!C167-MIN(pima_data!$C$1:$C$768))/(MAX(pima_data!$C$1:$C$768)-MIN(pima_data!$C$1:$C$768))</f>
        <v>0.540983606557377</v>
      </c>
      <c r="D167" s="5">
        <f>(pima_data!D167-MIN(pima_data!$D$1:$D$768))/(MAX(pima_data!$D$1:$D$768)-MIN(pima_data!$D$1:$D$768))</f>
        <v>0.252525252525253</v>
      </c>
      <c r="E167" s="5">
        <f>(pima_data!E167-MIN(pima_data!$E$1:$E$768))/(MAX(pima_data!$E$1:$E$768)-MIN(pima_data!$E$1:$E$768))</f>
        <v>0</v>
      </c>
      <c r="F167" s="5">
        <f>(pima_data!F167-MIN(pima_data!$F$1:$F$768))/(MAX(pima_data!$F$1:$F$768)-MIN(pima_data!$F$1:$F$768))</f>
        <v>0.484351713859911</v>
      </c>
      <c r="G167" s="5">
        <f>(pima_data!G167-MIN(pima_data!$G$1:$G$768))/(MAX(pima_data!$G$1:$G$768)-MIN(pima_data!$G$1:$G$768))</f>
        <v>0.0760034158838599</v>
      </c>
      <c r="H167" s="5">
        <f>(pima_data!H167-MIN(pima_data!$H$1:$H$768))/(MAX(pima_data!$H$1:$H$768)-MIN(pima_data!$H$1:$H$768))</f>
        <v>0.0166666666666667</v>
      </c>
    </row>
    <row r="168" spans="1:8">
      <c r="A168" s="5">
        <f>(pima_data!A168-MIN(pima_data!$A$1:$A$768))/(MAX(pima_data!$A$1:$A$768)-MIN(pima_data!$A$1:$A$768))</f>
        <v>0.235294117647059</v>
      </c>
      <c r="B168" s="5">
        <f>(pima_data!B168-MIN(pima_data!$B$1:$B$768))/(MAX(pima_data!$B$1:$B$768)-MIN(pima_data!$B$1:$B$768))</f>
        <v>0.603015075376884</v>
      </c>
      <c r="C168" s="5">
        <f>(pima_data!C168-MIN(pima_data!$C$1:$C$768))/(MAX(pima_data!$C$1:$C$768)-MIN(pima_data!$C$1:$C$768))</f>
        <v>0.557377049180328</v>
      </c>
      <c r="D168" s="5">
        <f>(pima_data!D168-MIN(pima_data!$D$1:$D$768))/(MAX(pima_data!$D$1:$D$768)-MIN(pima_data!$D$1:$D$768))</f>
        <v>0</v>
      </c>
      <c r="E168" s="5">
        <f>(pima_data!E168-MIN(pima_data!$E$1:$E$768))/(MAX(pima_data!$E$1:$E$768)-MIN(pima_data!$E$1:$E$768))</f>
        <v>0</v>
      </c>
      <c r="F168" s="5">
        <f>(pima_data!F168-MIN(pima_data!$F$1:$F$768))/(MAX(pima_data!$F$1:$F$768)-MIN(pima_data!$F$1:$F$768))</f>
        <v>0.441132637853949</v>
      </c>
      <c r="G168" s="5">
        <f>(pima_data!G168-MIN(pima_data!$G$1:$G$768))/(MAX(pima_data!$G$1:$G$768)-MIN(pima_data!$G$1:$G$768))</f>
        <v>0.269427839453459</v>
      </c>
      <c r="H168" s="5">
        <f>(pima_data!H168-MIN(pima_data!$H$1:$H$768))/(MAX(pima_data!$H$1:$H$768)-MIN(pima_data!$H$1:$H$768))</f>
        <v>0.216666666666667</v>
      </c>
    </row>
    <row r="169" spans="1:8">
      <c r="A169" s="5">
        <f>(pima_data!A169-MIN(pima_data!$A$1:$A$768))/(MAX(pima_data!$A$1:$A$768)-MIN(pima_data!$A$1:$A$768))</f>
        <v>0.235294117647059</v>
      </c>
      <c r="B169" s="5">
        <f>(pima_data!B169-MIN(pima_data!$B$1:$B$768))/(MAX(pima_data!$B$1:$B$768)-MIN(pima_data!$B$1:$B$768))</f>
        <v>0.552763819095477</v>
      </c>
      <c r="C169" s="5">
        <f>(pima_data!C169-MIN(pima_data!$C$1:$C$768))/(MAX(pima_data!$C$1:$C$768)-MIN(pima_data!$C$1:$C$768))</f>
        <v>0.540983606557377</v>
      </c>
      <c r="D169" s="5">
        <f>(pima_data!D169-MIN(pima_data!$D$1:$D$768))/(MAX(pima_data!$D$1:$D$768)-MIN(pima_data!$D$1:$D$768))</f>
        <v>0</v>
      </c>
      <c r="E169" s="5">
        <f>(pima_data!E169-MIN(pima_data!$E$1:$E$768))/(MAX(pima_data!$E$1:$E$768)-MIN(pima_data!$E$1:$E$768))</f>
        <v>0</v>
      </c>
      <c r="F169" s="5">
        <f>(pima_data!F169-MIN(pima_data!$F$1:$F$768))/(MAX(pima_data!$F$1:$F$768)-MIN(pima_data!$F$1:$F$768))</f>
        <v>0.475409836065574</v>
      </c>
      <c r="G169" s="5">
        <f>(pima_data!G169-MIN(pima_data!$G$1:$G$768))/(MAX(pima_data!$G$1:$G$768)-MIN(pima_data!$G$1:$G$768))</f>
        <v>0.167805294619983</v>
      </c>
      <c r="H169" s="5">
        <f>(pima_data!H169-MIN(pima_data!$H$1:$H$768))/(MAX(pima_data!$H$1:$H$768)-MIN(pima_data!$H$1:$H$768))</f>
        <v>0.133333333333333</v>
      </c>
    </row>
    <row r="170" spans="1:8">
      <c r="A170" s="5">
        <f>(pima_data!A170-MIN(pima_data!$A$1:$A$768))/(MAX(pima_data!$A$1:$A$768)-MIN(pima_data!$A$1:$A$768))</f>
        <v>0.176470588235294</v>
      </c>
      <c r="B170" s="5">
        <f>(pima_data!B170-MIN(pima_data!$B$1:$B$768))/(MAX(pima_data!$B$1:$B$768)-MIN(pima_data!$B$1:$B$768))</f>
        <v>0.557788944723618</v>
      </c>
      <c r="C170" s="5">
        <f>(pima_data!C170-MIN(pima_data!$C$1:$C$768))/(MAX(pima_data!$C$1:$C$768)-MIN(pima_data!$C$1:$C$768))</f>
        <v>0.737704918032787</v>
      </c>
      <c r="D170" s="5">
        <f>(pima_data!D170-MIN(pima_data!$D$1:$D$768))/(MAX(pima_data!$D$1:$D$768)-MIN(pima_data!$D$1:$D$768))</f>
        <v>0.121212121212121</v>
      </c>
      <c r="E170" s="5">
        <f>(pima_data!E170-MIN(pima_data!$E$1:$E$768))/(MAX(pima_data!$E$1:$E$768)-MIN(pima_data!$E$1:$E$768))</f>
        <v>0.0921985815602837</v>
      </c>
      <c r="F170" s="5">
        <f>(pima_data!F170-MIN(pima_data!$F$1:$F$768))/(MAX(pima_data!$F$1:$F$768)-MIN(pima_data!$F$1:$F$768))</f>
        <v>0.423248882265276</v>
      </c>
      <c r="G170" s="5">
        <f>(pima_data!G170-MIN(pima_data!$G$1:$G$768))/(MAX(pima_data!$G$1:$G$768)-MIN(pima_data!$G$1:$G$768))</f>
        <v>0.178052946199829</v>
      </c>
      <c r="H170" s="5">
        <f>(pima_data!H170-MIN(pima_data!$H$1:$H$768))/(MAX(pima_data!$H$1:$H$768)-MIN(pima_data!$H$1:$H$768))</f>
        <v>0.133333333333333</v>
      </c>
    </row>
    <row r="171" spans="1:8">
      <c r="A171" s="5">
        <f>(pima_data!A171-MIN(pima_data!$A$1:$A$768))/(MAX(pima_data!$A$1:$A$768)-MIN(pima_data!$A$1:$A$768))</f>
        <v>0.352941176470588</v>
      </c>
      <c r="B171" s="5">
        <f>(pima_data!B171-MIN(pima_data!$B$1:$B$768))/(MAX(pima_data!$B$1:$B$768)-MIN(pima_data!$B$1:$B$768))</f>
        <v>0.512562814070352</v>
      </c>
      <c r="C171" s="5">
        <f>(pima_data!C171-MIN(pima_data!$C$1:$C$768))/(MAX(pima_data!$C$1:$C$768)-MIN(pima_data!$C$1:$C$768))</f>
        <v>0.672131147540984</v>
      </c>
      <c r="D171" s="5">
        <f>(pima_data!D171-MIN(pima_data!$D$1:$D$768))/(MAX(pima_data!$D$1:$D$768)-MIN(pima_data!$D$1:$D$768))</f>
        <v>0</v>
      </c>
      <c r="E171" s="5">
        <f>(pima_data!E171-MIN(pima_data!$E$1:$E$768))/(MAX(pima_data!$E$1:$E$768)-MIN(pima_data!$E$1:$E$768))</f>
        <v>0</v>
      </c>
      <c r="F171" s="5">
        <f>(pima_data!F171-MIN(pima_data!$F$1:$F$768))/(MAX(pima_data!$F$1:$F$768)-MIN(pima_data!$F$1:$F$768))</f>
        <v>0.459016393442623</v>
      </c>
      <c r="G171" s="5">
        <f>(pima_data!G171-MIN(pima_data!$G$1:$G$768))/(MAX(pima_data!$G$1:$G$768)-MIN(pima_data!$G$1:$G$768))</f>
        <v>0.0435525192143467</v>
      </c>
      <c r="H171" s="5">
        <f>(pima_data!H171-MIN(pima_data!$H$1:$H$768))/(MAX(pima_data!$H$1:$H$768)-MIN(pima_data!$H$1:$H$768))</f>
        <v>0.25</v>
      </c>
    </row>
    <row r="172" spans="1:8">
      <c r="A172" s="5">
        <f>(pima_data!A172-MIN(pima_data!$A$1:$A$768))/(MAX(pima_data!$A$1:$A$768)-MIN(pima_data!$A$1:$A$768))</f>
        <v>0.352941176470588</v>
      </c>
      <c r="B172" s="5">
        <f>(pima_data!B172-MIN(pima_data!$B$1:$B$768))/(MAX(pima_data!$B$1:$B$768)-MIN(pima_data!$B$1:$B$768))</f>
        <v>0.673366834170854</v>
      </c>
      <c r="C172" s="5">
        <f>(pima_data!C172-MIN(pima_data!$C$1:$C$768))/(MAX(pima_data!$C$1:$C$768)-MIN(pima_data!$C$1:$C$768))</f>
        <v>0.573770491803279</v>
      </c>
      <c r="D172" s="5">
        <f>(pima_data!D172-MIN(pima_data!$D$1:$D$768))/(MAX(pima_data!$D$1:$D$768)-MIN(pima_data!$D$1:$D$768))</f>
        <v>0.232323232323232</v>
      </c>
      <c r="E172" s="5">
        <f>(pima_data!E172-MIN(pima_data!$E$1:$E$768))/(MAX(pima_data!$E$1:$E$768)-MIN(pima_data!$E$1:$E$768))</f>
        <v>0.153664302600473</v>
      </c>
      <c r="F172" s="5">
        <f>(pima_data!F172-MIN(pima_data!$F$1:$F$768))/(MAX(pima_data!$F$1:$F$768)-MIN(pima_data!$F$1:$F$768))</f>
        <v>0.527570789865872</v>
      </c>
      <c r="G172" s="5">
        <f>(pima_data!G172-MIN(pima_data!$G$1:$G$768))/(MAX(pima_data!$G$1:$G$768)-MIN(pima_data!$G$1:$G$768))</f>
        <v>0.198121263877028</v>
      </c>
      <c r="H172" s="5">
        <f>(pima_data!H172-MIN(pima_data!$H$1:$H$768))/(MAX(pima_data!$H$1:$H$768)-MIN(pima_data!$H$1:$H$768))</f>
        <v>0.133333333333333</v>
      </c>
    </row>
    <row r="173" spans="1:8">
      <c r="A173" s="5">
        <f>(pima_data!A173-MIN(pima_data!$A$1:$A$768))/(MAX(pima_data!$A$1:$A$768)-MIN(pima_data!$A$1:$A$768))</f>
        <v>0.117647058823529</v>
      </c>
      <c r="B173" s="5">
        <f>(pima_data!B173-MIN(pima_data!$B$1:$B$768))/(MAX(pima_data!$B$1:$B$768)-MIN(pima_data!$B$1:$B$768))</f>
        <v>0.437185929648241</v>
      </c>
      <c r="C173" s="5">
        <f>(pima_data!C173-MIN(pima_data!$C$1:$C$768))/(MAX(pima_data!$C$1:$C$768)-MIN(pima_data!$C$1:$C$768))</f>
        <v>0</v>
      </c>
      <c r="D173" s="5">
        <f>(pima_data!D173-MIN(pima_data!$D$1:$D$768))/(MAX(pima_data!$D$1:$D$768)-MIN(pima_data!$D$1:$D$768))</f>
        <v>0.232323232323232</v>
      </c>
      <c r="E173" s="5">
        <f>(pima_data!E173-MIN(pima_data!$E$1:$E$768))/(MAX(pima_data!$E$1:$E$768)-MIN(pima_data!$E$1:$E$768))</f>
        <v>0</v>
      </c>
      <c r="F173" s="5">
        <f>(pima_data!F173-MIN(pima_data!$F$1:$F$768))/(MAX(pima_data!$F$1:$F$768)-MIN(pima_data!$F$1:$F$768))</f>
        <v>0.43070044709389</v>
      </c>
      <c r="G173" s="5">
        <f>(pima_data!G173-MIN(pima_data!$G$1:$G$768))/(MAX(pima_data!$G$1:$G$768)-MIN(pima_data!$G$1:$G$768))</f>
        <v>0.296754910333049</v>
      </c>
      <c r="H173" s="5">
        <f>(pima_data!H173-MIN(pima_data!$H$1:$H$768))/(MAX(pima_data!$H$1:$H$768)-MIN(pima_data!$H$1:$H$768))</f>
        <v>0.0666666666666667</v>
      </c>
    </row>
    <row r="174" spans="1:8">
      <c r="A174" s="5">
        <f>(pima_data!A174-MIN(pima_data!$A$1:$A$768))/(MAX(pima_data!$A$1:$A$768)-MIN(pima_data!$A$1:$A$768))</f>
        <v>0.0588235294117647</v>
      </c>
      <c r="B174" s="5">
        <f>(pima_data!B174-MIN(pima_data!$B$1:$B$768))/(MAX(pima_data!$B$1:$B$768)-MIN(pima_data!$B$1:$B$768))</f>
        <v>0.396984924623116</v>
      </c>
      <c r="C174" s="5">
        <f>(pima_data!C174-MIN(pima_data!$C$1:$C$768))/(MAX(pima_data!$C$1:$C$768)-MIN(pima_data!$C$1:$C$768))</f>
        <v>0.491803278688525</v>
      </c>
      <c r="D174" s="5">
        <f>(pima_data!D174-MIN(pima_data!$D$1:$D$768))/(MAX(pima_data!$D$1:$D$768)-MIN(pima_data!$D$1:$D$768))</f>
        <v>0.424242424242424</v>
      </c>
      <c r="E174" s="5">
        <f>(pima_data!E174-MIN(pima_data!$E$1:$E$768))/(MAX(pima_data!$E$1:$E$768)-MIN(pima_data!$E$1:$E$768))</f>
        <v>0.0567375886524823</v>
      </c>
      <c r="F174" s="5">
        <f>(pima_data!F174-MIN(pima_data!$F$1:$F$768))/(MAX(pima_data!$F$1:$F$768)-MIN(pima_data!$F$1:$F$768))</f>
        <v>0.648286140089419</v>
      </c>
      <c r="G174" s="5">
        <f>(pima_data!G174-MIN(pima_data!$G$1:$G$768))/(MAX(pima_data!$G$1:$G$768)-MIN(pima_data!$G$1:$G$768))</f>
        <v>0.256191289496157</v>
      </c>
      <c r="H174" s="5">
        <f>(pima_data!H174-MIN(pima_data!$H$1:$H$768))/(MAX(pima_data!$H$1:$H$768)-MIN(pima_data!$H$1:$H$768))</f>
        <v>0.0333333333333333</v>
      </c>
    </row>
    <row r="175" spans="1:8">
      <c r="A175" s="5">
        <f>(pima_data!A175-MIN(pima_data!$A$1:$A$768))/(MAX(pima_data!$A$1:$A$768)-MIN(pima_data!$A$1:$A$768))</f>
        <v>0.117647058823529</v>
      </c>
      <c r="B175" s="5">
        <f>(pima_data!B175-MIN(pima_data!$B$1:$B$768))/(MAX(pima_data!$B$1:$B$768)-MIN(pima_data!$B$1:$B$768))</f>
        <v>0.376884422110553</v>
      </c>
      <c r="C175" s="5">
        <f>(pima_data!C175-MIN(pima_data!$C$1:$C$768))/(MAX(pima_data!$C$1:$C$768)-MIN(pima_data!$C$1:$C$768))</f>
        <v>0.524590163934426</v>
      </c>
      <c r="D175" s="5">
        <f>(pima_data!D175-MIN(pima_data!$D$1:$D$768))/(MAX(pima_data!$D$1:$D$768)-MIN(pima_data!$D$1:$D$768))</f>
        <v>0.242424242424242</v>
      </c>
      <c r="E175" s="5">
        <f>(pima_data!E175-MIN(pima_data!$E$1:$E$768))/(MAX(pima_data!$E$1:$E$768)-MIN(pima_data!$E$1:$E$768))</f>
        <v>0.0650118203309693</v>
      </c>
      <c r="F175" s="5">
        <f>(pima_data!F175-MIN(pima_data!$F$1:$F$768))/(MAX(pima_data!$F$1:$F$768)-MIN(pima_data!$F$1:$F$768))</f>
        <v>0.442622950819672</v>
      </c>
      <c r="G175" s="5">
        <f>(pima_data!G175-MIN(pima_data!$G$1:$G$768))/(MAX(pima_data!$G$1:$G$768)-MIN(pima_data!$G$1:$G$768))</f>
        <v>0.12467976088813</v>
      </c>
      <c r="H175" s="5">
        <f>(pima_data!H175-MIN(pima_data!$H$1:$H$768))/(MAX(pima_data!$H$1:$H$768)-MIN(pima_data!$H$1:$H$768))</f>
        <v>0.2</v>
      </c>
    </row>
    <row r="176" spans="1:8">
      <c r="A176" s="5">
        <f>(pima_data!A176-MIN(pima_data!$A$1:$A$768))/(MAX(pima_data!$A$1:$A$768)-MIN(pima_data!$A$1:$A$768))</f>
        <v>0.470588235294118</v>
      </c>
      <c r="B176" s="5">
        <f>(pima_data!B176-MIN(pima_data!$B$1:$B$768))/(MAX(pima_data!$B$1:$B$768)-MIN(pima_data!$B$1:$B$768))</f>
        <v>0.899497487437186</v>
      </c>
      <c r="C176" s="5">
        <f>(pima_data!C176-MIN(pima_data!$C$1:$C$768))/(MAX(pima_data!$C$1:$C$768)-MIN(pima_data!$C$1:$C$768))</f>
        <v>0.590163934426229</v>
      </c>
      <c r="D176" s="5">
        <f>(pima_data!D176-MIN(pima_data!$D$1:$D$768))/(MAX(pima_data!$D$1:$D$768)-MIN(pima_data!$D$1:$D$768))</f>
        <v>0.424242424242424</v>
      </c>
      <c r="E176" s="5">
        <f>(pima_data!E176-MIN(pima_data!$E$1:$E$768))/(MAX(pima_data!$E$1:$E$768)-MIN(pima_data!$E$1:$E$768))</f>
        <v>0.153664302600473</v>
      </c>
      <c r="F176" s="5">
        <f>(pima_data!F176-MIN(pima_data!$F$1:$F$768))/(MAX(pima_data!$F$1:$F$768)-MIN(pima_data!$F$1:$F$768))</f>
        <v>0.487332339791356</v>
      </c>
      <c r="G176" s="5">
        <f>(pima_data!G176-MIN(pima_data!$G$1:$G$768))/(MAX(pima_data!$G$1:$G$768)-MIN(pima_data!$G$1:$G$768))</f>
        <v>0.273697694278395</v>
      </c>
      <c r="H176" s="5">
        <f>(pima_data!H176-MIN(pima_data!$H$1:$H$768))/(MAX(pima_data!$H$1:$H$768)-MIN(pima_data!$H$1:$H$768))</f>
        <v>0.25</v>
      </c>
    </row>
    <row r="177" spans="1:8">
      <c r="A177" s="5">
        <f>(pima_data!A177-MIN(pima_data!$A$1:$A$768))/(MAX(pima_data!$A$1:$A$768)-MIN(pima_data!$A$1:$A$768))</f>
        <v>0.352941176470588</v>
      </c>
      <c r="B177" s="5">
        <f>(pima_data!B177-MIN(pima_data!$B$1:$B$768))/(MAX(pima_data!$B$1:$B$768)-MIN(pima_data!$B$1:$B$768))</f>
        <v>0.42713567839196</v>
      </c>
      <c r="C177" s="5">
        <f>(pima_data!C177-MIN(pima_data!$C$1:$C$768))/(MAX(pima_data!$C$1:$C$768)-MIN(pima_data!$C$1:$C$768))</f>
        <v>0.639344262295082</v>
      </c>
      <c r="D177" s="5">
        <f>(pima_data!D177-MIN(pima_data!$D$1:$D$768))/(MAX(pima_data!$D$1:$D$768)-MIN(pima_data!$D$1:$D$768))</f>
        <v>0</v>
      </c>
      <c r="E177" s="5">
        <f>(pima_data!E177-MIN(pima_data!$E$1:$E$768))/(MAX(pima_data!$E$1:$E$768)-MIN(pima_data!$E$1:$E$768))</f>
        <v>0</v>
      </c>
      <c r="F177" s="5">
        <f>(pima_data!F177-MIN(pima_data!$F$1:$F$768))/(MAX(pima_data!$F$1:$F$768)-MIN(pima_data!$F$1:$F$768))</f>
        <v>0.464977645305514</v>
      </c>
      <c r="G177" s="5">
        <f>(pima_data!G177-MIN(pima_data!$G$1:$G$768))/(MAX(pima_data!$G$1:$G$768)-MIN(pima_data!$G$1:$G$768))</f>
        <v>0.129803586678053</v>
      </c>
      <c r="H177" s="5">
        <f>(pima_data!H177-MIN(pima_data!$H$1:$H$768))/(MAX(pima_data!$H$1:$H$768)-MIN(pima_data!$H$1:$H$768))</f>
        <v>0.35</v>
      </c>
    </row>
    <row r="178" spans="1:8">
      <c r="A178" s="5">
        <f>(pima_data!A178-MIN(pima_data!$A$1:$A$768))/(MAX(pima_data!$A$1:$A$768)-MIN(pima_data!$A$1:$A$768))</f>
        <v>0</v>
      </c>
      <c r="B178" s="5">
        <f>(pima_data!B178-MIN(pima_data!$B$1:$B$768))/(MAX(pima_data!$B$1:$B$768)-MIN(pima_data!$B$1:$B$768))</f>
        <v>0.648241206030151</v>
      </c>
      <c r="C178" s="5">
        <f>(pima_data!C178-MIN(pima_data!$C$1:$C$768))/(MAX(pima_data!$C$1:$C$768)-MIN(pima_data!$C$1:$C$768))</f>
        <v>0.901639344262295</v>
      </c>
      <c r="D178" s="5">
        <f>(pima_data!D178-MIN(pima_data!$D$1:$D$768))/(MAX(pima_data!$D$1:$D$768)-MIN(pima_data!$D$1:$D$768))</f>
        <v>0.464646464646465</v>
      </c>
      <c r="E178" s="5">
        <f>(pima_data!E178-MIN(pima_data!$E$1:$E$768))/(MAX(pima_data!$E$1:$E$768)-MIN(pima_data!$E$1:$E$768))</f>
        <v>0.153664302600473</v>
      </c>
      <c r="F178" s="5">
        <f>(pima_data!F178-MIN(pima_data!$F$1:$F$768))/(MAX(pima_data!$F$1:$F$768)-MIN(pima_data!$F$1:$F$768))</f>
        <v>1</v>
      </c>
      <c r="G178" s="5">
        <f>(pima_data!G178-MIN(pima_data!$G$1:$G$768))/(MAX(pima_data!$G$1:$G$768)-MIN(pima_data!$G$1:$G$768))</f>
        <v>0.102903501280956</v>
      </c>
      <c r="H178" s="5">
        <f>(pima_data!H178-MIN(pima_data!$H$1:$H$768))/(MAX(pima_data!$H$1:$H$768)-MIN(pima_data!$H$1:$H$768))</f>
        <v>0.0833333333333333</v>
      </c>
    </row>
    <row r="179" spans="1:8">
      <c r="A179" s="5">
        <f>(pima_data!A179-MIN(pima_data!$A$1:$A$768))/(MAX(pima_data!$A$1:$A$768)-MIN(pima_data!$A$1:$A$768))</f>
        <v>0.294117647058824</v>
      </c>
      <c r="B179" s="5">
        <f>(pima_data!B179-MIN(pima_data!$B$1:$B$768))/(MAX(pima_data!$B$1:$B$768)-MIN(pima_data!$B$1:$B$768))</f>
        <v>0.718592964824121</v>
      </c>
      <c r="C179" s="5">
        <f>(pima_data!C179-MIN(pima_data!$C$1:$C$768))/(MAX(pima_data!$C$1:$C$768)-MIN(pima_data!$C$1:$C$768))</f>
        <v>0.639344262295082</v>
      </c>
      <c r="D179" s="5">
        <f>(pima_data!D179-MIN(pima_data!$D$1:$D$768))/(MAX(pima_data!$D$1:$D$768)-MIN(pima_data!$D$1:$D$768))</f>
        <v>0</v>
      </c>
      <c r="E179" s="5">
        <f>(pima_data!E179-MIN(pima_data!$E$1:$E$768))/(MAX(pima_data!$E$1:$E$768)-MIN(pima_data!$E$1:$E$768))</f>
        <v>0</v>
      </c>
      <c r="F179" s="5">
        <f>(pima_data!F179-MIN(pima_data!$F$1:$F$768))/(MAX(pima_data!$F$1:$F$768)-MIN(pima_data!$F$1:$F$768))</f>
        <v>0.670640834575261</v>
      </c>
      <c r="G179" s="5">
        <f>(pima_data!G179-MIN(pima_data!$G$1:$G$768))/(MAX(pima_data!$G$1:$G$768)-MIN(pima_data!$G$1:$G$768))</f>
        <v>0.0478223740392827</v>
      </c>
      <c r="H179" s="5">
        <f>(pima_data!H179-MIN(pima_data!$H$1:$H$768))/(MAX(pima_data!$H$1:$H$768)-MIN(pima_data!$H$1:$H$768))</f>
        <v>0.433333333333333</v>
      </c>
    </row>
    <row r="180" spans="1:8">
      <c r="A180" s="5">
        <f>(pima_data!A180-MIN(pima_data!$A$1:$A$768))/(MAX(pima_data!$A$1:$A$768)-MIN(pima_data!$A$1:$A$768))</f>
        <v>0.294117647058824</v>
      </c>
      <c r="B180" s="5">
        <f>(pima_data!B180-MIN(pima_data!$B$1:$B$768))/(MAX(pima_data!$B$1:$B$768)-MIN(pima_data!$B$1:$B$768))</f>
        <v>0.653266331658292</v>
      </c>
      <c r="C180" s="5">
        <f>(pima_data!C180-MIN(pima_data!$C$1:$C$768))/(MAX(pima_data!$C$1:$C$768)-MIN(pima_data!$C$1:$C$768))</f>
        <v>0.672131147540984</v>
      </c>
      <c r="D180" s="5">
        <f>(pima_data!D180-MIN(pima_data!$D$1:$D$768))/(MAX(pima_data!$D$1:$D$768)-MIN(pima_data!$D$1:$D$768))</f>
        <v>0</v>
      </c>
      <c r="E180" s="5">
        <f>(pima_data!E180-MIN(pima_data!$E$1:$E$768))/(MAX(pima_data!$E$1:$E$768)-MIN(pima_data!$E$1:$E$768))</f>
        <v>0</v>
      </c>
      <c r="F180" s="5">
        <f>(pima_data!F180-MIN(pima_data!$F$1:$F$768))/(MAX(pima_data!$F$1:$F$768)-MIN(pima_data!$F$1:$F$768))</f>
        <v>0.582712369597616</v>
      </c>
      <c r="G180" s="5">
        <f>(pima_data!G180-MIN(pima_data!$G$1:$G$768))/(MAX(pima_data!$G$1:$G$768)-MIN(pima_data!$G$1:$G$768))</f>
        <v>0.374893253629377</v>
      </c>
      <c r="H180" s="5">
        <f>(pima_data!H180-MIN(pima_data!$H$1:$H$768))/(MAX(pima_data!$H$1:$H$768)-MIN(pima_data!$H$1:$H$768))</f>
        <v>0.266666666666667</v>
      </c>
    </row>
    <row r="181" spans="1:8">
      <c r="A181" s="5">
        <f>(pima_data!A181-MIN(pima_data!$A$1:$A$768))/(MAX(pima_data!$A$1:$A$768)-MIN(pima_data!$A$1:$A$768))</f>
        <v>0.352941176470588</v>
      </c>
      <c r="B181" s="5">
        <f>(pima_data!B181-MIN(pima_data!$B$1:$B$768))/(MAX(pima_data!$B$1:$B$768)-MIN(pima_data!$B$1:$B$768))</f>
        <v>0.437185929648241</v>
      </c>
      <c r="C181" s="5">
        <f>(pima_data!C181-MIN(pima_data!$C$1:$C$768))/(MAX(pima_data!$C$1:$C$768)-MIN(pima_data!$C$1:$C$768))</f>
        <v>0.655737704918033</v>
      </c>
      <c r="D181" s="5">
        <f>(pima_data!D181-MIN(pima_data!$D$1:$D$768))/(MAX(pima_data!$D$1:$D$768)-MIN(pima_data!$D$1:$D$768))</f>
        <v>0</v>
      </c>
      <c r="E181" s="5">
        <f>(pima_data!E181-MIN(pima_data!$E$1:$E$768))/(MAX(pima_data!$E$1:$E$768)-MIN(pima_data!$E$1:$E$768))</f>
        <v>0</v>
      </c>
      <c r="F181" s="5">
        <f>(pima_data!F181-MIN(pima_data!$F$1:$F$768))/(MAX(pima_data!$F$1:$F$768)-MIN(pima_data!$F$1:$F$768))</f>
        <v>0.34575260804769</v>
      </c>
      <c r="G181" s="5">
        <f>(pima_data!G181-MIN(pima_data!$G$1:$G$768))/(MAX(pima_data!$G$1:$G$768)-MIN(pima_data!$G$1:$G$768))</f>
        <v>0.00256191289496157</v>
      </c>
      <c r="H181" s="5">
        <f>(pima_data!H181-MIN(pima_data!$H$1:$H$768))/(MAX(pima_data!$H$1:$H$768)-MIN(pima_data!$H$1:$H$768))</f>
        <v>0.183333333333333</v>
      </c>
    </row>
    <row r="182" spans="1:8">
      <c r="A182" s="5">
        <f>(pima_data!A182-MIN(pima_data!$A$1:$A$768))/(MAX(pima_data!$A$1:$A$768)-MIN(pima_data!$A$1:$A$768))</f>
        <v>0</v>
      </c>
      <c r="B182" s="5">
        <f>(pima_data!B182-MIN(pima_data!$B$1:$B$768))/(MAX(pima_data!$B$1:$B$768)-MIN(pima_data!$B$1:$B$768))</f>
        <v>0.597989949748744</v>
      </c>
      <c r="C182" s="5">
        <f>(pima_data!C182-MIN(pima_data!$C$1:$C$768))/(MAX(pima_data!$C$1:$C$768)-MIN(pima_data!$C$1:$C$768))</f>
        <v>0.524590163934426</v>
      </c>
      <c r="D182" s="5">
        <f>(pima_data!D182-MIN(pima_data!$D$1:$D$768))/(MAX(pima_data!$D$1:$D$768)-MIN(pima_data!$D$1:$D$768))</f>
        <v>0.181818181818182</v>
      </c>
      <c r="E182" s="5">
        <f>(pima_data!E182-MIN(pima_data!$E$1:$E$768))/(MAX(pima_data!$E$1:$E$768)-MIN(pima_data!$E$1:$E$768))</f>
        <v>0.108747044917258</v>
      </c>
      <c r="F182" s="5">
        <f>(pima_data!F182-MIN(pima_data!$F$1:$F$768))/(MAX(pima_data!$F$1:$F$768)-MIN(pima_data!$F$1:$F$768))</f>
        <v>0.520119225037258</v>
      </c>
      <c r="G182" s="5">
        <f>(pima_data!G182-MIN(pima_data!$G$1:$G$768))/(MAX(pima_data!$G$1:$G$768)-MIN(pima_data!$G$1:$G$768))</f>
        <v>0.276259607173356</v>
      </c>
      <c r="H182" s="5">
        <f>(pima_data!H182-MIN(pima_data!$H$1:$H$768))/(MAX(pima_data!$H$1:$H$768)-MIN(pima_data!$H$1:$H$768))</f>
        <v>0.0333333333333333</v>
      </c>
    </row>
    <row r="183" spans="1:8">
      <c r="A183" s="5">
        <f>(pima_data!A183-MIN(pima_data!$A$1:$A$768))/(MAX(pima_data!$A$1:$A$768)-MIN(pima_data!$A$1:$A$768))</f>
        <v>0.0588235294117647</v>
      </c>
      <c r="B183" s="5">
        <f>(pima_data!B183-MIN(pima_data!$B$1:$B$768))/(MAX(pima_data!$B$1:$B$768)-MIN(pima_data!$B$1:$B$768))</f>
        <v>0</v>
      </c>
      <c r="C183" s="5">
        <f>(pima_data!C183-MIN(pima_data!$C$1:$C$768))/(MAX(pima_data!$C$1:$C$768)-MIN(pima_data!$C$1:$C$768))</f>
        <v>0.60655737704918</v>
      </c>
      <c r="D183" s="5">
        <f>(pima_data!D183-MIN(pima_data!$D$1:$D$768))/(MAX(pima_data!$D$1:$D$768)-MIN(pima_data!$D$1:$D$768))</f>
        <v>0.202020202020202</v>
      </c>
      <c r="E183" s="5">
        <f>(pima_data!E183-MIN(pima_data!$E$1:$E$768))/(MAX(pima_data!$E$1:$E$768)-MIN(pima_data!$E$1:$E$768))</f>
        <v>0.0271867612293144</v>
      </c>
      <c r="F183" s="5">
        <f>(pima_data!F183-MIN(pima_data!$F$1:$F$768))/(MAX(pima_data!$F$1:$F$768)-MIN(pima_data!$F$1:$F$768))</f>
        <v>0.412816691505216</v>
      </c>
      <c r="G183" s="5">
        <f>(pima_data!G183-MIN(pima_data!$G$1:$G$768))/(MAX(pima_data!$G$1:$G$768)-MIN(pima_data!$G$1:$G$768))</f>
        <v>0.0943637916310845</v>
      </c>
      <c r="H183" s="5">
        <f>(pima_data!H183-MIN(pima_data!$H$1:$H$768))/(MAX(pima_data!$H$1:$H$768)-MIN(pima_data!$H$1:$H$768))</f>
        <v>0</v>
      </c>
    </row>
    <row r="184" spans="1:8">
      <c r="A184" s="5">
        <f>(pima_data!A184-MIN(pima_data!$A$1:$A$768))/(MAX(pima_data!$A$1:$A$768)-MIN(pima_data!$A$1:$A$768))</f>
        <v>0.294117647058824</v>
      </c>
      <c r="B184" s="5">
        <f>(pima_data!B184-MIN(pima_data!$B$1:$B$768))/(MAX(pima_data!$B$1:$B$768)-MIN(pima_data!$B$1:$B$768))</f>
        <v>0.366834170854271</v>
      </c>
      <c r="C184" s="5">
        <f>(pima_data!C184-MIN(pima_data!$C$1:$C$768))/(MAX(pima_data!$C$1:$C$768)-MIN(pima_data!$C$1:$C$768))</f>
        <v>0.491803278688525</v>
      </c>
      <c r="D184" s="5">
        <f>(pima_data!D184-MIN(pima_data!$D$1:$D$768))/(MAX(pima_data!$D$1:$D$768)-MIN(pima_data!$D$1:$D$768))</f>
        <v>0</v>
      </c>
      <c r="E184" s="5">
        <f>(pima_data!E184-MIN(pima_data!$E$1:$E$768))/(MAX(pima_data!$E$1:$E$768)-MIN(pima_data!$E$1:$E$768))</f>
        <v>0</v>
      </c>
      <c r="F184" s="5">
        <f>(pima_data!F184-MIN(pima_data!$F$1:$F$768))/(MAX(pima_data!$F$1:$F$768)-MIN(pima_data!$F$1:$F$768))</f>
        <v>0.399403874813711</v>
      </c>
      <c r="G184" s="5">
        <f>(pima_data!G184-MIN(pima_data!$G$1:$G$768))/(MAX(pima_data!$G$1:$G$768)-MIN(pima_data!$G$1:$G$768))</f>
        <v>0.0811272416737831</v>
      </c>
      <c r="H184" s="5">
        <f>(pima_data!H184-MIN(pima_data!$H$1:$H$768))/(MAX(pima_data!$H$1:$H$768)-MIN(pima_data!$H$1:$H$768))</f>
        <v>0.1</v>
      </c>
    </row>
    <row r="185" spans="1:8">
      <c r="A185" s="5">
        <f>(pima_data!A185-MIN(pima_data!$A$1:$A$768))/(MAX(pima_data!$A$1:$A$768)-MIN(pima_data!$A$1:$A$768))</f>
        <v>0.235294117647059</v>
      </c>
      <c r="B185" s="5">
        <f>(pima_data!B185-MIN(pima_data!$B$1:$B$768))/(MAX(pima_data!$B$1:$B$768)-MIN(pima_data!$B$1:$B$768))</f>
        <v>0.708542713567839</v>
      </c>
      <c r="C185" s="5">
        <f>(pima_data!C185-MIN(pima_data!$C$1:$C$768))/(MAX(pima_data!$C$1:$C$768)-MIN(pima_data!$C$1:$C$768))</f>
        <v>0.60655737704918</v>
      </c>
      <c r="D185" s="5">
        <f>(pima_data!D185-MIN(pima_data!$D$1:$D$768))/(MAX(pima_data!$D$1:$D$768)-MIN(pima_data!$D$1:$D$768))</f>
        <v>0</v>
      </c>
      <c r="E185" s="5">
        <f>(pima_data!E185-MIN(pima_data!$E$1:$E$768))/(MAX(pima_data!$E$1:$E$768)-MIN(pima_data!$E$1:$E$768))</f>
        <v>0</v>
      </c>
      <c r="F185" s="5">
        <f>(pima_data!F185-MIN(pima_data!$F$1:$F$768))/(MAX(pima_data!$F$1:$F$768)-MIN(pima_data!$F$1:$F$768))</f>
        <v>0.411326378539493</v>
      </c>
      <c r="G185" s="5">
        <f>(pima_data!G185-MIN(pima_data!$G$1:$G$768))/(MAX(pima_data!$G$1:$G$768)-MIN(pima_data!$G$1:$G$768))</f>
        <v>0.0708795900939368</v>
      </c>
      <c r="H185" s="5">
        <f>(pima_data!H185-MIN(pima_data!$H$1:$H$768))/(MAX(pima_data!$H$1:$H$768)-MIN(pima_data!$H$1:$H$768))</f>
        <v>0.316666666666667</v>
      </c>
    </row>
    <row r="186" spans="1:8">
      <c r="A186" s="5">
        <f>(pima_data!A186-MIN(pima_data!$A$1:$A$768))/(MAX(pima_data!$A$1:$A$768)-MIN(pima_data!$A$1:$A$768))</f>
        <v>0.411764705882353</v>
      </c>
      <c r="B186" s="5">
        <f>(pima_data!B186-MIN(pima_data!$B$1:$B$768))/(MAX(pima_data!$B$1:$B$768)-MIN(pima_data!$B$1:$B$768))</f>
        <v>0.974874371859296</v>
      </c>
      <c r="C186" s="5">
        <f>(pima_data!C186-MIN(pima_data!$C$1:$C$768))/(MAX(pima_data!$C$1:$C$768)-MIN(pima_data!$C$1:$C$768))</f>
        <v>0.557377049180328</v>
      </c>
      <c r="D186" s="5">
        <f>(pima_data!D186-MIN(pima_data!$D$1:$D$768))/(MAX(pima_data!$D$1:$D$768)-MIN(pima_data!$D$1:$D$768))</f>
        <v>0.282828282828283</v>
      </c>
      <c r="E186" s="5">
        <f>(pima_data!E186-MIN(pima_data!$E$1:$E$768))/(MAX(pima_data!$E$1:$E$768)-MIN(pima_data!$E$1:$E$768))</f>
        <v>0</v>
      </c>
      <c r="F186" s="5">
        <f>(pima_data!F186-MIN(pima_data!$F$1:$F$768))/(MAX(pima_data!$F$1:$F$768)-MIN(pima_data!$F$1:$F$768))</f>
        <v>0.535022354694486</v>
      </c>
      <c r="G186" s="5">
        <f>(pima_data!G186-MIN(pima_data!$G$1:$G$768))/(MAX(pima_data!$G$1:$G$768)-MIN(pima_data!$G$1:$G$768))</f>
        <v>0.284799316823228</v>
      </c>
      <c r="H186" s="5">
        <f>(pima_data!H186-MIN(pima_data!$H$1:$H$768))/(MAX(pima_data!$H$1:$H$768)-MIN(pima_data!$H$1:$H$768))</f>
        <v>0.333333333333333</v>
      </c>
    </row>
    <row r="187" spans="1:8">
      <c r="A187" s="5">
        <f>(pima_data!A187-MIN(pima_data!$A$1:$A$768))/(MAX(pima_data!$A$1:$A$768)-MIN(pima_data!$A$1:$A$768))</f>
        <v>0.470588235294118</v>
      </c>
      <c r="B187" s="5">
        <f>(pima_data!B187-MIN(pima_data!$B$1:$B$768))/(MAX(pima_data!$B$1:$B$768)-MIN(pima_data!$B$1:$B$768))</f>
        <v>0.909547738693467</v>
      </c>
      <c r="C187" s="5">
        <f>(pima_data!C187-MIN(pima_data!$C$1:$C$768))/(MAX(pima_data!$C$1:$C$768)-MIN(pima_data!$C$1:$C$768))</f>
        <v>0.557377049180328</v>
      </c>
      <c r="D187" s="5">
        <f>(pima_data!D187-MIN(pima_data!$D$1:$D$768))/(MAX(pima_data!$D$1:$D$768)-MIN(pima_data!$D$1:$D$768))</f>
        <v>0.363636363636364</v>
      </c>
      <c r="E187" s="5">
        <f>(pima_data!E187-MIN(pima_data!$E$1:$E$768))/(MAX(pima_data!$E$1:$E$768)-MIN(pima_data!$E$1:$E$768))</f>
        <v>0.585106382978723</v>
      </c>
      <c r="F187" s="5">
        <f>(pima_data!F187-MIN(pima_data!$F$1:$F$768))/(MAX(pima_data!$F$1:$F$768)-MIN(pima_data!$F$1:$F$768))</f>
        <v>0.448584202682563</v>
      </c>
      <c r="G187" s="5">
        <f>(pima_data!G187-MIN(pima_data!$G$1:$G$768))/(MAX(pima_data!$G$1:$G$768)-MIN(pima_data!$G$1:$G$768))</f>
        <v>0.229291204099061</v>
      </c>
      <c r="H187" s="5">
        <f>(pima_data!H187-MIN(pima_data!$H$1:$H$768))/(MAX(pima_data!$H$1:$H$768)-MIN(pima_data!$H$1:$H$768))</f>
        <v>0.65</v>
      </c>
    </row>
    <row r="188" spans="1:8">
      <c r="A188" s="5">
        <f>(pima_data!A188-MIN(pima_data!$A$1:$A$768))/(MAX(pima_data!$A$1:$A$768)-MIN(pima_data!$A$1:$A$768))</f>
        <v>0.0588235294117647</v>
      </c>
      <c r="B188" s="5">
        <f>(pima_data!B188-MIN(pima_data!$B$1:$B$768))/(MAX(pima_data!$B$1:$B$768)-MIN(pima_data!$B$1:$B$768))</f>
        <v>0.64321608040201</v>
      </c>
      <c r="C188" s="5">
        <f>(pima_data!C188-MIN(pima_data!$C$1:$C$768))/(MAX(pima_data!$C$1:$C$768)-MIN(pima_data!$C$1:$C$768))</f>
        <v>0.80327868852459</v>
      </c>
      <c r="D188" s="5">
        <f>(pima_data!D188-MIN(pima_data!$D$1:$D$768))/(MAX(pima_data!$D$1:$D$768)-MIN(pima_data!$D$1:$D$768))</f>
        <v>0.414141414141414</v>
      </c>
      <c r="E188" s="5">
        <f>(pima_data!E188-MIN(pima_data!$E$1:$E$768))/(MAX(pima_data!$E$1:$E$768)-MIN(pima_data!$E$1:$E$768))</f>
        <v>0.0685579196217494</v>
      </c>
      <c r="F188" s="5">
        <f>(pima_data!F188-MIN(pima_data!$F$1:$F$768))/(MAX(pima_data!$F$1:$F$768)-MIN(pima_data!$F$1:$F$768))</f>
        <v>0.476900149031297</v>
      </c>
      <c r="G188" s="5">
        <f>(pima_data!G188-MIN(pima_data!$G$1:$G$768))/(MAX(pima_data!$G$1:$G$768)-MIN(pima_data!$G$1:$G$768))</f>
        <v>0.530742954739539</v>
      </c>
      <c r="H188" s="5">
        <f>(pima_data!H188-MIN(pima_data!$H$1:$H$768))/(MAX(pima_data!$H$1:$H$768)-MIN(pima_data!$H$1:$H$768))</f>
        <v>0.2</v>
      </c>
    </row>
    <row r="189" spans="1:8">
      <c r="A189" s="5">
        <f>(pima_data!A189-MIN(pima_data!$A$1:$A$768))/(MAX(pima_data!$A$1:$A$768)-MIN(pima_data!$A$1:$A$768))</f>
        <v>0.470588235294118</v>
      </c>
      <c r="B189" s="5">
        <f>(pima_data!B189-MIN(pima_data!$B$1:$B$768))/(MAX(pima_data!$B$1:$B$768)-MIN(pima_data!$B$1:$B$768))</f>
        <v>0.547738693467337</v>
      </c>
      <c r="C189" s="5">
        <f>(pima_data!C189-MIN(pima_data!$C$1:$C$768))/(MAX(pima_data!$C$1:$C$768)-MIN(pima_data!$C$1:$C$768))</f>
        <v>0.622950819672131</v>
      </c>
      <c r="D189" s="5">
        <f>(pima_data!D189-MIN(pima_data!$D$1:$D$768))/(MAX(pima_data!$D$1:$D$768)-MIN(pima_data!$D$1:$D$768))</f>
        <v>0.393939393939394</v>
      </c>
      <c r="E189" s="5">
        <f>(pima_data!E189-MIN(pima_data!$E$1:$E$768))/(MAX(pima_data!$E$1:$E$768)-MIN(pima_data!$E$1:$E$768))</f>
        <v>0.134751773049645</v>
      </c>
      <c r="F189" s="5">
        <f>(pima_data!F189-MIN(pima_data!$F$1:$F$768))/(MAX(pima_data!$F$1:$F$768)-MIN(pima_data!$F$1:$F$768))</f>
        <v>0.415797317436662</v>
      </c>
      <c r="G189" s="5">
        <f>(pima_data!G189-MIN(pima_data!$G$1:$G$768))/(MAX(pima_data!$G$1:$G$768)-MIN(pima_data!$G$1:$G$768))</f>
        <v>0.239965841161401</v>
      </c>
      <c r="H189" s="5">
        <f>(pima_data!H189-MIN(pima_data!$H$1:$H$768))/(MAX(pima_data!$H$1:$H$768)-MIN(pima_data!$H$1:$H$768))</f>
        <v>0.166666666666667</v>
      </c>
    </row>
    <row r="190" spans="1:8">
      <c r="A190" s="5">
        <f>(pima_data!A190-MIN(pima_data!$A$1:$A$768))/(MAX(pima_data!$A$1:$A$768)-MIN(pima_data!$A$1:$A$768))</f>
        <v>0.294117647058824</v>
      </c>
      <c r="B190" s="5">
        <f>(pima_data!B190-MIN(pima_data!$B$1:$B$768))/(MAX(pima_data!$B$1:$B$768)-MIN(pima_data!$B$1:$B$768))</f>
        <v>0.698492462311558</v>
      </c>
      <c r="C190" s="5">
        <f>(pima_data!C190-MIN(pima_data!$C$1:$C$768))/(MAX(pima_data!$C$1:$C$768)-MIN(pima_data!$C$1:$C$768))</f>
        <v>0.655737704918033</v>
      </c>
      <c r="D190" s="5">
        <f>(pima_data!D190-MIN(pima_data!$D$1:$D$768))/(MAX(pima_data!$D$1:$D$768)-MIN(pima_data!$D$1:$D$768))</f>
        <v>0.353535353535354</v>
      </c>
      <c r="E190" s="5">
        <f>(pima_data!E190-MIN(pima_data!$E$1:$E$768))/(MAX(pima_data!$E$1:$E$768)-MIN(pima_data!$E$1:$E$768))</f>
        <v>0.189125295508274</v>
      </c>
      <c r="F190" s="5">
        <f>(pima_data!F190-MIN(pima_data!$F$1:$F$768))/(MAX(pima_data!$F$1:$F$768)-MIN(pima_data!$F$1:$F$768))</f>
        <v>0.470938897168405</v>
      </c>
      <c r="G190" s="5">
        <f>(pima_data!G190-MIN(pima_data!$G$1:$G$768))/(MAX(pima_data!$G$1:$G$768)-MIN(pima_data!$G$1:$G$768))</f>
        <v>0.120836891545687</v>
      </c>
      <c r="H190" s="5">
        <f>(pima_data!H190-MIN(pima_data!$H$1:$H$768))/(MAX(pima_data!$H$1:$H$768)-MIN(pima_data!$H$1:$H$768))</f>
        <v>0.0666666666666667</v>
      </c>
    </row>
    <row r="191" spans="1:8">
      <c r="A191" s="5">
        <f>(pima_data!A191-MIN(pima_data!$A$1:$A$768))/(MAX(pima_data!$A$1:$A$768)-MIN(pima_data!$A$1:$A$768))</f>
        <v>0.176470588235294</v>
      </c>
      <c r="B191" s="5">
        <f>(pima_data!B191-MIN(pima_data!$B$1:$B$768))/(MAX(pima_data!$B$1:$B$768)-MIN(pima_data!$B$1:$B$768))</f>
        <v>0.557788944723618</v>
      </c>
      <c r="C191" s="5">
        <f>(pima_data!C191-MIN(pima_data!$C$1:$C$768))/(MAX(pima_data!$C$1:$C$768)-MIN(pima_data!$C$1:$C$768))</f>
        <v>0.508196721311475</v>
      </c>
      <c r="D191" s="5">
        <f>(pima_data!D191-MIN(pima_data!$D$1:$D$768))/(MAX(pima_data!$D$1:$D$768)-MIN(pima_data!$D$1:$D$768))</f>
        <v>0</v>
      </c>
      <c r="E191" s="5">
        <f>(pima_data!E191-MIN(pima_data!$E$1:$E$768))/(MAX(pima_data!$E$1:$E$768)-MIN(pima_data!$E$1:$E$768))</f>
        <v>0</v>
      </c>
      <c r="F191" s="5">
        <f>(pima_data!F191-MIN(pima_data!$F$1:$F$768))/(MAX(pima_data!$F$1:$F$768)-MIN(pima_data!$F$1:$F$768))</f>
        <v>0.336810730253353</v>
      </c>
      <c r="G191" s="5">
        <f>(pima_data!G191-MIN(pima_data!$G$1:$G$768))/(MAX(pima_data!$G$1:$G$768)-MIN(pima_data!$G$1:$G$768))</f>
        <v>0.0273270708795901</v>
      </c>
      <c r="H191" s="5">
        <f>(pima_data!H191-MIN(pima_data!$H$1:$H$768))/(MAX(pima_data!$H$1:$H$768)-MIN(pima_data!$H$1:$H$768))</f>
        <v>0</v>
      </c>
    </row>
    <row r="192" spans="1:8">
      <c r="A192" s="5">
        <f>(pima_data!A192-MIN(pima_data!$A$1:$A$768))/(MAX(pima_data!$A$1:$A$768)-MIN(pima_data!$A$1:$A$768))</f>
        <v>0.529411764705882</v>
      </c>
      <c r="B192" s="5">
        <f>(pima_data!B192-MIN(pima_data!$B$1:$B$768))/(MAX(pima_data!$B$1:$B$768)-MIN(pima_data!$B$1:$B$768))</f>
        <v>0.618090452261307</v>
      </c>
      <c r="C192" s="5">
        <f>(pima_data!C192-MIN(pima_data!$C$1:$C$768))/(MAX(pima_data!$C$1:$C$768)-MIN(pima_data!$C$1:$C$768))</f>
        <v>0.573770491803279</v>
      </c>
      <c r="D192" s="5">
        <f>(pima_data!D192-MIN(pima_data!$D$1:$D$768))/(MAX(pima_data!$D$1:$D$768)-MIN(pima_data!$D$1:$D$768))</f>
        <v>0.444444444444444</v>
      </c>
      <c r="E192" s="5">
        <f>(pima_data!E192-MIN(pima_data!$E$1:$E$768))/(MAX(pima_data!$E$1:$E$768)-MIN(pima_data!$E$1:$E$768))</f>
        <v>0.111111111111111</v>
      </c>
      <c r="F192" s="5">
        <f>(pima_data!F192-MIN(pima_data!$F$1:$F$768))/(MAX(pima_data!$F$1:$F$768)-MIN(pima_data!$F$1:$F$768))</f>
        <v>0.493293591654247</v>
      </c>
      <c r="G192" s="5">
        <f>(pima_data!G192-MIN(pima_data!$G$1:$G$768))/(MAX(pima_data!$G$1:$G$768)-MIN(pima_data!$G$1:$G$768))</f>
        <v>0.126387702818104</v>
      </c>
      <c r="H192" s="5">
        <f>(pima_data!H192-MIN(pima_data!$H$1:$H$768))/(MAX(pima_data!$H$1:$H$768)-MIN(pima_data!$H$1:$H$768))</f>
        <v>0.316666666666667</v>
      </c>
    </row>
    <row r="193" spans="1:8">
      <c r="A193" s="5">
        <f>(pima_data!A193-MIN(pima_data!$A$1:$A$768))/(MAX(pima_data!$A$1:$A$768)-MIN(pima_data!$A$1:$A$768))</f>
        <v>0.411764705882353</v>
      </c>
      <c r="B193" s="5">
        <f>(pima_data!B193-MIN(pima_data!$B$1:$B$768))/(MAX(pima_data!$B$1:$B$768)-MIN(pima_data!$B$1:$B$768))</f>
        <v>0.798994974874372</v>
      </c>
      <c r="C193" s="5">
        <f>(pima_data!C193-MIN(pima_data!$C$1:$C$768))/(MAX(pima_data!$C$1:$C$768)-MIN(pima_data!$C$1:$C$768))</f>
        <v>0.540983606557377</v>
      </c>
      <c r="D193" s="5">
        <f>(pima_data!D193-MIN(pima_data!$D$1:$D$768))/(MAX(pima_data!$D$1:$D$768)-MIN(pima_data!$D$1:$D$768))</f>
        <v>0</v>
      </c>
      <c r="E193" s="5">
        <f>(pima_data!E193-MIN(pima_data!$E$1:$E$768))/(MAX(pima_data!$E$1:$E$768)-MIN(pima_data!$E$1:$E$768))</f>
        <v>0</v>
      </c>
      <c r="F193" s="5">
        <f>(pima_data!F193-MIN(pima_data!$F$1:$F$768))/(MAX(pima_data!$F$1:$F$768)-MIN(pima_data!$F$1:$F$768))</f>
        <v>0.453055141579732</v>
      </c>
      <c r="G193" s="5">
        <f>(pima_data!G193-MIN(pima_data!$G$1:$G$768))/(MAX(pima_data!$G$1:$G$768)-MIN(pima_data!$G$1:$G$768))</f>
        <v>0.130230572160547</v>
      </c>
      <c r="H193" s="5">
        <f>(pima_data!H193-MIN(pima_data!$H$1:$H$768))/(MAX(pima_data!$H$1:$H$768)-MIN(pima_data!$H$1:$H$768))</f>
        <v>0.25</v>
      </c>
    </row>
    <row r="194" spans="1:8">
      <c r="A194" s="5">
        <f>(pima_data!A194-MIN(pima_data!$A$1:$A$768))/(MAX(pima_data!$A$1:$A$768)-MIN(pima_data!$A$1:$A$768))</f>
        <v>0.647058823529412</v>
      </c>
      <c r="B194" s="5">
        <f>(pima_data!B194-MIN(pima_data!$B$1:$B$768))/(MAX(pima_data!$B$1:$B$768)-MIN(pima_data!$B$1:$B$768))</f>
        <v>0.678391959798995</v>
      </c>
      <c r="C194" s="5">
        <f>(pima_data!C194-MIN(pima_data!$C$1:$C$768))/(MAX(pima_data!$C$1:$C$768)-MIN(pima_data!$C$1:$C$768))</f>
        <v>0</v>
      </c>
      <c r="D194" s="5">
        <f>(pima_data!D194-MIN(pima_data!$D$1:$D$768))/(MAX(pima_data!$D$1:$D$768)-MIN(pima_data!$D$1:$D$768))</f>
        <v>0</v>
      </c>
      <c r="E194" s="5">
        <f>(pima_data!E194-MIN(pima_data!$E$1:$E$768))/(MAX(pima_data!$E$1:$E$768)-MIN(pima_data!$E$1:$E$768))</f>
        <v>0</v>
      </c>
      <c r="F194" s="5">
        <f>(pima_data!F194-MIN(pima_data!$F$1:$F$768))/(MAX(pima_data!$F$1:$F$768)-MIN(pima_data!$F$1:$F$768))</f>
        <v>0.779433681073025</v>
      </c>
      <c r="G194" s="5">
        <f>(pima_data!G194-MIN(pima_data!$G$1:$G$768))/(MAX(pima_data!$G$1:$G$768)-MIN(pima_data!$G$1:$G$768))</f>
        <v>0.213492741246798</v>
      </c>
      <c r="H194" s="5">
        <f>(pima_data!H194-MIN(pima_data!$H$1:$H$768))/(MAX(pima_data!$H$1:$H$768)-MIN(pima_data!$H$1:$H$768))</f>
        <v>0.316666666666667</v>
      </c>
    </row>
    <row r="195" spans="1:8">
      <c r="A195" s="5">
        <f>(pima_data!A195-MIN(pima_data!$A$1:$A$768))/(MAX(pima_data!$A$1:$A$768)-MIN(pima_data!$A$1:$A$768))</f>
        <v>0.470588235294118</v>
      </c>
      <c r="B195" s="5">
        <f>(pima_data!B195-MIN(pima_data!$B$1:$B$768))/(MAX(pima_data!$B$1:$B$768)-MIN(pima_data!$B$1:$B$768))</f>
        <v>0.42713567839196</v>
      </c>
      <c r="C195" s="5">
        <f>(pima_data!C195-MIN(pima_data!$C$1:$C$768))/(MAX(pima_data!$C$1:$C$768)-MIN(pima_data!$C$1:$C$768))</f>
        <v>0.450819672131148</v>
      </c>
      <c r="D195" s="5">
        <f>(pima_data!D195-MIN(pima_data!$D$1:$D$768))/(MAX(pima_data!$D$1:$D$768)-MIN(pima_data!$D$1:$D$768))</f>
        <v>0.202020202020202</v>
      </c>
      <c r="E195" s="5">
        <f>(pima_data!E195-MIN(pima_data!$E$1:$E$768))/(MAX(pima_data!$E$1:$E$768)-MIN(pima_data!$E$1:$E$768))</f>
        <v>0</v>
      </c>
      <c r="F195" s="5">
        <f>(pima_data!F195-MIN(pima_data!$F$1:$F$768))/(MAX(pima_data!$F$1:$F$768)-MIN(pima_data!$F$1:$F$768))</f>
        <v>0.363636363636364</v>
      </c>
      <c r="G195" s="5">
        <f>(pima_data!G195-MIN(pima_data!$G$1:$G$768))/(MAX(pima_data!$G$1:$G$768)-MIN(pima_data!$G$1:$G$768))</f>
        <v>0.0247651579846285</v>
      </c>
      <c r="H195" s="5">
        <f>(pima_data!H195-MIN(pima_data!$H$1:$H$768))/(MAX(pima_data!$H$1:$H$768)-MIN(pima_data!$H$1:$H$768))</f>
        <v>0.35</v>
      </c>
    </row>
    <row r="196" spans="1:8">
      <c r="A196" s="5">
        <f>(pima_data!A196-MIN(pima_data!$A$1:$A$768))/(MAX(pima_data!$A$1:$A$768)-MIN(pima_data!$A$1:$A$768))</f>
        <v>0.294117647058824</v>
      </c>
      <c r="B196" s="5">
        <f>(pima_data!B196-MIN(pima_data!$B$1:$B$768))/(MAX(pima_data!$B$1:$B$768)-MIN(pima_data!$B$1:$B$768))</f>
        <v>0.793969849246231</v>
      </c>
      <c r="C196" s="5">
        <f>(pima_data!C196-MIN(pima_data!$C$1:$C$768))/(MAX(pima_data!$C$1:$C$768)-MIN(pima_data!$C$1:$C$768))</f>
        <v>0.688524590163934</v>
      </c>
      <c r="D196" s="5">
        <f>(pima_data!D196-MIN(pima_data!$D$1:$D$768))/(MAX(pima_data!$D$1:$D$768)-MIN(pima_data!$D$1:$D$768))</f>
        <v>0.414141414141414</v>
      </c>
      <c r="E196" s="5">
        <f>(pima_data!E196-MIN(pima_data!$E$1:$E$768))/(MAX(pima_data!$E$1:$E$768)-MIN(pima_data!$E$1:$E$768))</f>
        <v>0.24822695035461</v>
      </c>
      <c r="F196" s="5">
        <f>(pima_data!F196-MIN(pima_data!$F$1:$F$768))/(MAX(pima_data!$F$1:$F$768)-MIN(pima_data!$F$1:$F$768))</f>
        <v>0.587183308494784</v>
      </c>
      <c r="G196" s="5">
        <f>(pima_data!G196-MIN(pima_data!$G$1:$G$768))/(MAX(pima_data!$G$1:$G$768)-MIN(pima_data!$G$1:$G$768))</f>
        <v>0.13535439795047</v>
      </c>
      <c r="H196" s="5">
        <f>(pima_data!H196-MIN(pima_data!$H$1:$H$768))/(MAX(pima_data!$H$1:$H$768)-MIN(pima_data!$H$1:$H$768))</f>
        <v>0.133333333333333</v>
      </c>
    </row>
    <row r="197" spans="1:8">
      <c r="A197" s="5">
        <f>(pima_data!A197-MIN(pima_data!$A$1:$A$768))/(MAX(pima_data!$A$1:$A$768)-MIN(pima_data!$A$1:$A$768))</f>
        <v>0.0588235294117647</v>
      </c>
      <c r="B197" s="5">
        <f>(pima_data!B197-MIN(pima_data!$B$1:$B$768))/(MAX(pima_data!$B$1:$B$768)-MIN(pima_data!$B$1:$B$768))</f>
        <v>0.527638190954774</v>
      </c>
      <c r="C197" s="5">
        <f>(pima_data!C197-MIN(pima_data!$C$1:$C$768))/(MAX(pima_data!$C$1:$C$768)-MIN(pima_data!$C$1:$C$768))</f>
        <v>0.475409836065574</v>
      </c>
      <c r="D197" s="5">
        <f>(pima_data!D197-MIN(pima_data!$D$1:$D$768))/(MAX(pima_data!$D$1:$D$768)-MIN(pima_data!$D$1:$D$768))</f>
        <v>0</v>
      </c>
      <c r="E197" s="5">
        <f>(pima_data!E197-MIN(pima_data!$E$1:$E$768))/(MAX(pima_data!$E$1:$E$768)-MIN(pima_data!$E$1:$E$768))</f>
        <v>0</v>
      </c>
      <c r="F197" s="5">
        <f>(pima_data!F197-MIN(pima_data!$F$1:$F$768))/(MAX(pima_data!$F$1:$F$768)-MIN(pima_data!$F$1:$F$768))</f>
        <v>0.362146050670641</v>
      </c>
      <c r="G197" s="5">
        <f>(pima_data!G197-MIN(pima_data!$G$1:$G$768))/(MAX(pima_data!$G$1:$G$768)-MIN(pima_data!$G$1:$G$768))</f>
        <v>0.0465414175918019</v>
      </c>
      <c r="H197" s="5">
        <f>(pima_data!H197-MIN(pima_data!$H$1:$H$768))/(MAX(pima_data!$H$1:$H$768)-MIN(pima_data!$H$1:$H$768))</f>
        <v>0</v>
      </c>
    </row>
    <row r="198" spans="1:8">
      <c r="A198" s="5">
        <f>(pima_data!A198-MIN(pima_data!$A$1:$A$768))/(MAX(pima_data!$A$1:$A$768)-MIN(pima_data!$A$1:$A$768))</f>
        <v>0.176470588235294</v>
      </c>
      <c r="B198" s="5">
        <f>(pima_data!B198-MIN(pima_data!$B$1:$B$768))/(MAX(pima_data!$B$1:$B$768)-MIN(pima_data!$B$1:$B$768))</f>
        <v>0.537688442211055</v>
      </c>
      <c r="C198" s="5">
        <f>(pima_data!C198-MIN(pima_data!$C$1:$C$768))/(MAX(pima_data!$C$1:$C$768)-MIN(pima_data!$C$1:$C$768))</f>
        <v>0.508196721311475</v>
      </c>
      <c r="D198" s="5">
        <f>(pima_data!D198-MIN(pima_data!$D$1:$D$768))/(MAX(pima_data!$D$1:$D$768)-MIN(pima_data!$D$1:$D$768))</f>
        <v>0.131313131313131</v>
      </c>
      <c r="E198" s="5">
        <f>(pima_data!E198-MIN(pima_data!$E$1:$E$768))/(MAX(pima_data!$E$1:$E$768)-MIN(pima_data!$E$1:$E$768))</f>
        <v>0.0567375886524823</v>
      </c>
      <c r="F198" s="5">
        <f>(pima_data!F198-MIN(pima_data!$F$1:$F$768))/(MAX(pima_data!$F$1:$F$768)-MIN(pima_data!$F$1:$F$768))</f>
        <v>0.341281669150522</v>
      </c>
      <c r="G198" s="5">
        <f>(pima_data!G198-MIN(pima_data!$G$1:$G$768))/(MAX(pima_data!$G$1:$G$768)-MIN(pima_data!$G$1:$G$768))</f>
        <v>0.256191289496157</v>
      </c>
      <c r="H198" s="5">
        <f>(pima_data!H198-MIN(pima_data!$H$1:$H$768))/(MAX(pima_data!$H$1:$H$768)-MIN(pima_data!$H$1:$H$768))</f>
        <v>0.0333333333333333</v>
      </c>
    </row>
    <row r="199" spans="1:8">
      <c r="A199" s="5">
        <f>(pima_data!A199-MIN(pima_data!$A$1:$A$768))/(MAX(pima_data!$A$1:$A$768)-MIN(pima_data!$A$1:$A$768))</f>
        <v>0.235294117647059</v>
      </c>
      <c r="B199" s="5">
        <f>(pima_data!B199-MIN(pima_data!$B$1:$B$768))/(MAX(pima_data!$B$1:$B$768)-MIN(pima_data!$B$1:$B$768))</f>
        <v>0.547738693467337</v>
      </c>
      <c r="C199" s="5">
        <f>(pima_data!C199-MIN(pima_data!$C$1:$C$768))/(MAX(pima_data!$C$1:$C$768)-MIN(pima_data!$C$1:$C$768))</f>
        <v>0.524590163934426</v>
      </c>
      <c r="D199" s="5">
        <f>(pima_data!D199-MIN(pima_data!$D$1:$D$768))/(MAX(pima_data!$D$1:$D$768)-MIN(pima_data!$D$1:$D$768))</f>
        <v>0.444444444444444</v>
      </c>
      <c r="E199" s="5">
        <f>(pima_data!E199-MIN(pima_data!$E$1:$E$768))/(MAX(pima_data!$E$1:$E$768)-MIN(pima_data!$E$1:$E$768))</f>
        <v>0.117021276595745</v>
      </c>
      <c r="F199" s="5">
        <f>(pima_data!F199-MIN(pima_data!$F$1:$F$768))/(MAX(pima_data!$F$1:$F$768)-MIN(pima_data!$F$1:$F$768))</f>
        <v>0.518628912071535</v>
      </c>
      <c r="G199" s="5">
        <f>(pima_data!G199-MIN(pima_data!$G$1:$G$768))/(MAX(pima_data!$G$1:$G$768)-MIN(pima_data!$G$1:$G$768))</f>
        <v>0.353116994022203</v>
      </c>
      <c r="H199" s="5">
        <f>(pima_data!H199-MIN(pima_data!$H$1:$H$768))/(MAX(pima_data!$H$1:$H$768)-MIN(pima_data!$H$1:$H$768))</f>
        <v>0.0833333333333333</v>
      </c>
    </row>
    <row r="200" spans="1:8">
      <c r="A200" s="5">
        <f>(pima_data!A200-MIN(pima_data!$A$1:$A$768))/(MAX(pima_data!$A$1:$A$768)-MIN(pima_data!$A$1:$A$768))</f>
        <v>0.235294117647059</v>
      </c>
      <c r="B200" s="5">
        <f>(pima_data!B200-MIN(pima_data!$B$1:$B$768))/(MAX(pima_data!$B$1:$B$768)-MIN(pima_data!$B$1:$B$768))</f>
        <v>0.743718592964824</v>
      </c>
      <c r="C200" s="5">
        <f>(pima_data!C200-MIN(pima_data!$C$1:$C$768))/(MAX(pima_data!$C$1:$C$768)-MIN(pima_data!$C$1:$C$768))</f>
        <v>0.491803278688525</v>
      </c>
      <c r="D200" s="5">
        <f>(pima_data!D200-MIN(pima_data!$D$1:$D$768))/(MAX(pima_data!$D$1:$D$768)-MIN(pima_data!$D$1:$D$768))</f>
        <v>0.272727272727273</v>
      </c>
      <c r="E200" s="5">
        <f>(pima_data!E200-MIN(pima_data!$E$1:$E$768))/(MAX(pima_data!$E$1:$E$768)-MIN(pima_data!$E$1:$E$768))</f>
        <v>0.375886524822695</v>
      </c>
      <c r="F200" s="5">
        <f>(pima_data!F200-MIN(pima_data!$F$1:$F$768))/(MAX(pima_data!$F$1:$F$768)-MIN(pima_data!$F$1:$F$768))</f>
        <v>0.460506706408346</v>
      </c>
      <c r="G200" s="5">
        <f>(pima_data!G200-MIN(pima_data!$G$1:$G$768))/(MAX(pima_data!$G$1:$G$768)-MIN(pima_data!$G$1:$G$768))</f>
        <v>0.0307429547395389</v>
      </c>
      <c r="H200" s="5">
        <f>(pima_data!H200-MIN(pima_data!$H$1:$H$768))/(MAX(pima_data!$H$1:$H$768)-MIN(pima_data!$H$1:$H$768))</f>
        <v>0.133333333333333</v>
      </c>
    </row>
    <row r="201" spans="1:8">
      <c r="A201" s="5">
        <f>(pima_data!A201-MIN(pima_data!$A$1:$A$768))/(MAX(pima_data!$A$1:$A$768)-MIN(pima_data!$A$1:$A$768))</f>
        <v>0</v>
      </c>
      <c r="B201" s="5">
        <f>(pima_data!B201-MIN(pima_data!$B$1:$B$768))/(MAX(pima_data!$B$1:$B$768)-MIN(pima_data!$B$1:$B$768))</f>
        <v>0.5678391959799</v>
      </c>
      <c r="C201" s="5">
        <f>(pima_data!C201-MIN(pima_data!$C$1:$C$768))/(MAX(pima_data!$C$1:$C$768)-MIN(pima_data!$C$1:$C$768))</f>
        <v>0.655737704918033</v>
      </c>
      <c r="D201" s="5">
        <f>(pima_data!D201-MIN(pima_data!$D$1:$D$768))/(MAX(pima_data!$D$1:$D$768)-MIN(pima_data!$D$1:$D$768))</f>
        <v>0.161616161616162</v>
      </c>
      <c r="E201" s="5">
        <f>(pima_data!E201-MIN(pima_data!$E$1:$E$768))/(MAX(pima_data!$E$1:$E$768)-MIN(pima_data!$E$1:$E$768))</f>
        <v>0</v>
      </c>
      <c r="F201" s="5">
        <f>(pima_data!F201-MIN(pima_data!$F$1:$F$768))/(MAX(pima_data!$F$1:$F$768)-MIN(pima_data!$F$1:$F$768))</f>
        <v>0.461997019374069</v>
      </c>
      <c r="G201" s="5">
        <f>(pima_data!G201-MIN(pima_data!$G$1:$G$768))/(MAX(pima_data!$G$1:$G$768)-MIN(pima_data!$G$1:$G$768))</f>
        <v>0.339880444064902</v>
      </c>
      <c r="H201" s="5">
        <f>(pima_data!H201-MIN(pima_data!$H$1:$H$768))/(MAX(pima_data!$H$1:$H$768)-MIN(pima_data!$H$1:$H$768))</f>
        <v>0</v>
      </c>
    </row>
    <row r="202" spans="1:8">
      <c r="A202" s="5">
        <f>(pima_data!A202-MIN(pima_data!$A$1:$A$768))/(MAX(pima_data!$A$1:$A$768)-MIN(pima_data!$A$1:$A$768))</f>
        <v>0.0588235294117647</v>
      </c>
      <c r="B202" s="5">
        <f>(pima_data!B202-MIN(pima_data!$B$1:$B$768))/(MAX(pima_data!$B$1:$B$768)-MIN(pima_data!$B$1:$B$768))</f>
        <v>0.693467336683417</v>
      </c>
      <c r="C202" s="5">
        <f>(pima_data!C202-MIN(pima_data!$C$1:$C$768))/(MAX(pima_data!$C$1:$C$768)-MIN(pima_data!$C$1:$C$768))</f>
        <v>0.672131147540984</v>
      </c>
      <c r="D202" s="5">
        <f>(pima_data!D202-MIN(pima_data!$D$1:$D$768))/(MAX(pima_data!$D$1:$D$768)-MIN(pima_data!$D$1:$D$768))</f>
        <v>0</v>
      </c>
      <c r="E202" s="5">
        <f>(pima_data!E202-MIN(pima_data!$E$1:$E$768))/(MAX(pima_data!$E$1:$E$768)-MIN(pima_data!$E$1:$E$768))</f>
        <v>0</v>
      </c>
      <c r="F202" s="5">
        <f>(pima_data!F202-MIN(pima_data!$F$1:$F$768))/(MAX(pima_data!$F$1:$F$768)-MIN(pima_data!$F$1:$F$768))</f>
        <v>0.597615499254844</v>
      </c>
      <c r="G202" s="5">
        <f>(pima_data!G202-MIN(pima_data!$G$1:$G$768))/(MAX(pima_data!$G$1:$G$768)-MIN(pima_data!$G$1:$G$768))</f>
        <v>0.067463706233988</v>
      </c>
      <c r="H202" s="5">
        <f>(pima_data!H202-MIN(pima_data!$H$1:$H$768))/(MAX(pima_data!$H$1:$H$768)-MIN(pima_data!$H$1:$H$768))</f>
        <v>0.116666666666667</v>
      </c>
    </row>
    <row r="203" spans="1:8">
      <c r="A203" s="5">
        <f>(pima_data!A203-MIN(pima_data!$A$1:$A$768))/(MAX(pima_data!$A$1:$A$768)-MIN(pima_data!$A$1:$A$768))</f>
        <v>0</v>
      </c>
      <c r="B203" s="5">
        <f>(pima_data!B203-MIN(pima_data!$B$1:$B$768))/(MAX(pima_data!$B$1:$B$768)-MIN(pima_data!$B$1:$B$768))</f>
        <v>0.542713567839196</v>
      </c>
      <c r="C203" s="5">
        <f>(pima_data!C203-MIN(pima_data!$C$1:$C$768))/(MAX(pima_data!$C$1:$C$768)-MIN(pima_data!$C$1:$C$768))</f>
        <v>0.557377049180328</v>
      </c>
      <c r="D203" s="5">
        <f>(pima_data!D203-MIN(pima_data!$D$1:$D$768))/(MAX(pima_data!$D$1:$D$768)-MIN(pima_data!$D$1:$D$768))</f>
        <v>0.202020202020202</v>
      </c>
      <c r="E203" s="5">
        <f>(pima_data!E203-MIN(pima_data!$E$1:$E$768))/(MAX(pima_data!$E$1:$E$768)-MIN(pima_data!$E$1:$E$768))</f>
        <v>0</v>
      </c>
      <c r="F203" s="5">
        <f>(pima_data!F203-MIN(pima_data!$F$1:$F$768))/(MAX(pima_data!$F$1:$F$768)-MIN(pima_data!$F$1:$F$768))</f>
        <v>0.406855439642325</v>
      </c>
      <c r="G203" s="5">
        <f>(pima_data!G203-MIN(pima_data!$G$1:$G$768))/(MAX(pima_data!$G$1:$G$768)-MIN(pima_data!$G$1:$G$768))</f>
        <v>0.302732707087959</v>
      </c>
      <c r="H203" s="5">
        <f>(pima_data!H203-MIN(pima_data!$H$1:$H$768))/(MAX(pima_data!$H$1:$H$768)-MIN(pima_data!$H$1:$H$768))</f>
        <v>0.183333333333333</v>
      </c>
    </row>
    <row r="204" spans="1:8">
      <c r="A204" s="5">
        <f>(pima_data!A204-MIN(pima_data!$A$1:$A$768))/(MAX(pima_data!$A$1:$A$768)-MIN(pima_data!$A$1:$A$768))</f>
        <v>0.117647058823529</v>
      </c>
      <c r="B204" s="5">
        <f>(pima_data!B204-MIN(pima_data!$B$1:$B$768))/(MAX(pima_data!$B$1:$B$768)-MIN(pima_data!$B$1:$B$768))</f>
        <v>0.49748743718593</v>
      </c>
      <c r="C204" s="5">
        <f>(pima_data!C204-MIN(pima_data!$C$1:$C$768))/(MAX(pima_data!$C$1:$C$768)-MIN(pima_data!$C$1:$C$768))</f>
        <v>0.573770491803279</v>
      </c>
      <c r="D204" s="5">
        <f>(pima_data!D204-MIN(pima_data!$D$1:$D$768))/(MAX(pima_data!$D$1:$D$768)-MIN(pima_data!$D$1:$D$768))</f>
        <v>0.161616161616162</v>
      </c>
      <c r="E204" s="5">
        <f>(pima_data!E204-MIN(pima_data!$E$1:$E$768))/(MAX(pima_data!$E$1:$E$768)-MIN(pima_data!$E$1:$E$768))</f>
        <v>0.0520094562647754</v>
      </c>
      <c r="F204" s="5">
        <f>(pima_data!F204-MIN(pima_data!$F$1:$F$768))/(MAX(pima_data!$F$1:$F$768)-MIN(pima_data!$F$1:$F$768))</f>
        <v>0.304023845007452</v>
      </c>
      <c r="G204" s="5">
        <f>(pima_data!G204-MIN(pima_data!$G$1:$G$768))/(MAX(pima_data!$G$1:$G$768)-MIN(pima_data!$G$1:$G$768))</f>
        <v>0.0670367207514944</v>
      </c>
      <c r="H204" s="5">
        <f>(pima_data!H204-MIN(pima_data!$H$1:$H$768))/(MAX(pima_data!$H$1:$H$768)-MIN(pima_data!$H$1:$H$768))</f>
        <v>0.1</v>
      </c>
    </row>
    <row r="205" spans="1:8">
      <c r="A205" s="5">
        <f>(pima_data!A205-MIN(pima_data!$A$1:$A$768))/(MAX(pima_data!$A$1:$A$768)-MIN(pima_data!$A$1:$A$768))</f>
        <v>0.352941176470588</v>
      </c>
      <c r="B205" s="5">
        <f>(pima_data!B205-MIN(pima_data!$B$1:$B$768))/(MAX(pima_data!$B$1:$B$768)-MIN(pima_data!$B$1:$B$768))</f>
        <v>0.517587939698492</v>
      </c>
      <c r="C205" s="5">
        <f>(pima_data!C205-MIN(pima_data!$C$1:$C$768))/(MAX(pima_data!$C$1:$C$768)-MIN(pima_data!$C$1:$C$768))</f>
        <v>0.590163934426229</v>
      </c>
      <c r="D205" s="5">
        <f>(pima_data!D205-MIN(pima_data!$D$1:$D$768))/(MAX(pima_data!$D$1:$D$768)-MIN(pima_data!$D$1:$D$768))</f>
        <v>0.323232323232323</v>
      </c>
      <c r="E205" s="5">
        <f>(pima_data!E205-MIN(pima_data!$E$1:$E$768))/(MAX(pima_data!$E$1:$E$768)-MIN(pima_data!$E$1:$E$768))</f>
        <v>0.224586288416076</v>
      </c>
      <c r="F205" s="5">
        <f>(pima_data!F205-MIN(pima_data!$F$1:$F$768))/(MAX(pima_data!$F$1:$F$768)-MIN(pima_data!$F$1:$F$768))</f>
        <v>0.561847988077496</v>
      </c>
      <c r="G205" s="5">
        <f>(pima_data!G205-MIN(pima_data!$G$1:$G$768))/(MAX(pima_data!$G$1:$G$768)-MIN(pima_data!$G$1:$G$768))</f>
        <v>0.105038428693424</v>
      </c>
      <c r="H205" s="5">
        <f>(pima_data!H205-MIN(pima_data!$H$1:$H$768))/(MAX(pima_data!$H$1:$H$768)-MIN(pima_data!$H$1:$H$768))</f>
        <v>0.566666666666667</v>
      </c>
    </row>
    <row r="206" spans="1:8">
      <c r="A206" s="5">
        <f>(pima_data!A206-MIN(pima_data!$A$1:$A$768))/(MAX(pima_data!$A$1:$A$768)-MIN(pima_data!$A$1:$A$768))</f>
        <v>0.294117647058824</v>
      </c>
      <c r="B206" s="5">
        <f>(pima_data!B206-MIN(pima_data!$B$1:$B$768))/(MAX(pima_data!$B$1:$B$768)-MIN(pima_data!$B$1:$B$768))</f>
        <v>0.557788944723618</v>
      </c>
      <c r="C206" s="5">
        <f>(pima_data!C206-MIN(pima_data!$C$1:$C$768))/(MAX(pima_data!$C$1:$C$768)-MIN(pima_data!$C$1:$C$768))</f>
        <v>0.590163934426229</v>
      </c>
      <c r="D206" s="5">
        <f>(pima_data!D206-MIN(pima_data!$D$1:$D$768))/(MAX(pima_data!$D$1:$D$768)-MIN(pima_data!$D$1:$D$768))</f>
        <v>0.282828282828283</v>
      </c>
      <c r="E206" s="5">
        <f>(pima_data!E206-MIN(pima_data!$E$1:$E$768))/(MAX(pima_data!$E$1:$E$768)-MIN(pima_data!$E$1:$E$768))</f>
        <v>0</v>
      </c>
      <c r="F206" s="5">
        <f>(pima_data!F206-MIN(pima_data!$F$1:$F$768))/(MAX(pima_data!$F$1:$F$768)-MIN(pima_data!$F$1:$F$768))</f>
        <v>0.35618479880775</v>
      </c>
      <c r="G206" s="5">
        <f>(pima_data!G206-MIN(pima_data!$G$1:$G$768))/(MAX(pima_data!$G$1:$G$768)-MIN(pima_data!$G$1:$G$768))</f>
        <v>0.140478223740393</v>
      </c>
      <c r="H206" s="5">
        <f>(pima_data!H206-MIN(pima_data!$H$1:$H$768))/(MAX(pima_data!$H$1:$H$768)-MIN(pima_data!$H$1:$H$768))</f>
        <v>0.1</v>
      </c>
    </row>
    <row r="207" spans="1:8">
      <c r="A207" s="5">
        <f>(pima_data!A207-MIN(pima_data!$A$1:$A$768))/(MAX(pima_data!$A$1:$A$768)-MIN(pima_data!$A$1:$A$768))</f>
        <v>0.470588235294118</v>
      </c>
      <c r="B207" s="5">
        <f>(pima_data!B207-MIN(pima_data!$B$1:$B$768))/(MAX(pima_data!$B$1:$B$768)-MIN(pima_data!$B$1:$B$768))</f>
        <v>0.984924623115578</v>
      </c>
      <c r="C207" s="5">
        <f>(pima_data!C207-MIN(pima_data!$C$1:$C$768))/(MAX(pima_data!$C$1:$C$768)-MIN(pima_data!$C$1:$C$768))</f>
        <v>0.622950819672131</v>
      </c>
      <c r="D207" s="5">
        <f>(pima_data!D207-MIN(pima_data!$D$1:$D$768))/(MAX(pima_data!$D$1:$D$768)-MIN(pima_data!$D$1:$D$768))</f>
        <v>0.292929292929293</v>
      </c>
      <c r="E207" s="5">
        <f>(pima_data!E207-MIN(pima_data!$E$1:$E$768))/(MAX(pima_data!$E$1:$E$768)-MIN(pima_data!$E$1:$E$768))</f>
        <v>0.33096926713948</v>
      </c>
      <c r="F207" s="5">
        <f>(pima_data!F207-MIN(pima_data!$F$1:$F$768))/(MAX(pima_data!$F$1:$F$768)-MIN(pima_data!$F$1:$F$768))</f>
        <v>0.558867362146051</v>
      </c>
      <c r="G207" s="5">
        <f>(pima_data!G207-MIN(pima_data!$G$1:$G$768))/(MAX(pima_data!$G$1:$G$768)-MIN(pima_data!$G$1:$G$768))</f>
        <v>0.225021349274125</v>
      </c>
      <c r="H207" s="5">
        <f>(pima_data!H207-MIN(pima_data!$H$1:$H$768))/(MAX(pima_data!$H$1:$H$768)-MIN(pima_data!$H$1:$H$768))</f>
        <v>0.6</v>
      </c>
    </row>
    <row r="208" spans="1:8">
      <c r="A208" s="5">
        <f>(pima_data!A208-MIN(pima_data!$A$1:$A$768))/(MAX(pima_data!$A$1:$A$768)-MIN(pima_data!$A$1:$A$768))</f>
        <v>0.294117647058824</v>
      </c>
      <c r="B208" s="5">
        <f>(pima_data!B208-MIN(pima_data!$B$1:$B$768))/(MAX(pima_data!$B$1:$B$768)-MIN(pima_data!$B$1:$B$768))</f>
        <v>0.814070351758794</v>
      </c>
      <c r="C208" s="5">
        <f>(pima_data!C208-MIN(pima_data!$C$1:$C$768))/(MAX(pima_data!$C$1:$C$768)-MIN(pima_data!$C$1:$C$768))</f>
        <v>0.852459016393443</v>
      </c>
      <c r="D208" s="5">
        <f>(pima_data!D208-MIN(pima_data!$D$1:$D$768))/(MAX(pima_data!$D$1:$D$768)-MIN(pima_data!$D$1:$D$768))</f>
        <v>0</v>
      </c>
      <c r="E208" s="5">
        <f>(pima_data!E208-MIN(pima_data!$E$1:$E$768))/(MAX(pima_data!$E$1:$E$768)-MIN(pima_data!$E$1:$E$768))</f>
        <v>0</v>
      </c>
      <c r="F208" s="5">
        <f>(pima_data!F208-MIN(pima_data!$F$1:$F$768))/(MAX(pima_data!$F$1:$F$768)-MIN(pima_data!$F$1:$F$768))</f>
        <v>0.561847988077496</v>
      </c>
      <c r="G208" s="5">
        <f>(pima_data!G208-MIN(pima_data!$G$1:$G$768))/(MAX(pima_data!$G$1:$G$768)-MIN(pima_data!$G$1:$G$768))</f>
        <v>0.0311699402220324</v>
      </c>
      <c r="H208" s="5">
        <f>(pima_data!H208-MIN(pima_data!$H$1:$H$768))/(MAX(pima_data!$H$1:$H$768)-MIN(pima_data!$H$1:$H$768))</f>
        <v>0.516666666666667</v>
      </c>
    </row>
    <row r="209" spans="1:8">
      <c r="A209" s="5">
        <f>(pima_data!A209-MIN(pima_data!$A$1:$A$768))/(MAX(pima_data!$A$1:$A$768)-MIN(pima_data!$A$1:$A$768))</f>
        <v>0.0588235294117647</v>
      </c>
      <c r="B209" s="5">
        <f>(pima_data!B209-MIN(pima_data!$B$1:$B$768))/(MAX(pima_data!$B$1:$B$768)-MIN(pima_data!$B$1:$B$768))</f>
        <v>0.482412060301508</v>
      </c>
      <c r="C209" s="5">
        <f>(pima_data!C209-MIN(pima_data!$C$1:$C$768))/(MAX(pima_data!$C$1:$C$768)-MIN(pima_data!$C$1:$C$768))</f>
        <v>0.524590163934426</v>
      </c>
      <c r="D209" s="5">
        <f>(pima_data!D209-MIN(pima_data!$D$1:$D$768))/(MAX(pima_data!$D$1:$D$768)-MIN(pima_data!$D$1:$D$768))</f>
        <v>0.272727272727273</v>
      </c>
      <c r="E209" s="5">
        <f>(pima_data!E209-MIN(pima_data!$E$1:$E$768))/(MAX(pima_data!$E$1:$E$768)-MIN(pima_data!$E$1:$E$768))</f>
        <v>0.102836879432624</v>
      </c>
      <c r="F209" s="5">
        <f>(pima_data!F209-MIN(pima_data!$F$1:$F$768))/(MAX(pima_data!$F$1:$F$768)-MIN(pima_data!$F$1:$F$768))</f>
        <v>0.49478390461997</v>
      </c>
      <c r="G209" s="5">
        <f>(pima_data!G209-MIN(pima_data!$G$1:$G$768))/(MAX(pima_data!$G$1:$G$768)-MIN(pima_data!$G$1:$G$768))</f>
        <v>0.0900939368061486</v>
      </c>
      <c r="H209" s="5">
        <f>(pima_data!H209-MIN(pima_data!$H$1:$H$768))/(MAX(pima_data!$H$1:$H$768)-MIN(pima_data!$H$1:$H$768))</f>
        <v>0</v>
      </c>
    </row>
    <row r="210" spans="1:8">
      <c r="A210" s="5">
        <f>(pima_data!A210-MIN(pima_data!$A$1:$A$768))/(MAX(pima_data!$A$1:$A$768)-MIN(pima_data!$A$1:$A$768))</f>
        <v>0.411764705882353</v>
      </c>
      <c r="B210" s="5">
        <f>(pima_data!B210-MIN(pima_data!$B$1:$B$768))/(MAX(pima_data!$B$1:$B$768)-MIN(pima_data!$B$1:$B$768))</f>
        <v>0.924623115577889</v>
      </c>
      <c r="C210" s="5">
        <f>(pima_data!C210-MIN(pima_data!$C$1:$C$768))/(MAX(pima_data!$C$1:$C$768)-MIN(pima_data!$C$1:$C$768))</f>
        <v>0.688524590163934</v>
      </c>
      <c r="D210" s="5">
        <f>(pima_data!D210-MIN(pima_data!$D$1:$D$768))/(MAX(pima_data!$D$1:$D$768)-MIN(pima_data!$D$1:$D$768))</f>
        <v>0.333333333333333</v>
      </c>
      <c r="E210" s="5">
        <f>(pima_data!E210-MIN(pima_data!$E$1:$E$768))/(MAX(pima_data!$E$1:$E$768)-MIN(pima_data!$E$1:$E$768))</f>
        <v>0</v>
      </c>
      <c r="F210" s="5">
        <f>(pima_data!F210-MIN(pima_data!$F$1:$F$768))/(MAX(pima_data!$F$1:$F$768)-MIN(pima_data!$F$1:$F$768))</f>
        <v>0.529061102831595</v>
      </c>
      <c r="G210" s="5">
        <f>(pima_data!G210-MIN(pima_data!$G$1:$G$768))/(MAX(pima_data!$G$1:$G$768)-MIN(pima_data!$G$1:$G$768))</f>
        <v>0.118274978650726</v>
      </c>
      <c r="H210" s="5">
        <f>(pima_data!H210-MIN(pima_data!$H$1:$H$768))/(MAX(pima_data!$H$1:$H$768)-MIN(pima_data!$H$1:$H$768))</f>
        <v>0.333333333333333</v>
      </c>
    </row>
    <row r="211" spans="1:8">
      <c r="A211" s="5">
        <f>(pima_data!A211-MIN(pima_data!$A$1:$A$768))/(MAX(pima_data!$A$1:$A$768)-MIN(pima_data!$A$1:$A$768))</f>
        <v>0.117647058823529</v>
      </c>
      <c r="B211" s="5">
        <f>(pima_data!B211-MIN(pima_data!$B$1:$B$768))/(MAX(pima_data!$B$1:$B$768)-MIN(pima_data!$B$1:$B$768))</f>
        <v>0.407035175879397</v>
      </c>
      <c r="C211" s="5">
        <f>(pima_data!C211-MIN(pima_data!$C$1:$C$768))/(MAX(pima_data!$C$1:$C$768)-MIN(pima_data!$C$1:$C$768))</f>
        <v>0.491803278688525</v>
      </c>
      <c r="D211" s="5">
        <f>(pima_data!D211-MIN(pima_data!$D$1:$D$768))/(MAX(pima_data!$D$1:$D$768)-MIN(pima_data!$D$1:$D$768))</f>
        <v>0.222222222222222</v>
      </c>
      <c r="E211" s="5">
        <f>(pima_data!E211-MIN(pima_data!$E$1:$E$768))/(MAX(pima_data!$E$1:$E$768)-MIN(pima_data!$E$1:$E$768))</f>
        <v>0</v>
      </c>
      <c r="F211" s="5">
        <f>(pima_data!F211-MIN(pima_data!$F$1:$F$768))/(MAX(pima_data!$F$1:$F$768)-MIN(pima_data!$F$1:$F$768))</f>
        <v>0.412816691505216</v>
      </c>
      <c r="G211" s="5">
        <f>(pima_data!G211-MIN(pima_data!$G$1:$G$768))/(MAX(pima_data!$G$1:$G$768)-MIN(pima_data!$G$1:$G$768))</f>
        <v>0.0905209222886422</v>
      </c>
      <c r="H211" s="5">
        <f>(pima_data!H211-MIN(pima_data!$H$1:$H$768))/(MAX(pima_data!$H$1:$H$768)-MIN(pima_data!$H$1:$H$768))</f>
        <v>0.0666666666666667</v>
      </c>
    </row>
    <row r="212" spans="1:8">
      <c r="A212" s="5">
        <f>(pima_data!A212-MIN(pima_data!$A$1:$A$768))/(MAX(pima_data!$A$1:$A$768)-MIN(pima_data!$A$1:$A$768))</f>
        <v>0</v>
      </c>
      <c r="B212" s="5">
        <f>(pima_data!B212-MIN(pima_data!$B$1:$B$768))/(MAX(pima_data!$B$1:$B$768)-MIN(pima_data!$B$1:$B$768))</f>
        <v>0.738693467336683</v>
      </c>
      <c r="C212" s="5">
        <f>(pima_data!C212-MIN(pima_data!$C$1:$C$768))/(MAX(pima_data!$C$1:$C$768)-MIN(pima_data!$C$1:$C$768))</f>
        <v>0.69672131147541</v>
      </c>
      <c r="D212" s="5">
        <f>(pima_data!D212-MIN(pima_data!$D$1:$D$768))/(MAX(pima_data!$D$1:$D$768)-MIN(pima_data!$D$1:$D$768))</f>
        <v>0.545454545454545</v>
      </c>
      <c r="E212" s="5">
        <f>(pima_data!E212-MIN(pima_data!$E$1:$E$768))/(MAX(pima_data!$E$1:$E$768)-MIN(pima_data!$E$1:$E$768))</f>
        <v>0</v>
      </c>
      <c r="F212" s="5">
        <f>(pima_data!F212-MIN(pima_data!$F$1:$F$768))/(MAX(pima_data!$F$1:$F$768)-MIN(pima_data!$F$1:$F$768))</f>
        <v>0.637853949329359</v>
      </c>
      <c r="G212" s="5">
        <f>(pima_data!G212-MIN(pima_data!$G$1:$G$768))/(MAX(pima_data!$G$1:$G$768)-MIN(pima_data!$G$1:$G$768))</f>
        <v>0.126814688300598</v>
      </c>
      <c r="H212" s="5">
        <f>(pima_data!H212-MIN(pima_data!$H$1:$H$768))/(MAX(pima_data!$H$1:$H$768)-MIN(pima_data!$H$1:$H$768))</f>
        <v>0.05</v>
      </c>
    </row>
    <row r="213" spans="1:8">
      <c r="A213" s="5">
        <f>(pima_data!A213-MIN(pima_data!$A$1:$A$768))/(MAX(pima_data!$A$1:$A$768)-MIN(pima_data!$A$1:$A$768))</f>
        <v>0.411764705882353</v>
      </c>
      <c r="B213" s="5">
        <f>(pima_data!B213-MIN(pima_data!$B$1:$B$768))/(MAX(pima_data!$B$1:$B$768)-MIN(pima_data!$B$1:$B$768))</f>
        <v>0.899497487437186</v>
      </c>
      <c r="C213" s="5">
        <f>(pima_data!C213-MIN(pima_data!$C$1:$C$768))/(MAX(pima_data!$C$1:$C$768)-MIN(pima_data!$C$1:$C$768))</f>
        <v>0.778688524590164</v>
      </c>
      <c r="D213" s="5">
        <f>(pima_data!D213-MIN(pima_data!$D$1:$D$768))/(MAX(pima_data!$D$1:$D$768)-MIN(pima_data!$D$1:$D$768))</f>
        <v>0.313131313131313</v>
      </c>
      <c r="E213" s="5">
        <f>(pima_data!E213-MIN(pima_data!$E$1:$E$768))/(MAX(pima_data!$E$1:$E$768)-MIN(pima_data!$E$1:$E$768))</f>
        <v>0</v>
      </c>
      <c r="F213" s="5">
        <f>(pima_data!F213-MIN(pima_data!$F$1:$F$768))/(MAX(pima_data!$F$1:$F$768)-MIN(pima_data!$F$1:$F$768))</f>
        <v>0.509687034277198</v>
      </c>
      <c r="G213" s="5">
        <f>(pima_data!G213-MIN(pima_data!$G$1:$G$768))/(MAX(pima_data!$G$1:$G$768)-MIN(pima_data!$G$1:$G$768))</f>
        <v>0.0367207514944492</v>
      </c>
      <c r="H213" s="5">
        <f>(pima_data!H213-MIN(pima_data!$H$1:$H$768))/(MAX(pima_data!$H$1:$H$768)-MIN(pima_data!$H$1:$H$768))</f>
        <v>0.65</v>
      </c>
    </row>
    <row r="214" spans="1:8">
      <c r="A214" s="5">
        <f>(pima_data!A214-MIN(pima_data!$A$1:$A$768))/(MAX(pima_data!$A$1:$A$768)-MIN(pima_data!$A$1:$A$768))</f>
        <v>0</v>
      </c>
      <c r="B214" s="5">
        <f>(pima_data!B214-MIN(pima_data!$B$1:$B$768))/(MAX(pima_data!$B$1:$B$768)-MIN(pima_data!$B$1:$B$768))</f>
        <v>0.703517587939699</v>
      </c>
      <c r="C214" s="5">
        <f>(pima_data!C214-MIN(pima_data!$C$1:$C$768))/(MAX(pima_data!$C$1:$C$768)-MIN(pima_data!$C$1:$C$768))</f>
        <v>0.532786885245902</v>
      </c>
      <c r="D214" s="5">
        <f>(pima_data!D214-MIN(pima_data!$D$1:$D$768))/(MAX(pima_data!$D$1:$D$768)-MIN(pima_data!$D$1:$D$768))</f>
        <v>0.262626262626263</v>
      </c>
      <c r="E214" s="5">
        <f>(pima_data!E214-MIN(pima_data!$E$1:$E$768))/(MAX(pima_data!$E$1:$E$768)-MIN(pima_data!$E$1:$E$768))</f>
        <v>0.153664302600473</v>
      </c>
      <c r="F214" s="5">
        <f>(pima_data!F214-MIN(pima_data!$F$1:$F$768))/(MAX(pima_data!$F$1:$F$768)-MIN(pima_data!$F$1:$F$768))</f>
        <v>0.634873323397914</v>
      </c>
      <c r="G214" s="5">
        <f>(pima_data!G214-MIN(pima_data!$G$1:$G$768))/(MAX(pima_data!$G$1:$G$768)-MIN(pima_data!$G$1:$G$768))</f>
        <v>0.150725875320239</v>
      </c>
      <c r="H214" s="5">
        <f>(pima_data!H214-MIN(pima_data!$H$1:$H$768))/(MAX(pima_data!$H$1:$H$768)-MIN(pima_data!$H$1:$H$768))</f>
        <v>0.05</v>
      </c>
    </row>
    <row r="215" spans="1:8">
      <c r="A215" s="5">
        <f>(pima_data!A215-MIN(pima_data!$A$1:$A$768))/(MAX(pima_data!$A$1:$A$768)-MIN(pima_data!$A$1:$A$768))</f>
        <v>0.529411764705882</v>
      </c>
      <c r="B215" s="5">
        <f>(pima_data!B215-MIN(pima_data!$B$1:$B$768))/(MAX(pima_data!$B$1:$B$768)-MIN(pima_data!$B$1:$B$768))</f>
        <v>0.562814070351759</v>
      </c>
      <c r="C215" s="5">
        <f>(pima_data!C215-MIN(pima_data!$C$1:$C$768))/(MAX(pima_data!$C$1:$C$768)-MIN(pima_data!$C$1:$C$768))</f>
        <v>0.672131147540984</v>
      </c>
      <c r="D215" s="5">
        <f>(pima_data!D215-MIN(pima_data!$D$1:$D$768))/(MAX(pima_data!$D$1:$D$768)-MIN(pima_data!$D$1:$D$768))</f>
        <v>0.323232323232323</v>
      </c>
      <c r="E215" s="5">
        <f>(pima_data!E215-MIN(pima_data!$E$1:$E$768))/(MAX(pima_data!$E$1:$E$768)-MIN(pima_data!$E$1:$E$768))</f>
        <v>0.206855791962175</v>
      </c>
      <c r="F215" s="5">
        <f>(pima_data!F215-MIN(pima_data!$F$1:$F$768))/(MAX(pima_data!$F$1:$F$768)-MIN(pima_data!$F$1:$F$768))</f>
        <v>0.509687034277198</v>
      </c>
      <c r="G215" s="5">
        <f>(pima_data!G215-MIN(pima_data!$G$1:$G$768))/(MAX(pima_data!$G$1:$G$768)-MIN(pima_data!$G$1:$G$768))</f>
        <v>0.0777113578138343</v>
      </c>
      <c r="H215" s="5">
        <f>(pima_data!H215-MIN(pima_data!$H$1:$H$768))/(MAX(pima_data!$H$1:$H$768)-MIN(pima_data!$H$1:$H$768))</f>
        <v>0.25</v>
      </c>
    </row>
    <row r="216" spans="1:8">
      <c r="A216" s="5">
        <f>(pima_data!A216-MIN(pima_data!$A$1:$A$768))/(MAX(pima_data!$A$1:$A$768)-MIN(pima_data!$A$1:$A$768))</f>
        <v>0.705882352941177</v>
      </c>
      <c r="B216" s="5">
        <f>(pima_data!B216-MIN(pima_data!$B$1:$B$768))/(MAX(pima_data!$B$1:$B$768)-MIN(pima_data!$B$1:$B$768))</f>
        <v>0.758793969849246</v>
      </c>
      <c r="C216" s="5">
        <f>(pima_data!C216-MIN(pima_data!$C$1:$C$768))/(MAX(pima_data!$C$1:$C$768)-MIN(pima_data!$C$1:$C$768))</f>
        <v>0.573770491803279</v>
      </c>
      <c r="D216" s="5">
        <f>(pima_data!D216-MIN(pima_data!$D$1:$D$768))/(MAX(pima_data!$D$1:$D$768)-MIN(pima_data!$D$1:$D$768))</f>
        <v>0.404040404040404</v>
      </c>
      <c r="E216" s="5">
        <f>(pima_data!E216-MIN(pima_data!$E$1:$E$768))/(MAX(pima_data!$E$1:$E$768)-MIN(pima_data!$E$1:$E$768))</f>
        <v>0.320330969267139</v>
      </c>
      <c r="F216" s="5">
        <f>(pima_data!F216-MIN(pima_data!$F$1:$F$768))/(MAX(pima_data!$F$1:$F$768)-MIN(pima_data!$F$1:$F$768))</f>
        <v>0.622950819672131</v>
      </c>
      <c r="G216" s="5">
        <f>(pima_data!G216-MIN(pima_data!$G$1:$G$768))/(MAX(pima_data!$G$1:$G$768)-MIN(pima_data!$G$1:$G$768))</f>
        <v>0.283518360375747</v>
      </c>
      <c r="H216" s="5">
        <f>(pima_data!H216-MIN(pima_data!$H$1:$H$768))/(MAX(pima_data!$H$1:$H$768)-MIN(pima_data!$H$1:$H$768))</f>
        <v>0.283333333333333</v>
      </c>
    </row>
    <row r="217" spans="1:8">
      <c r="A217" s="5">
        <f>(pima_data!A217-MIN(pima_data!$A$1:$A$768))/(MAX(pima_data!$A$1:$A$768)-MIN(pima_data!$A$1:$A$768))</f>
        <v>0.294117647058824</v>
      </c>
      <c r="B217" s="5">
        <f>(pima_data!B217-MIN(pima_data!$B$1:$B$768))/(MAX(pima_data!$B$1:$B$768)-MIN(pima_data!$B$1:$B$768))</f>
        <v>0.547738693467337</v>
      </c>
      <c r="C217" s="5">
        <f>(pima_data!C217-MIN(pima_data!$C$1:$C$768))/(MAX(pima_data!$C$1:$C$768)-MIN(pima_data!$C$1:$C$768))</f>
        <v>0.508196721311475</v>
      </c>
      <c r="D217" s="5">
        <f>(pima_data!D217-MIN(pima_data!$D$1:$D$768))/(MAX(pima_data!$D$1:$D$768)-MIN(pima_data!$D$1:$D$768))</f>
        <v>0.414141414141414</v>
      </c>
      <c r="E217" s="5">
        <f>(pima_data!E217-MIN(pima_data!$E$1:$E$768))/(MAX(pima_data!$E$1:$E$768)-MIN(pima_data!$E$1:$E$768))</f>
        <v>0.152482269503546</v>
      </c>
      <c r="F217" s="5">
        <f>(pima_data!F217-MIN(pima_data!$F$1:$F$768))/(MAX(pima_data!$F$1:$F$768)-MIN(pima_data!$F$1:$F$768))</f>
        <v>0.533532041728763</v>
      </c>
      <c r="G217" s="5">
        <f>(pima_data!G217-MIN(pima_data!$G$1:$G$768))/(MAX(pima_data!$G$1:$G$768)-MIN(pima_data!$G$1:$G$768))</f>
        <v>0.186165670367208</v>
      </c>
      <c r="H217" s="5">
        <f>(pima_data!H217-MIN(pima_data!$H$1:$H$768))/(MAX(pima_data!$H$1:$H$768)-MIN(pima_data!$H$1:$H$768))</f>
        <v>0.0666666666666667</v>
      </c>
    </row>
    <row r="218" spans="1:8">
      <c r="A218" s="5">
        <f>(pima_data!A218-MIN(pima_data!$A$1:$A$768))/(MAX(pima_data!$A$1:$A$768)-MIN(pima_data!$A$1:$A$768))</f>
        <v>0.352941176470588</v>
      </c>
      <c r="B218" s="5">
        <f>(pima_data!B218-MIN(pima_data!$B$1:$B$768))/(MAX(pima_data!$B$1:$B$768)-MIN(pima_data!$B$1:$B$768))</f>
        <v>0.628140703517588</v>
      </c>
      <c r="C218" s="5">
        <f>(pima_data!C218-MIN(pima_data!$C$1:$C$768))/(MAX(pima_data!$C$1:$C$768)-MIN(pima_data!$C$1:$C$768))</f>
        <v>0.557377049180328</v>
      </c>
      <c r="D218" s="5">
        <f>(pima_data!D218-MIN(pima_data!$D$1:$D$768))/(MAX(pima_data!$D$1:$D$768)-MIN(pima_data!$D$1:$D$768))</f>
        <v>0.303030303030303</v>
      </c>
      <c r="E218" s="5">
        <f>(pima_data!E218-MIN(pima_data!$E$1:$E$768))/(MAX(pima_data!$E$1:$E$768)-MIN(pima_data!$E$1:$E$768))</f>
        <v>0.141843971631206</v>
      </c>
      <c r="F218" s="5">
        <f>(pima_data!F218-MIN(pima_data!$F$1:$F$768))/(MAX(pima_data!$F$1:$F$768)-MIN(pima_data!$F$1:$F$768))</f>
        <v>0.447093889716841</v>
      </c>
      <c r="G218" s="5">
        <f>(pima_data!G218-MIN(pima_data!$G$1:$G$768))/(MAX(pima_data!$G$1:$G$768)-MIN(pima_data!$G$1:$G$768))</f>
        <v>0.164816396242528</v>
      </c>
      <c r="H218" s="5">
        <f>(pima_data!H218-MIN(pima_data!$H$1:$H$768))/(MAX(pima_data!$H$1:$H$768)-MIN(pima_data!$H$1:$H$768))</f>
        <v>0.183333333333333</v>
      </c>
    </row>
    <row r="219" spans="1:8">
      <c r="A219" s="5">
        <f>(pima_data!A219-MIN(pima_data!$A$1:$A$768))/(MAX(pima_data!$A$1:$A$768)-MIN(pima_data!$A$1:$A$768))</f>
        <v>0.294117647058824</v>
      </c>
      <c r="B219" s="5">
        <f>(pima_data!B219-MIN(pima_data!$B$1:$B$768))/(MAX(pima_data!$B$1:$B$768)-MIN(pima_data!$B$1:$B$768))</f>
        <v>0.42713567839196</v>
      </c>
      <c r="C219" s="5">
        <f>(pima_data!C219-MIN(pima_data!$C$1:$C$768))/(MAX(pima_data!$C$1:$C$768)-MIN(pima_data!$C$1:$C$768))</f>
        <v>0.60655737704918</v>
      </c>
      <c r="D219" s="5">
        <f>(pima_data!D219-MIN(pima_data!$D$1:$D$768))/(MAX(pima_data!$D$1:$D$768)-MIN(pima_data!$D$1:$D$768))</f>
        <v>0.222222222222222</v>
      </c>
      <c r="E219" s="5">
        <f>(pima_data!E219-MIN(pima_data!$E$1:$E$768))/(MAX(pima_data!$E$1:$E$768)-MIN(pima_data!$E$1:$E$768))</f>
        <v>0</v>
      </c>
      <c r="F219" s="5">
        <f>(pima_data!F219-MIN(pima_data!$F$1:$F$768))/(MAX(pima_data!$F$1:$F$768)-MIN(pima_data!$F$1:$F$768))</f>
        <v>0.432190760059613</v>
      </c>
      <c r="G219" s="5">
        <f>(pima_data!G219-MIN(pima_data!$G$1:$G$768))/(MAX(pima_data!$G$1:$G$768)-MIN(pima_data!$G$1:$G$768))</f>
        <v>0.48932536293766</v>
      </c>
      <c r="H219" s="5">
        <f>(pima_data!H219-MIN(pima_data!$H$1:$H$768))/(MAX(pima_data!$H$1:$H$768)-MIN(pima_data!$H$1:$H$768))</f>
        <v>0.183333333333333</v>
      </c>
    </row>
    <row r="220" spans="1:8">
      <c r="A220" s="5">
        <f>(pima_data!A220-MIN(pima_data!$A$1:$A$768))/(MAX(pima_data!$A$1:$A$768)-MIN(pima_data!$A$1:$A$768))</f>
        <v>0.294117647058824</v>
      </c>
      <c r="B220" s="5">
        <f>(pima_data!B220-MIN(pima_data!$B$1:$B$768))/(MAX(pima_data!$B$1:$B$768)-MIN(pima_data!$B$1:$B$768))</f>
        <v>0.562814070351759</v>
      </c>
      <c r="C220" s="5">
        <f>(pima_data!C220-MIN(pima_data!$C$1:$C$768))/(MAX(pima_data!$C$1:$C$768)-MIN(pima_data!$C$1:$C$768))</f>
        <v>0.540983606557377</v>
      </c>
      <c r="D220" s="5">
        <f>(pima_data!D220-MIN(pima_data!$D$1:$D$768))/(MAX(pima_data!$D$1:$D$768)-MIN(pima_data!$D$1:$D$768))</f>
        <v>0</v>
      </c>
      <c r="E220" s="5">
        <f>(pima_data!E220-MIN(pima_data!$E$1:$E$768))/(MAX(pima_data!$E$1:$E$768)-MIN(pima_data!$E$1:$E$768))</f>
        <v>0</v>
      </c>
      <c r="F220" s="5">
        <f>(pima_data!F220-MIN(pima_data!$F$1:$F$768))/(MAX(pima_data!$F$1:$F$768)-MIN(pima_data!$F$1:$F$768))</f>
        <v>0.563338301043219</v>
      </c>
      <c r="G220" s="5">
        <f>(pima_data!G220-MIN(pima_data!$G$1:$G$768))/(MAX(pima_data!$G$1:$G$768)-MIN(pima_data!$G$1:$G$768))</f>
        <v>0.0781383432963279</v>
      </c>
      <c r="H220" s="5">
        <f>(pima_data!H220-MIN(pima_data!$H$1:$H$768))/(MAX(pima_data!$H$1:$H$768)-MIN(pima_data!$H$1:$H$768))</f>
        <v>0.333333333333333</v>
      </c>
    </row>
    <row r="221" spans="1:8">
      <c r="A221" s="5">
        <f>(pima_data!A221-MIN(pima_data!$A$1:$A$768))/(MAX(pima_data!$A$1:$A$768)-MIN(pima_data!$A$1:$A$768))</f>
        <v>0</v>
      </c>
      <c r="B221" s="5">
        <f>(pima_data!B221-MIN(pima_data!$B$1:$B$768))/(MAX(pima_data!$B$1:$B$768)-MIN(pima_data!$B$1:$B$768))</f>
        <v>0.889447236180904</v>
      </c>
      <c r="C221" s="5">
        <f>(pima_data!C221-MIN(pima_data!$C$1:$C$768))/(MAX(pima_data!$C$1:$C$768)-MIN(pima_data!$C$1:$C$768))</f>
        <v>0.491803278688525</v>
      </c>
      <c r="D221" s="5">
        <f>(pima_data!D221-MIN(pima_data!$D$1:$D$768))/(MAX(pima_data!$D$1:$D$768)-MIN(pima_data!$D$1:$D$768))</f>
        <v>0.292929292929293</v>
      </c>
      <c r="E221" s="5">
        <f>(pima_data!E221-MIN(pima_data!$E$1:$E$768))/(MAX(pima_data!$E$1:$E$768)-MIN(pima_data!$E$1:$E$768))</f>
        <v>0.565011820330969</v>
      </c>
      <c r="F221" s="5">
        <f>(pima_data!F221-MIN(pima_data!$F$1:$F$768))/(MAX(pima_data!$F$1:$F$768)-MIN(pima_data!$F$1:$F$768))</f>
        <v>0.51564828614009</v>
      </c>
      <c r="G221" s="5">
        <f>(pima_data!G221-MIN(pima_data!$G$1:$G$768))/(MAX(pima_data!$G$1:$G$768)-MIN(pima_data!$G$1:$G$768))</f>
        <v>0.424423569598634</v>
      </c>
      <c r="H221" s="5">
        <f>(pima_data!H221-MIN(pima_data!$H$1:$H$768))/(MAX(pima_data!$H$1:$H$768)-MIN(pima_data!$H$1:$H$768))</f>
        <v>0</v>
      </c>
    </row>
    <row r="222" spans="1:8">
      <c r="A222" s="5">
        <f>(pima_data!A222-MIN(pima_data!$A$1:$A$768))/(MAX(pima_data!$A$1:$A$768)-MIN(pima_data!$A$1:$A$768))</f>
        <v>0.117647058823529</v>
      </c>
      <c r="B222" s="5">
        <f>(pima_data!B222-MIN(pima_data!$B$1:$B$768))/(MAX(pima_data!$B$1:$B$768)-MIN(pima_data!$B$1:$B$768))</f>
        <v>0.793969849246231</v>
      </c>
      <c r="C222" s="5">
        <f>(pima_data!C222-MIN(pima_data!$C$1:$C$768))/(MAX(pima_data!$C$1:$C$768)-MIN(pima_data!$C$1:$C$768))</f>
        <v>0.737704918032787</v>
      </c>
      <c r="D222" s="5">
        <f>(pima_data!D222-MIN(pima_data!$D$1:$D$768))/(MAX(pima_data!$D$1:$D$768)-MIN(pima_data!$D$1:$D$768))</f>
        <v>0</v>
      </c>
      <c r="E222" s="5">
        <f>(pima_data!E222-MIN(pima_data!$E$1:$E$768))/(MAX(pima_data!$E$1:$E$768)-MIN(pima_data!$E$1:$E$768))</f>
        <v>0</v>
      </c>
      <c r="F222" s="5">
        <f>(pima_data!F222-MIN(pima_data!$F$1:$F$768))/(MAX(pima_data!$F$1:$F$768)-MIN(pima_data!$F$1:$F$768))</f>
        <v>0.470938897168405</v>
      </c>
      <c r="G222" s="5">
        <f>(pima_data!G222-MIN(pima_data!$G$1:$G$768))/(MAX(pima_data!$G$1:$G$768)-MIN(pima_data!$G$1:$G$768))</f>
        <v>0.310418445772844</v>
      </c>
      <c r="H222" s="5">
        <f>(pima_data!H222-MIN(pima_data!$H$1:$H$768))/(MAX(pima_data!$H$1:$H$768)-MIN(pima_data!$H$1:$H$768))</f>
        <v>0.75</v>
      </c>
    </row>
    <row r="223" spans="1:8">
      <c r="A223" s="5">
        <f>(pima_data!A223-MIN(pima_data!$A$1:$A$768))/(MAX(pima_data!$A$1:$A$768)-MIN(pima_data!$A$1:$A$768))</f>
        <v>0.411764705882353</v>
      </c>
      <c r="B223" s="5">
        <f>(pima_data!B223-MIN(pima_data!$B$1:$B$768))/(MAX(pima_data!$B$1:$B$768)-MIN(pima_data!$B$1:$B$768))</f>
        <v>0.597989949748744</v>
      </c>
      <c r="C223" s="5">
        <f>(pima_data!C223-MIN(pima_data!$C$1:$C$768))/(MAX(pima_data!$C$1:$C$768)-MIN(pima_data!$C$1:$C$768))</f>
        <v>0</v>
      </c>
      <c r="D223" s="5">
        <f>(pima_data!D223-MIN(pima_data!$D$1:$D$768))/(MAX(pima_data!$D$1:$D$768)-MIN(pima_data!$D$1:$D$768))</f>
        <v>0</v>
      </c>
      <c r="E223" s="5">
        <f>(pima_data!E223-MIN(pima_data!$E$1:$E$768))/(MAX(pima_data!$E$1:$E$768)-MIN(pima_data!$E$1:$E$768))</f>
        <v>0</v>
      </c>
      <c r="F223" s="5">
        <f>(pima_data!F223-MIN(pima_data!$F$1:$F$768))/(MAX(pima_data!$F$1:$F$768)-MIN(pima_data!$F$1:$F$768))</f>
        <v>0.375558867362146</v>
      </c>
      <c r="G223" s="5">
        <f>(pima_data!G223-MIN(pima_data!$G$1:$G$768))/(MAX(pima_data!$G$1:$G$768)-MIN(pima_data!$G$1:$G$768))</f>
        <v>0.055935098206661</v>
      </c>
      <c r="H223" s="5">
        <f>(pima_data!H223-MIN(pima_data!$H$1:$H$768))/(MAX(pima_data!$H$1:$H$768)-MIN(pima_data!$H$1:$H$768))</f>
        <v>0.266666666666667</v>
      </c>
    </row>
    <row r="224" spans="1:8">
      <c r="A224" s="5">
        <f>(pima_data!A224-MIN(pima_data!$A$1:$A$768))/(MAX(pima_data!$A$1:$A$768)-MIN(pima_data!$A$1:$A$768))</f>
        <v>0.411764705882353</v>
      </c>
      <c r="B224" s="5">
        <f>(pima_data!B224-MIN(pima_data!$B$1:$B$768))/(MAX(pima_data!$B$1:$B$768)-MIN(pima_data!$B$1:$B$768))</f>
        <v>0.71356783919598</v>
      </c>
      <c r="C224" s="5">
        <f>(pima_data!C224-MIN(pima_data!$C$1:$C$768))/(MAX(pima_data!$C$1:$C$768)-MIN(pima_data!$C$1:$C$768))</f>
        <v>0.491803278688525</v>
      </c>
      <c r="D224" s="5">
        <f>(pima_data!D224-MIN(pima_data!$D$1:$D$768))/(MAX(pima_data!$D$1:$D$768)-MIN(pima_data!$D$1:$D$768))</f>
        <v>0.333333333333333</v>
      </c>
      <c r="E224" s="5">
        <f>(pima_data!E224-MIN(pima_data!$E$1:$E$768))/(MAX(pima_data!$E$1:$E$768)-MIN(pima_data!$E$1:$E$768))</f>
        <v>0.224586288416076</v>
      </c>
      <c r="F224" s="5">
        <f>(pima_data!F224-MIN(pima_data!$F$1:$F$768))/(MAX(pima_data!$F$1:$F$768)-MIN(pima_data!$F$1:$F$768))</f>
        <v>0.429210134128167</v>
      </c>
      <c r="G224" s="5">
        <f>(pima_data!G224-MIN(pima_data!$G$1:$G$768))/(MAX(pima_data!$G$1:$G$768)-MIN(pima_data!$G$1:$G$768))</f>
        <v>0.2600341588386</v>
      </c>
      <c r="H224" s="5">
        <f>(pima_data!H224-MIN(pima_data!$H$1:$H$768))/(MAX(pima_data!$H$1:$H$768)-MIN(pima_data!$H$1:$H$768))</f>
        <v>0.666666666666667</v>
      </c>
    </row>
    <row r="225" spans="1:8">
      <c r="A225" s="5">
        <f>(pima_data!A225-MIN(pima_data!$A$1:$A$768))/(MAX(pima_data!$A$1:$A$768)-MIN(pima_data!$A$1:$A$768))</f>
        <v>0.0588235294117647</v>
      </c>
      <c r="B225" s="5">
        <f>(pima_data!B225-MIN(pima_data!$B$1:$B$768))/(MAX(pima_data!$B$1:$B$768)-MIN(pima_data!$B$1:$B$768))</f>
        <v>0.50251256281407</v>
      </c>
      <c r="C225" s="5">
        <f>(pima_data!C225-MIN(pima_data!$C$1:$C$768))/(MAX(pima_data!$C$1:$C$768)-MIN(pima_data!$C$1:$C$768))</f>
        <v>0.540983606557377</v>
      </c>
      <c r="D225" s="5">
        <f>(pima_data!D225-MIN(pima_data!$D$1:$D$768))/(MAX(pima_data!$D$1:$D$768)-MIN(pima_data!$D$1:$D$768))</f>
        <v>0.151515151515152</v>
      </c>
      <c r="E225" s="5">
        <f>(pima_data!E225-MIN(pima_data!$E$1:$E$768))/(MAX(pima_data!$E$1:$E$768)-MIN(pima_data!$E$1:$E$768))</f>
        <v>0.066193853427896</v>
      </c>
      <c r="F225" s="5">
        <f>(pima_data!F225-MIN(pima_data!$F$1:$F$768))/(MAX(pima_data!$F$1:$F$768)-MIN(pima_data!$F$1:$F$768))</f>
        <v>0.351713859910581</v>
      </c>
      <c r="G225" s="5">
        <f>(pima_data!G225-MIN(pima_data!$G$1:$G$768))/(MAX(pima_data!$G$1:$G$768)-MIN(pima_data!$G$1:$G$768))</f>
        <v>0.251067463706234</v>
      </c>
      <c r="H225" s="5">
        <f>(pima_data!H225-MIN(pima_data!$H$1:$H$768))/(MAX(pima_data!$H$1:$H$768)-MIN(pima_data!$H$1:$H$768))</f>
        <v>0.0833333333333333</v>
      </c>
    </row>
    <row r="226" spans="1:8">
      <c r="A226" s="5">
        <f>(pima_data!A226-MIN(pima_data!$A$1:$A$768))/(MAX(pima_data!$A$1:$A$768)-MIN(pima_data!$A$1:$A$768))</f>
        <v>0.0588235294117647</v>
      </c>
      <c r="B226" s="5">
        <f>(pima_data!B226-MIN(pima_data!$B$1:$B$768))/(MAX(pima_data!$B$1:$B$768)-MIN(pima_data!$B$1:$B$768))</f>
        <v>0.437185929648241</v>
      </c>
      <c r="C226" s="5">
        <f>(pima_data!C226-MIN(pima_data!$C$1:$C$768))/(MAX(pima_data!$C$1:$C$768)-MIN(pima_data!$C$1:$C$768))</f>
        <v>0.639344262295082</v>
      </c>
      <c r="D226" s="5">
        <f>(pima_data!D226-MIN(pima_data!$D$1:$D$768))/(MAX(pima_data!$D$1:$D$768)-MIN(pima_data!$D$1:$D$768))</f>
        <v>0.272727272727273</v>
      </c>
      <c r="E226" s="5">
        <f>(pima_data!E226-MIN(pima_data!$E$1:$E$768))/(MAX(pima_data!$E$1:$E$768)-MIN(pima_data!$E$1:$E$768))</f>
        <v>0.0378250591016548</v>
      </c>
      <c r="F226" s="5">
        <f>(pima_data!F226-MIN(pima_data!$F$1:$F$768))/(MAX(pima_data!$F$1:$F$768)-MIN(pima_data!$F$1:$F$768))</f>
        <v>0.51564828614009</v>
      </c>
      <c r="G226" s="5">
        <f>(pima_data!G226-MIN(pima_data!$G$1:$G$768))/(MAX(pima_data!$G$1:$G$768)-MIN(pima_data!$G$1:$G$768))</f>
        <v>0.00982066609735269</v>
      </c>
      <c r="H226" s="5">
        <f>(pima_data!H226-MIN(pima_data!$H$1:$H$768))/(MAX(pima_data!$H$1:$H$768)-MIN(pima_data!$H$1:$H$768))</f>
        <v>0.0166666666666667</v>
      </c>
    </row>
    <row r="227" spans="1:8">
      <c r="A227" s="5">
        <f>(pima_data!A227-MIN(pima_data!$A$1:$A$768))/(MAX(pima_data!$A$1:$A$768)-MIN(pima_data!$A$1:$A$768))</f>
        <v>0</v>
      </c>
      <c r="B227" s="5">
        <f>(pima_data!B227-MIN(pima_data!$B$1:$B$768))/(MAX(pima_data!$B$1:$B$768)-MIN(pima_data!$B$1:$B$768))</f>
        <v>0.507537688442211</v>
      </c>
      <c r="C227" s="5">
        <f>(pima_data!C227-MIN(pima_data!$C$1:$C$768))/(MAX(pima_data!$C$1:$C$768)-MIN(pima_data!$C$1:$C$768))</f>
        <v>0.622950819672131</v>
      </c>
      <c r="D227" s="5">
        <f>(pima_data!D227-MIN(pima_data!$D$1:$D$768))/(MAX(pima_data!$D$1:$D$768)-MIN(pima_data!$D$1:$D$768))</f>
        <v>0</v>
      </c>
      <c r="E227" s="5">
        <f>(pima_data!E227-MIN(pima_data!$E$1:$E$768))/(MAX(pima_data!$E$1:$E$768)-MIN(pima_data!$E$1:$E$768))</f>
        <v>0</v>
      </c>
      <c r="F227" s="5">
        <f>(pima_data!F227-MIN(pima_data!$F$1:$F$768))/(MAX(pima_data!$F$1:$F$768)-MIN(pima_data!$F$1:$F$768))</f>
        <v>0.53204172876304</v>
      </c>
      <c r="G227" s="5">
        <f>(pima_data!G227-MIN(pima_data!$G$1:$G$768))/(MAX(pima_data!$G$1:$G$768)-MIN(pima_data!$G$1:$G$768))</f>
        <v>0.0512382578992314</v>
      </c>
      <c r="H227" s="5">
        <f>(pima_data!H227-MIN(pima_data!$H$1:$H$768))/(MAX(pima_data!$H$1:$H$768)-MIN(pima_data!$H$1:$H$768))</f>
        <v>0.0833333333333333</v>
      </c>
    </row>
    <row r="228" spans="1:8">
      <c r="A228" s="5">
        <f>(pima_data!A228-MIN(pima_data!$A$1:$A$768))/(MAX(pima_data!$A$1:$A$768)-MIN(pima_data!$A$1:$A$768))</f>
        <v>0.176470588235294</v>
      </c>
      <c r="B228" s="5">
        <f>(pima_data!B228-MIN(pima_data!$B$1:$B$768))/(MAX(pima_data!$B$1:$B$768)-MIN(pima_data!$B$1:$B$768))</f>
        <v>0.814070351758794</v>
      </c>
      <c r="C228" s="5">
        <f>(pima_data!C228-MIN(pima_data!$C$1:$C$768))/(MAX(pima_data!$C$1:$C$768)-MIN(pima_data!$C$1:$C$768))</f>
        <v>0.426229508196721</v>
      </c>
      <c r="D228" s="5">
        <f>(pima_data!D228-MIN(pima_data!$D$1:$D$768))/(MAX(pima_data!$D$1:$D$768)-MIN(pima_data!$D$1:$D$768))</f>
        <v>0.383838383838384</v>
      </c>
      <c r="E228" s="5">
        <f>(pima_data!E228-MIN(pima_data!$E$1:$E$768))/(MAX(pima_data!$E$1:$E$768)-MIN(pima_data!$E$1:$E$768))</f>
        <v>0</v>
      </c>
      <c r="F228" s="5">
        <f>(pima_data!F228-MIN(pima_data!$F$1:$F$768))/(MAX(pima_data!$F$1:$F$768)-MIN(pima_data!$F$1:$F$768))</f>
        <v>0.554396423248882</v>
      </c>
      <c r="G228" s="5">
        <f>(pima_data!G228-MIN(pima_data!$G$1:$G$768))/(MAX(pima_data!$G$1:$G$768)-MIN(pima_data!$G$1:$G$768))</f>
        <v>0.245089666951324</v>
      </c>
      <c r="H228" s="5">
        <f>(pima_data!H228-MIN(pima_data!$H$1:$H$768))/(MAX(pima_data!$H$1:$H$768)-MIN(pima_data!$H$1:$H$768))</f>
        <v>0.05</v>
      </c>
    </row>
    <row r="229" spans="1:8">
      <c r="A229" s="5">
        <f>(pima_data!A229-MIN(pima_data!$A$1:$A$768))/(MAX(pima_data!$A$1:$A$768)-MIN(pima_data!$A$1:$A$768))</f>
        <v>0.235294117647059</v>
      </c>
      <c r="B229" s="5">
        <f>(pima_data!B229-MIN(pima_data!$B$1:$B$768))/(MAX(pima_data!$B$1:$B$768)-MIN(pima_data!$B$1:$B$768))</f>
        <v>0.989949748743719</v>
      </c>
      <c r="C229" s="5">
        <f>(pima_data!C229-MIN(pima_data!$C$1:$C$768))/(MAX(pima_data!$C$1:$C$768)-MIN(pima_data!$C$1:$C$768))</f>
        <v>0.573770491803279</v>
      </c>
      <c r="D229" s="5">
        <f>(pima_data!D229-MIN(pima_data!$D$1:$D$768))/(MAX(pima_data!$D$1:$D$768)-MIN(pima_data!$D$1:$D$768))</f>
        <v>0.393939393939394</v>
      </c>
      <c r="E229" s="5">
        <f>(pima_data!E229-MIN(pima_data!$E$1:$E$768))/(MAX(pima_data!$E$1:$E$768)-MIN(pima_data!$E$1:$E$768))</f>
        <v>0.879432624113475</v>
      </c>
      <c r="F229" s="5">
        <f>(pima_data!F229-MIN(pima_data!$F$1:$F$768))/(MAX(pima_data!$F$1:$F$768)-MIN(pima_data!$F$1:$F$768))</f>
        <v>0.546944858420268</v>
      </c>
      <c r="G229" s="5">
        <f>(pima_data!G229-MIN(pima_data!$G$1:$G$768))/(MAX(pima_data!$G$1:$G$768)-MIN(pima_data!$G$1:$G$768))</f>
        <v>0.961144321093083</v>
      </c>
      <c r="H229" s="5">
        <f>(pima_data!H229-MIN(pima_data!$H$1:$H$768))/(MAX(pima_data!$H$1:$H$768)-MIN(pima_data!$H$1:$H$768))</f>
        <v>0.166666666666667</v>
      </c>
    </row>
    <row r="230" spans="1:8">
      <c r="A230" s="5">
        <f>(pima_data!A230-MIN(pima_data!$A$1:$A$768))/(MAX(pima_data!$A$1:$A$768)-MIN(pima_data!$A$1:$A$768))</f>
        <v>0</v>
      </c>
      <c r="B230" s="5">
        <f>(pima_data!B230-MIN(pima_data!$B$1:$B$768))/(MAX(pima_data!$B$1:$B$768)-MIN(pima_data!$B$1:$B$768))</f>
        <v>0.587939698492462</v>
      </c>
      <c r="C230" s="5">
        <f>(pima_data!C230-MIN(pima_data!$C$1:$C$768))/(MAX(pima_data!$C$1:$C$768)-MIN(pima_data!$C$1:$C$768))</f>
        <v>0.655737704918033</v>
      </c>
      <c r="D230" s="5">
        <f>(pima_data!D230-MIN(pima_data!$D$1:$D$768))/(MAX(pima_data!$D$1:$D$768)-MIN(pima_data!$D$1:$D$768))</f>
        <v>0.313131313131313</v>
      </c>
      <c r="E230" s="5">
        <f>(pima_data!E230-MIN(pima_data!$E$1:$E$768))/(MAX(pima_data!$E$1:$E$768)-MIN(pima_data!$E$1:$E$768))</f>
        <v>0.0626477541371158</v>
      </c>
      <c r="F230" s="5">
        <f>(pima_data!F230-MIN(pima_data!$F$1:$F$768))/(MAX(pima_data!$F$1:$F$768)-MIN(pima_data!$F$1:$F$768))</f>
        <v>0.673621460506706</v>
      </c>
      <c r="G230" s="5">
        <f>(pima_data!G230-MIN(pima_data!$G$1:$G$768))/(MAX(pima_data!$G$1:$G$768)-MIN(pima_data!$G$1:$G$768))</f>
        <v>0.00469684030742955</v>
      </c>
      <c r="H230" s="5">
        <f>(pima_data!H230-MIN(pima_data!$H$1:$H$768))/(MAX(pima_data!$H$1:$H$768)-MIN(pima_data!$H$1:$H$768))</f>
        <v>0.05</v>
      </c>
    </row>
    <row r="231" spans="1:8">
      <c r="A231" s="5">
        <f>(pima_data!A231-MIN(pima_data!$A$1:$A$768))/(MAX(pima_data!$A$1:$A$768)-MIN(pima_data!$A$1:$A$768))</f>
        <v>0.235294117647059</v>
      </c>
      <c r="B231" s="5">
        <f>(pima_data!B231-MIN(pima_data!$B$1:$B$768))/(MAX(pima_data!$B$1:$B$768)-MIN(pima_data!$B$1:$B$768))</f>
        <v>0.71356783919598</v>
      </c>
      <c r="C231" s="5">
        <f>(pima_data!C231-MIN(pima_data!$C$1:$C$768))/(MAX(pima_data!$C$1:$C$768)-MIN(pima_data!$C$1:$C$768))</f>
        <v>0.704918032786885</v>
      </c>
      <c r="D231" s="5">
        <f>(pima_data!D231-MIN(pima_data!$D$1:$D$768))/(MAX(pima_data!$D$1:$D$768)-MIN(pima_data!$D$1:$D$768))</f>
        <v>0</v>
      </c>
      <c r="E231" s="5">
        <f>(pima_data!E231-MIN(pima_data!$E$1:$E$768))/(MAX(pima_data!$E$1:$E$768)-MIN(pima_data!$E$1:$E$768))</f>
        <v>0</v>
      </c>
      <c r="F231" s="5">
        <f>(pima_data!F231-MIN(pima_data!$F$1:$F$768))/(MAX(pima_data!$F$1:$F$768)-MIN(pima_data!$F$1:$F$768))</f>
        <v>0.655737704918033</v>
      </c>
      <c r="G231" s="5">
        <f>(pima_data!G231-MIN(pima_data!$G$1:$G$768))/(MAX(pima_data!$G$1:$G$768)-MIN(pima_data!$G$1:$G$768))</f>
        <v>0.242100768573869</v>
      </c>
      <c r="H231" s="5">
        <f>(pima_data!H231-MIN(pima_data!$H$1:$H$768))/(MAX(pima_data!$H$1:$H$768)-MIN(pima_data!$H$1:$H$768))</f>
        <v>0.0166666666666667</v>
      </c>
    </row>
    <row r="232" spans="1:8">
      <c r="A232" s="5">
        <f>(pima_data!A232-MIN(pima_data!$A$1:$A$768))/(MAX(pima_data!$A$1:$A$768)-MIN(pima_data!$A$1:$A$768))</f>
        <v>0.352941176470588</v>
      </c>
      <c r="B232" s="5">
        <f>(pima_data!B232-MIN(pima_data!$B$1:$B$768))/(MAX(pima_data!$B$1:$B$768)-MIN(pima_data!$B$1:$B$768))</f>
        <v>0.673366834170854</v>
      </c>
      <c r="C232" s="5">
        <f>(pima_data!C232-MIN(pima_data!$C$1:$C$768))/(MAX(pima_data!$C$1:$C$768)-MIN(pima_data!$C$1:$C$768))</f>
        <v>0.655737704918033</v>
      </c>
      <c r="D232" s="5">
        <f>(pima_data!D232-MIN(pima_data!$D$1:$D$768))/(MAX(pima_data!$D$1:$D$768)-MIN(pima_data!$D$1:$D$768))</f>
        <v>0.373737373737374</v>
      </c>
      <c r="E232" s="5">
        <f>(pima_data!E232-MIN(pima_data!$E$1:$E$768))/(MAX(pima_data!$E$1:$E$768)-MIN(pima_data!$E$1:$E$768))</f>
        <v>0.437352245862884</v>
      </c>
      <c r="F232" s="5">
        <f>(pima_data!F232-MIN(pima_data!$F$1:$F$768))/(MAX(pima_data!$F$1:$F$768)-MIN(pima_data!$F$1:$F$768))</f>
        <v>0.688524590163935</v>
      </c>
      <c r="G232" s="5">
        <f>(pima_data!G232-MIN(pima_data!$G$1:$G$768))/(MAX(pima_data!$G$1:$G$768)-MIN(pima_data!$G$1:$G$768))</f>
        <v>0.0683176771989752</v>
      </c>
      <c r="H232" s="5">
        <f>(pima_data!H232-MIN(pima_data!$H$1:$H$768))/(MAX(pima_data!$H$1:$H$768)-MIN(pima_data!$H$1:$H$768))</f>
        <v>0.416666666666667</v>
      </c>
    </row>
    <row r="233" spans="1:8">
      <c r="A233" s="5">
        <f>(pima_data!A233-MIN(pima_data!$A$1:$A$768))/(MAX(pima_data!$A$1:$A$768)-MIN(pima_data!$A$1:$A$768))</f>
        <v>0.0588235294117647</v>
      </c>
      <c r="B233" s="5">
        <f>(pima_data!B233-MIN(pima_data!$B$1:$B$768))/(MAX(pima_data!$B$1:$B$768)-MIN(pima_data!$B$1:$B$768))</f>
        <v>0.396984924623116</v>
      </c>
      <c r="C233" s="5">
        <f>(pima_data!C233-MIN(pima_data!$C$1:$C$768))/(MAX(pima_data!$C$1:$C$768)-MIN(pima_data!$C$1:$C$768))</f>
        <v>0.655737704918033</v>
      </c>
      <c r="D233" s="5">
        <f>(pima_data!D233-MIN(pima_data!$D$1:$D$768))/(MAX(pima_data!$D$1:$D$768)-MIN(pima_data!$D$1:$D$768))</f>
        <v>0.252525252525253</v>
      </c>
      <c r="E233" s="5">
        <f>(pima_data!E233-MIN(pima_data!$E$1:$E$768))/(MAX(pima_data!$E$1:$E$768)-MIN(pima_data!$E$1:$E$768))</f>
        <v>0.0437352245862884</v>
      </c>
      <c r="F233" s="5">
        <f>(pima_data!F233-MIN(pima_data!$F$1:$F$768))/(MAX(pima_data!$F$1:$F$768)-MIN(pima_data!$F$1:$F$768))</f>
        <v>0.378539493293592</v>
      </c>
      <c r="G233" s="5">
        <f>(pima_data!G233-MIN(pima_data!$G$1:$G$768))/(MAX(pima_data!$G$1:$G$768)-MIN(pima_data!$G$1:$G$768))</f>
        <v>0.215627668659266</v>
      </c>
      <c r="H233" s="5">
        <f>(pima_data!H233-MIN(pima_data!$H$1:$H$768))/(MAX(pima_data!$H$1:$H$768)-MIN(pima_data!$H$1:$H$768))</f>
        <v>0.0166666666666667</v>
      </c>
    </row>
    <row r="234" spans="1:8">
      <c r="A234" s="5">
        <f>(pima_data!A234-MIN(pima_data!$A$1:$A$768))/(MAX(pima_data!$A$1:$A$768)-MIN(pima_data!$A$1:$A$768))</f>
        <v>0.235294117647059</v>
      </c>
      <c r="B234" s="5">
        <f>(pima_data!B234-MIN(pima_data!$B$1:$B$768))/(MAX(pima_data!$B$1:$B$768)-MIN(pima_data!$B$1:$B$768))</f>
        <v>0.613065326633166</v>
      </c>
      <c r="C234" s="5">
        <f>(pima_data!C234-MIN(pima_data!$C$1:$C$768))/(MAX(pima_data!$C$1:$C$768)-MIN(pima_data!$C$1:$C$768))</f>
        <v>0.557377049180328</v>
      </c>
      <c r="D234" s="5">
        <f>(pima_data!D234-MIN(pima_data!$D$1:$D$768))/(MAX(pima_data!$D$1:$D$768)-MIN(pima_data!$D$1:$D$768))</f>
        <v>0</v>
      </c>
      <c r="E234" s="5">
        <f>(pima_data!E234-MIN(pima_data!$E$1:$E$768))/(MAX(pima_data!$E$1:$E$768)-MIN(pima_data!$E$1:$E$768))</f>
        <v>0</v>
      </c>
      <c r="F234" s="5">
        <f>(pima_data!F234-MIN(pima_data!$F$1:$F$768))/(MAX(pima_data!$F$1:$F$768)-MIN(pima_data!$F$1:$F$768))</f>
        <v>0.521609538002981</v>
      </c>
      <c r="G234" s="5">
        <f>(pima_data!G234-MIN(pima_data!$G$1:$G$768))/(MAX(pima_data!$G$1:$G$768)-MIN(pima_data!$G$1:$G$768))</f>
        <v>0.134927412467976</v>
      </c>
      <c r="H234" s="5">
        <f>(pima_data!H234-MIN(pima_data!$H$1:$H$768))/(MAX(pima_data!$H$1:$H$768)-MIN(pima_data!$H$1:$H$768))</f>
        <v>0.133333333333333</v>
      </c>
    </row>
    <row r="235" spans="1:8">
      <c r="A235" s="5">
        <f>(pima_data!A235-MIN(pima_data!$A$1:$A$768))/(MAX(pima_data!$A$1:$A$768)-MIN(pima_data!$A$1:$A$768))</f>
        <v>0.176470588235294</v>
      </c>
      <c r="B235" s="5">
        <f>(pima_data!B235-MIN(pima_data!$B$1:$B$768))/(MAX(pima_data!$B$1:$B$768)-MIN(pima_data!$B$1:$B$768))</f>
        <v>0.371859296482412</v>
      </c>
      <c r="C235" s="5">
        <f>(pima_data!C235-MIN(pima_data!$C$1:$C$768))/(MAX(pima_data!$C$1:$C$768)-MIN(pima_data!$C$1:$C$768))</f>
        <v>0.557377049180328</v>
      </c>
      <c r="D235" s="5">
        <f>(pima_data!D235-MIN(pima_data!$D$1:$D$768))/(MAX(pima_data!$D$1:$D$768)-MIN(pima_data!$D$1:$D$768))</f>
        <v>0.282828282828283</v>
      </c>
      <c r="E235" s="5">
        <f>(pima_data!E235-MIN(pima_data!$E$1:$E$768))/(MAX(pima_data!$E$1:$E$768)-MIN(pima_data!$E$1:$E$768))</f>
        <v>0.0531914893617021</v>
      </c>
      <c r="F235" s="5">
        <f>(pima_data!F235-MIN(pima_data!$F$1:$F$768))/(MAX(pima_data!$F$1:$F$768)-MIN(pima_data!$F$1:$F$768))</f>
        <v>0.442622950819672</v>
      </c>
      <c r="G235" s="5">
        <f>(pima_data!G235-MIN(pima_data!$G$1:$G$768))/(MAX(pima_data!$G$1:$G$768)-MIN(pima_data!$G$1:$G$768))</f>
        <v>0.091801878736123</v>
      </c>
      <c r="H235" s="5">
        <f>(pima_data!H235-MIN(pima_data!$H$1:$H$768))/(MAX(pima_data!$H$1:$H$768)-MIN(pima_data!$H$1:$H$768))</f>
        <v>0.0333333333333333</v>
      </c>
    </row>
    <row r="236" spans="1:8">
      <c r="A236" s="5">
        <f>(pima_data!A236-MIN(pima_data!$A$1:$A$768))/(MAX(pima_data!$A$1:$A$768)-MIN(pima_data!$A$1:$A$768))</f>
        <v>0.235294117647059</v>
      </c>
      <c r="B236" s="5">
        <f>(pima_data!B236-MIN(pima_data!$B$1:$B$768))/(MAX(pima_data!$B$1:$B$768)-MIN(pima_data!$B$1:$B$768))</f>
        <v>0.85929648241206</v>
      </c>
      <c r="C236" s="5">
        <f>(pima_data!C236-MIN(pima_data!$C$1:$C$768))/(MAX(pima_data!$C$1:$C$768)-MIN(pima_data!$C$1:$C$768))</f>
        <v>0.590163934426229</v>
      </c>
      <c r="D236" s="5">
        <f>(pima_data!D236-MIN(pima_data!$D$1:$D$768))/(MAX(pima_data!$D$1:$D$768)-MIN(pima_data!$D$1:$D$768))</f>
        <v>0</v>
      </c>
      <c r="E236" s="5">
        <f>(pima_data!E236-MIN(pima_data!$E$1:$E$768))/(MAX(pima_data!$E$1:$E$768)-MIN(pima_data!$E$1:$E$768))</f>
        <v>0</v>
      </c>
      <c r="F236" s="5">
        <f>(pima_data!F236-MIN(pima_data!$F$1:$F$768))/(MAX(pima_data!$F$1:$F$768)-MIN(pima_data!$F$1:$F$768))</f>
        <v>0.649776453055142</v>
      </c>
      <c r="G236" s="5">
        <f>(pima_data!G236-MIN(pima_data!$G$1:$G$768))/(MAX(pima_data!$G$1:$G$768)-MIN(pima_data!$G$1:$G$768))</f>
        <v>0.171221178479932</v>
      </c>
      <c r="H236" s="5">
        <f>(pima_data!H236-MIN(pima_data!$H$1:$H$768))/(MAX(pima_data!$H$1:$H$768)-MIN(pima_data!$H$1:$H$768))</f>
        <v>0.0833333333333333</v>
      </c>
    </row>
    <row r="237" spans="1:8">
      <c r="A237" s="5">
        <f>(pima_data!A237-MIN(pima_data!$A$1:$A$768))/(MAX(pima_data!$A$1:$A$768)-MIN(pima_data!$A$1:$A$768))</f>
        <v>0.411764705882353</v>
      </c>
      <c r="B237" s="5">
        <f>(pima_data!B237-MIN(pima_data!$B$1:$B$768))/(MAX(pima_data!$B$1:$B$768)-MIN(pima_data!$B$1:$B$768))</f>
        <v>0.909547738693467</v>
      </c>
      <c r="C237" s="5">
        <f>(pima_data!C237-MIN(pima_data!$C$1:$C$768))/(MAX(pima_data!$C$1:$C$768)-MIN(pima_data!$C$1:$C$768))</f>
        <v>0.688524590163934</v>
      </c>
      <c r="D237" s="5">
        <f>(pima_data!D237-MIN(pima_data!$D$1:$D$768))/(MAX(pima_data!$D$1:$D$768)-MIN(pima_data!$D$1:$D$768))</f>
        <v>0.212121212121212</v>
      </c>
      <c r="E237" s="5">
        <f>(pima_data!E237-MIN(pima_data!$E$1:$E$768))/(MAX(pima_data!$E$1:$E$768)-MIN(pima_data!$E$1:$E$768))</f>
        <v>0.226950354609929</v>
      </c>
      <c r="F237" s="5">
        <f>(pima_data!F237-MIN(pima_data!$F$1:$F$768))/(MAX(pima_data!$F$1:$F$768)-MIN(pima_data!$F$1:$F$768))</f>
        <v>0.535022354694486</v>
      </c>
      <c r="G237" s="5">
        <f>(pima_data!G237-MIN(pima_data!$G$1:$G$768))/(MAX(pima_data!$G$1:$G$768)-MIN(pima_data!$G$1:$G$768))</f>
        <v>0.216908625106746</v>
      </c>
      <c r="H237" s="5">
        <f>(pima_data!H237-MIN(pima_data!$H$1:$H$768))/(MAX(pima_data!$H$1:$H$768)-MIN(pima_data!$H$1:$H$768))</f>
        <v>0.5</v>
      </c>
    </row>
    <row r="238" spans="1:8">
      <c r="A238" s="5">
        <f>(pima_data!A238-MIN(pima_data!$A$1:$A$768))/(MAX(pima_data!$A$1:$A$768)-MIN(pima_data!$A$1:$A$768))</f>
        <v>0</v>
      </c>
      <c r="B238" s="5">
        <f>(pima_data!B238-MIN(pima_data!$B$1:$B$768))/(MAX(pima_data!$B$1:$B$768)-MIN(pima_data!$B$1:$B$768))</f>
        <v>0.899497487437186</v>
      </c>
      <c r="C238" s="5">
        <f>(pima_data!C238-MIN(pima_data!$C$1:$C$768))/(MAX(pima_data!$C$1:$C$768)-MIN(pima_data!$C$1:$C$768))</f>
        <v>0.737704918032787</v>
      </c>
      <c r="D238" s="5">
        <f>(pima_data!D238-MIN(pima_data!$D$1:$D$768))/(MAX(pima_data!$D$1:$D$768)-MIN(pima_data!$D$1:$D$768))</f>
        <v>0.272727272727273</v>
      </c>
      <c r="E238" s="5">
        <f>(pima_data!E238-MIN(pima_data!$E$1:$E$768))/(MAX(pima_data!$E$1:$E$768)-MIN(pima_data!$E$1:$E$768))</f>
        <v>0</v>
      </c>
      <c r="F238" s="5">
        <f>(pima_data!F238-MIN(pima_data!$F$1:$F$768))/(MAX(pima_data!$F$1:$F$768)-MIN(pima_data!$F$1:$F$768))</f>
        <v>0.657228017883756</v>
      </c>
      <c r="G238" s="5">
        <f>(pima_data!G238-MIN(pima_data!$G$1:$G$768))/(MAX(pima_data!$G$1:$G$768)-MIN(pima_data!$G$1:$G$768))</f>
        <v>0.259607173356106</v>
      </c>
      <c r="H238" s="5">
        <f>(pima_data!H238-MIN(pima_data!$H$1:$H$768))/(MAX(pima_data!$H$1:$H$768)-MIN(pima_data!$H$1:$H$768))</f>
        <v>0.0333333333333333</v>
      </c>
    </row>
    <row r="239" spans="1:8">
      <c r="A239" s="5">
        <f>(pima_data!A239-MIN(pima_data!$A$1:$A$768))/(MAX(pima_data!$A$1:$A$768)-MIN(pima_data!$A$1:$A$768))</f>
        <v>0.529411764705882</v>
      </c>
      <c r="B239" s="5">
        <f>(pima_data!B239-MIN(pima_data!$B$1:$B$768))/(MAX(pima_data!$B$1:$B$768)-MIN(pima_data!$B$1:$B$768))</f>
        <v>0.824120603015075</v>
      </c>
      <c r="C239" s="5">
        <f>(pima_data!C239-MIN(pima_data!$C$1:$C$768))/(MAX(pima_data!$C$1:$C$768)-MIN(pima_data!$C$1:$C$768))</f>
        <v>0.688524590163934</v>
      </c>
      <c r="D239" s="5">
        <f>(pima_data!D239-MIN(pima_data!$D$1:$D$768))/(MAX(pima_data!$D$1:$D$768)-MIN(pima_data!$D$1:$D$768))</f>
        <v>0.212121212121212</v>
      </c>
      <c r="E239" s="5">
        <f>(pima_data!E239-MIN(pima_data!$E$1:$E$768))/(MAX(pima_data!$E$1:$E$768)-MIN(pima_data!$E$1:$E$768))</f>
        <v>0</v>
      </c>
      <c r="F239" s="5">
        <f>(pima_data!F239-MIN(pima_data!$F$1:$F$768))/(MAX(pima_data!$F$1:$F$768)-MIN(pima_data!$F$1:$F$768))</f>
        <v>0.459016393442623</v>
      </c>
      <c r="G239" s="5">
        <f>(pima_data!G239-MIN(pima_data!$G$1:$G$768))/(MAX(pima_data!$G$1:$G$768)-MIN(pima_data!$G$1:$G$768))</f>
        <v>0.321520068317677</v>
      </c>
      <c r="H239" s="5">
        <f>(pima_data!H239-MIN(pima_data!$H$1:$H$768))/(MAX(pima_data!$H$1:$H$768)-MIN(pima_data!$H$1:$H$768))</f>
        <v>0.183333333333333</v>
      </c>
    </row>
    <row r="240" spans="1:8">
      <c r="A240" s="5">
        <f>(pima_data!A240-MIN(pima_data!$A$1:$A$768))/(MAX(pima_data!$A$1:$A$768)-MIN(pima_data!$A$1:$A$768))</f>
        <v>0</v>
      </c>
      <c r="B240" s="5">
        <f>(pima_data!B240-MIN(pima_data!$B$1:$B$768))/(MAX(pima_data!$B$1:$B$768)-MIN(pima_data!$B$1:$B$768))</f>
        <v>0.522613065326633</v>
      </c>
      <c r="C240" s="5">
        <f>(pima_data!C240-MIN(pima_data!$C$1:$C$768))/(MAX(pima_data!$C$1:$C$768)-MIN(pima_data!$C$1:$C$768))</f>
        <v>0.622950819672131</v>
      </c>
      <c r="D240" s="5">
        <f>(pima_data!D240-MIN(pima_data!$D$1:$D$768))/(MAX(pima_data!$D$1:$D$768)-MIN(pima_data!$D$1:$D$768))</f>
        <v>0</v>
      </c>
      <c r="E240" s="5">
        <f>(pima_data!E240-MIN(pima_data!$E$1:$E$768))/(MAX(pima_data!$E$1:$E$768)-MIN(pima_data!$E$1:$E$768))</f>
        <v>0</v>
      </c>
      <c r="F240" s="5">
        <f>(pima_data!F240-MIN(pima_data!$F$1:$F$768))/(MAX(pima_data!$F$1:$F$768)-MIN(pima_data!$F$1:$F$768))</f>
        <v>0.274217585692996</v>
      </c>
      <c r="G240" s="5">
        <f>(pima_data!G240-MIN(pima_data!$G$1:$G$768))/(MAX(pima_data!$G$1:$G$768)-MIN(pima_data!$G$1:$G$768))</f>
        <v>0.215200683176772</v>
      </c>
      <c r="H240" s="5">
        <f>(pima_data!H240-MIN(pima_data!$H$1:$H$768))/(MAX(pima_data!$H$1:$H$768)-MIN(pima_data!$H$1:$H$768))</f>
        <v>0.1</v>
      </c>
    </row>
    <row r="241" spans="1:8">
      <c r="A241" s="5">
        <f>(pima_data!A241-MIN(pima_data!$A$1:$A$768))/(MAX(pima_data!$A$1:$A$768)-MIN(pima_data!$A$1:$A$768))</f>
        <v>0.0588235294117647</v>
      </c>
      <c r="B241" s="5">
        <f>(pima_data!B241-MIN(pima_data!$B$1:$B$768))/(MAX(pima_data!$B$1:$B$768)-MIN(pima_data!$B$1:$B$768))</f>
        <v>0.457286432160804</v>
      </c>
      <c r="C241" s="5">
        <f>(pima_data!C241-MIN(pima_data!$C$1:$C$768))/(MAX(pima_data!$C$1:$C$768)-MIN(pima_data!$C$1:$C$768))</f>
        <v>0.524590163934426</v>
      </c>
      <c r="D241" s="5">
        <f>(pima_data!D241-MIN(pima_data!$D$1:$D$768))/(MAX(pima_data!$D$1:$D$768)-MIN(pima_data!$D$1:$D$768))</f>
        <v>0.242424242424242</v>
      </c>
      <c r="E241" s="5">
        <f>(pima_data!E241-MIN(pima_data!$E$1:$E$768))/(MAX(pima_data!$E$1:$E$768)-MIN(pima_data!$E$1:$E$768))</f>
        <v>0</v>
      </c>
      <c r="F241" s="5">
        <f>(pima_data!F241-MIN(pima_data!$F$1:$F$768))/(MAX(pima_data!$F$1:$F$768)-MIN(pima_data!$F$1:$F$768))</f>
        <v>0.435171385991058</v>
      </c>
      <c r="G241" s="5">
        <f>(pima_data!G241-MIN(pima_data!$G$1:$G$768))/(MAX(pima_data!$G$1:$G$768)-MIN(pima_data!$G$1:$G$768))</f>
        <v>0.0486763450042699</v>
      </c>
      <c r="H241" s="5">
        <f>(pima_data!H241-MIN(pima_data!$H$1:$H$768))/(MAX(pima_data!$H$1:$H$768)-MIN(pima_data!$H$1:$H$768))</f>
        <v>0</v>
      </c>
    </row>
    <row r="242" spans="1:8">
      <c r="A242" s="5">
        <f>(pima_data!A242-MIN(pima_data!$A$1:$A$768))/(MAX(pima_data!$A$1:$A$768)-MIN(pima_data!$A$1:$A$768))</f>
        <v>0.235294117647059</v>
      </c>
      <c r="B242" s="5">
        <f>(pima_data!B242-MIN(pima_data!$B$1:$B$768))/(MAX(pima_data!$B$1:$B$768)-MIN(pima_data!$B$1:$B$768))</f>
        <v>0.457286432160804</v>
      </c>
      <c r="C242" s="5">
        <f>(pima_data!C242-MIN(pima_data!$C$1:$C$768))/(MAX(pima_data!$C$1:$C$768)-MIN(pima_data!$C$1:$C$768))</f>
        <v>0.573770491803279</v>
      </c>
      <c r="D242" s="5">
        <f>(pima_data!D242-MIN(pima_data!$D$1:$D$768))/(MAX(pima_data!$D$1:$D$768)-MIN(pima_data!$D$1:$D$768))</f>
        <v>0.323232323232323</v>
      </c>
      <c r="E242" s="5">
        <f>(pima_data!E242-MIN(pima_data!$E$1:$E$768))/(MAX(pima_data!$E$1:$E$768)-MIN(pima_data!$E$1:$E$768))</f>
        <v>0.104018912529551</v>
      </c>
      <c r="F242" s="5">
        <f>(pima_data!F242-MIN(pima_data!$F$1:$F$768))/(MAX(pima_data!$F$1:$F$768)-MIN(pima_data!$F$1:$F$768))</f>
        <v>0.493293591654247</v>
      </c>
      <c r="G242" s="5">
        <f>(pima_data!G242-MIN(pima_data!$G$1:$G$768))/(MAX(pima_data!$G$1:$G$768)-MIN(pima_data!$G$1:$G$768))</f>
        <v>0.157130657557643</v>
      </c>
      <c r="H242" s="5">
        <f>(pima_data!H242-MIN(pima_data!$H$1:$H$768))/(MAX(pima_data!$H$1:$H$768)-MIN(pima_data!$H$1:$H$768))</f>
        <v>0.0166666666666667</v>
      </c>
    </row>
    <row r="243" spans="1:8">
      <c r="A243" s="5">
        <f>(pima_data!A243-MIN(pima_data!$A$1:$A$768))/(MAX(pima_data!$A$1:$A$768)-MIN(pima_data!$A$1:$A$768))</f>
        <v>0.176470588235294</v>
      </c>
      <c r="B243" s="5">
        <f>(pima_data!B243-MIN(pima_data!$B$1:$B$768))/(MAX(pima_data!$B$1:$B$768)-MIN(pima_data!$B$1:$B$768))</f>
        <v>0.698492462311558</v>
      </c>
      <c r="C243" s="5">
        <f>(pima_data!C243-MIN(pima_data!$C$1:$C$768))/(MAX(pima_data!$C$1:$C$768)-MIN(pima_data!$C$1:$C$768))</f>
        <v>0.442622950819672</v>
      </c>
      <c r="D243" s="5">
        <f>(pima_data!D243-MIN(pima_data!$D$1:$D$768))/(MAX(pima_data!$D$1:$D$768)-MIN(pima_data!$D$1:$D$768))</f>
        <v>0</v>
      </c>
      <c r="E243" s="5">
        <f>(pima_data!E243-MIN(pima_data!$E$1:$E$768))/(MAX(pima_data!$E$1:$E$768)-MIN(pima_data!$E$1:$E$768))</f>
        <v>0</v>
      </c>
      <c r="F243" s="5">
        <f>(pima_data!F243-MIN(pima_data!$F$1:$F$768))/(MAX(pima_data!$F$1:$F$768)-MIN(pima_data!$F$1:$F$768))</f>
        <v>0.381520119225037</v>
      </c>
      <c r="G243" s="5">
        <f>(pima_data!G243-MIN(pima_data!$G$1:$G$768))/(MAX(pima_data!$G$1:$G$768)-MIN(pima_data!$G$1:$G$768))</f>
        <v>0.138343296327925</v>
      </c>
      <c r="H243" s="5">
        <f>(pima_data!H243-MIN(pima_data!$H$1:$H$768))/(MAX(pima_data!$H$1:$H$768)-MIN(pima_data!$H$1:$H$768))</f>
        <v>0.0166666666666667</v>
      </c>
    </row>
    <row r="244" spans="1:8">
      <c r="A244" s="5">
        <f>(pima_data!A244-MIN(pima_data!$A$1:$A$768))/(MAX(pima_data!$A$1:$A$768)-MIN(pima_data!$A$1:$A$768))</f>
        <v>0.352941176470588</v>
      </c>
      <c r="B244" s="5">
        <f>(pima_data!B244-MIN(pima_data!$B$1:$B$768))/(MAX(pima_data!$B$1:$B$768)-MIN(pima_data!$B$1:$B$768))</f>
        <v>0.597989949748744</v>
      </c>
      <c r="C244" s="5">
        <f>(pima_data!C244-MIN(pima_data!$C$1:$C$768))/(MAX(pima_data!$C$1:$C$768)-MIN(pima_data!$C$1:$C$768))</f>
        <v>0.409836065573771</v>
      </c>
      <c r="D244" s="5">
        <f>(pima_data!D244-MIN(pima_data!$D$1:$D$768))/(MAX(pima_data!$D$1:$D$768)-MIN(pima_data!$D$1:$D$768))</f>
        <v>0.222222222222222</v>
      </c>
      <c r="E244" s="5">
        <f>(pima_data!E244-MIN(pima_data!$E$1:$E$768))/(MAX(pima_data!$E$1:$E$768)-MIN(pima_data!$E$1:$E$768))</f>
        <v>0.208037825059102</v>
      </c>
      <c r="F244" s="5">
        <f>(pima_data!F244-MIN(pima_data!$F$1:$F$768))/(MAX(pima_data!$F$1:$F$768)-MIN(pima_data!$F$1:$F$768))</f>
        <v>0.403874813710879</v>
      </c>
      <c r="G244" s="5">
        <f>(pima_data!G244-MIN(pima_data!$G$1:$G$768))/(MAX(pima_data!$G$1:$G$768)-MIN(pima_data!$G$1:$G$768))</f>
        <v>0.529461998292058</v>
      </c>
      <c r="H244" s="5">
        <f>(pima_data!H244-MIN(pima_data!$H$1:$H$768))/(MAX(pima_data!$H$1:$H$768)-MIN(pima_data!$H$1:$H$768))</f>
        <v>0.2</v>
      </c>
    </row>
    <row r="245" spans="1:8">
      <c r="A245" s="5">
        <f>(pima_data!A245-MIN(pima_data!$A$1:$A$768))/(MAX(pima_data!$A$1:$A$768)-MIN(pima_data!$A$1:$A$768))</f>
        <v>0.117647058823529</v>
      </c>
      <c r="B245" s="5">
        <f>(pima_data!B245-MIN(pima_data!$B$1:$B$768))/(MAX(pima_data!$B$1:$B$768)-MIN(pima_data!$B$1:$B$768))</f>
        <v>0.733668341708543</v>
      </c>
      <c r="C245" s="5">
        <f>(pima_data!C245-MIN(pima_data!$C$1:$C$768))/(MAX(pima_data!$C$1:$C$768)-MIN(pima_data!$C$1:$C$768))</f>
        <v>0.622950819672131</v>
      </c>
      <c r="D245" s="5">
        <f>(pima_data!D245-MIN(pima_data!$D$1:$D$768))/(MAX(pima_data!$D$1:$D$768)-MIN(pima_data!$D$1:$D$768))</f>
        <v>0.353535353535354</v>
      </c>
      <c r="E245" s="5">
        <f>(pima_data!E245-MIN(pima_data!$E$1:$E$768))/(MAX(pima_data!$E$1:$E$768)-MIN(pima_data!$E$1:$E$768))</f>
        <v>0.229314420803783</v>
      </c>
      <c r="F245" s="5">
        <f>(pima_data!F245-MIN(pima_data!$F$1:$F$768))/(MAX(pima_data!$F$1:$F$768)-MIN(pima_data!$F$1:$F$768))</f>
        <v>0.56929955290611</v>
      </c>
      <c r="G245" s="5">
        <f>(pima_data!G245-MIN(pima_data!$G$1:$G$768))/(MAX(pima_data!$G$1:$G$768)-MIN(pima_data!$G$1:$G$768))</f>
        <v>0.107173356105892</v>
      </c>
      <c r="H245" s="5">
        <f>(pima_data!H245-MIN(pima_data!$H$1:$H$768))/(MAX(pima_data!$H$1:$H$768)-MIN(pima_data!$H$1:$H$768))</f>
        <v>0.133333333333333</v>
      </c>
    </row>
    <row r="246" spans="1:8">
      <c r="A246" s="5">
        <f>(pima_data!A246-MIN(pima_data!$A$1:$A$768))/(MAX(pima_data!$A$1:$A$768)-MIN(pima_data!$A$1:$A$768))</f>
        <v>0.529411764705882</v>
      </c>
      <c r="B246" s="5">
        <f>(pima_data!B246-MIN(pima_data!$B$1:$B$768))/(MAX(pima_data!$B$1:$B$768)-MIN(pima_data!$B$1:$B$768))</f>
        <v>0.924623115577889</v>
      </c>
      <c r="C246" s="5">
        <f>(pima_data!C246-MIN(pima_data!$C$1:$C$768))/(MAX(pima_data!$C$1:$C$768)-MIN(pima_data!$C$1:$C$768))</f>
        <v>0.69672131147541</v>
      </c>
      <c r="D246" s="5">
        <f>(pima_data!D246-MIN(pima_data!$D$1:$D$768))/(MAX(pima_data!$D$1:$D$768)-MIN(pima_data!$D$1:$D$768))</f>
        <v>0.151515151515152</v>
      </c>
      <c r="E246" s="5">
        <f>(pima_data!E246-MIN(pima_data!$E$1:$E$768))/(MAX(pima_data!$E$1:$E$768)-MIN(pima_data!$E$1:$E$768))</f>
        <v>0</v>
      </c>
      <c r="F246" s="5">
        <f>(pima_data!F246-MIN(pima_data!$F$1:$F$768))/(MAX(pima_data!$F$1:$F$768)-MIN(pima_data!$F$1:$F$768))</f>
        <v>0.447093889716841</v>
      </c>
      <c r="G246" s="5">
        <f>(pima_data!G246-MIN(pima_data!$G$1:$G$768))/(MAX(pima_data!$G$1:$G$768)-MIN(pima_data!$G$1:$G$768))</f>
        <v>0.484628522630231</v>
      </c>
      <c r="H246" s="5">
        <f>(pima_data!H246-MIN(pima_data!$H$1:$H$768))/(MAX(pima_data!$H$1:$H$768)-MIN(pima_data!$H$1:$H$768))</f>
        <v>0.466666666666667</v>
      </c>
    </row>
    <row r="247" spans="1:8">
      <c r="A247" s="5">
        <f>(pima_data!A247-MIN(pima_data!$A$1:$A$768))/(MAX(pima_data!$A$1:$A$768)-MIN(pima_data!$A$1:$A$768))</f>
        <v>0.588235294117647</v>
      </c>
      <c r="B247" s="5">
        <f>(pima_data!B247-MIN(pima_data!$B$1:$B$768))/(MAX(pima_data!$B$1:$B$768)-MIN(pima_data!$B$1:$B$768))</f>
        <v>0.613065326633166</v>
      </c>
      <c r="C247" s="5">
        <f>(pima_data!C247-MIN(pima_data!$C$1:$C$768))/(MAX(pima_data!$C$1:$C$768)-MIN(pima_data!$C$1:$C$768))</f>
        <v>0.557377049180328</v>
      </c>
      <c r="D247" s="5">
        <f>(pima_data!D247-MIN(pima_data!$D$1:$D$768))/(MAX(pima_data!$D$1:$D$768)-MIN(pima_data!$D$1:$D$768))</f>
        <v>0</v>
      </c>
      <c r="E247" s="5">
        <f>(pima_data!E247-MIN(pima_data!$E$1:$E$768))/(MAX(pima_data!$E$1:$E$768)-MIN(pima_data!$E$1:$E$768))</f>
        <v>0</v>
      </c>
      <c r="F247" s="5">
        <f>(pima_data!F247-MIN(pima_data!$F$1:$F$768))/(MAX(pima_data!$F$1:$F$768)-MIN(pima_data!$F$1:$F$768))</f>
        <v>0.464977645305514</v>
      </c>
      <c r="G247" s="5">
        <f>(pima_data!G247-MIN(pima_data!$G$1:$G$768))/(MAX(pima_data!$G$1:$G$768)-MIN(pima_data!$G$1:$G$768))</f>
        <v>0.0768573868488471</v>
      </c>
      <c r="H247" s="5">
        <f>(pima_data!H247-MIN(pima_data!$H$1:$H$768))/(MAX(pima_data!$H$1:$H$768)-MIN(pima_data!$H$1:$H$768))</f>
        <v>0.333333333333333</v>
      </c>
    </row>
    <row r="248" spans="1:8">
      <c r="A248" s="5">
        <f>(pima_data!A248-MIN(pima_data!$A$1:$A$768))/(MAX(pima_data!$A$1:$A$768)-MIN(pima_data!$A$1:$A$768))</f>
        <v>0</v>
      </c>
      <c r="B248" s="5">
        <f>(pima_data!B248-MIN(pima_data!$B$1:$B$768))/(MAX(pima_data!$B$1:$B$768)-MIN(pima_data!$B$1:$B$768))</f>
        <v>0.829145728643216</v>
      </c>
      <c r="C248" s="5">
        <f>(pima_data!C248-MIN(pima_data!$C$1:$C$768))/(MAX(pima_data!$C$1:$C$768)-MIN(pima_data!$C$1:$C$768))</f>
        <v>0.737704918032787</v>
      </c>
      <c r="D248" s="5">
        <f>(pima_data!D248-MIN(pima_data!$D$1:$D$768))/(MAX(pima_data!$D$1:$D$768)-MIN(pima_data!$D$1:$D$768))</f>
        <v>0.333333333333333</v>
      </c>
      <c r="E248" s="5">
        <f>(pima_data!E248-MIN(pima_data!$E$1:$E$768))/(MAX(pima_data!$E$1:$E$768)-MIN(pima_data!$E$1:$E$768))</f>
        <v>0.803782505910166</v>
      </c>
      <c r="F248" s="5">
        <f>(pima_data!F248-MIN(pima_data!$F$1:$F$768))/(MAX(pima_data!$F$1:$F$768)-MIN(pima_data!$F$1:$F$768))</f>
        <v>0.779433681073025</v>
      </c>
      <c r="G248" s="5">
        <f>(pima_data!G248-MIN(pima_data!$G$1:$G$768))/(MAX(pima_data!$G$1:$G$768)-MIN(pima_data!$G$1:$G$768))</f>
        <v>0.149017933390265</v>
      </c>
      <c r="H248" s="5">
        <f>(pima_data!H248-MIN(pima_data!$H$1:$H$768))/(MAX(pima_data!$H$1:$H$768)-MIN(pima_data!$H$1:$H$768))</f>
        <v>0.0333333333333333</v>
      </c>
    </row>
    <row r="249" spans="1:8">
      <c r="A249" s="5">
        <f>(pima_data!A249-MIN(pima_data!$A$1:$A$768))/(MAX(pima_data!$A$1:$A$768)-MIN(pima_data!$A$1:$A$768))</f>
        <v>0.529411764705882</v>
      </c>
      <c r="B249" s="5">
        <f>(pima_data!B249-MIN(pima_data!$B$1:$B$768))/(MAX(pima_data!$B$1:$B$768)-MIN(pima_data!$B$1:$B$768))</f>
        <v>0.623115577889447</v>
      </c>
      <c r="C249" s="5">
        <f>(pima_data!C249-MIN(pima_data!$C$1:$C$768))/(MAX(pima_data!$C$1:$C$768)-MIN(pima_data!$C$1:$C$768))</f>
        <v>0.573770491803279</v>
      </c>
      <c r="D249" s="5">
        <f>(pima_data!D249-MIN(pima_data!$D$1:$D$768))/(MAX(pima_data!$D$1:$D$768)-MIN(pima_data!$D$1:$D$768))</f>
        <v>0.333333333333333</v>
      </c>
      <c r="E249" s="5">
        <f>(pima_data!E249-MIN(pima_data!$E$1:$E$768))/(MAX(pima_data!$E$1:$E$768)-MIN(pima_data!$E$1:$E$768))</f>
        <v>0.475177304964539</v>
      </c>
      <c r="F249" s="5">
        <f>(pima_data!F249-MIN(pima_data!$F$1:$F$768))/(MAX(pima_data!$F$1:$F$768)-MIN(pima_data!$F$1:$F$768))</f>
        <v>0.527570789865872</v>
      </c>
      <c r="G249" s="5">
        <f>(pima_data!G249-MIN(pima_data!$G$1:$G$768))/(MAX(pima_data!$G$1:$G$768)-MIN(pima_data!$G$1:$G$768))</f>
        <v>0.0871050384286934</v>
      </c>
      <c r="H249" s="5">
        <f>(pima_data!H249-MIN(pima_data!$H$1:$H$768))/(MAX(pima_data!$H$1:$H$768)-MIN(pima_data!$H$1:$H$768))</f>
        <v>0.216666666666667</v>
      </c>
    </row>
    <row r="250" spans="1:8">
      <c r="A250" s="5">
        <f>(pima_data!A250-MIN(pima_data!$A$1:$A$768))/(MAX(pima_data!$A$1:$A$768)-MIN(pima_data!$A$1:$A$768))</f>
        <v>0.0588235294117647</v>
      </c>
      <c r="B250" s="5">
        <f>(pima_data!B250-MIN(pima_data!$B$1:$B$768))/(MAX(pima_data!$B$1:$B$768)-MIN(pima_data!$B$1:$B$768))</f>
        <v>0.557788944723618</v>
      </c>
      <c r="C250" s="5">
        <f>(pima_data!C250-MIN(pima_data!$C$1:$C$768))/(MAX(pima_data!$C$1:$C$768)-MIN(pima_data!$C$1:$C$768))</f>
        <v>0.704918032786885</v>
      </c>
      <c r="D250" s="5">
        <f>(pima_data!D250-MIN(pima_data!$D$1:$D$768))/(MAX(pima_data!$D$1:$D$768)-MIN(pima_data!$D$1:$D$768))</f>
        <v>0.191919191919192</v>
      </c>
      <c r="E250" s="5">
        <f>(pima_data!E250-MIN(pima_data!$E$1:$E$768))/(MAX(pima_data!$E$1:$E$768)-MIN(pima_data!$E$1:$E$768))</f>
        <v>0</v>
      </c>
      <c r="F250" s="5">
        <f>(pima_data!F250-MIN(pima_data!$F$1:$F$768))/(MAX(pima_data!$F$1:$F$768)-MIN(pima_data!$F$1:$F$768))</f>
        <v>0.448584202682563</v>
      </c>
      <c r="G250" s="5">
        <f>(pima_data!G250-MIN(pima_data!$G$1:$G$768))/(MAX(pima_data!$G$1:$G$768)-MIN(pima_data!$G$1:$G$768))</f>
        <v>0.0277540563620837</v>
      </c>
      <c r="H250" s="5">
        <f>(pima_data!H250-MIN(pima_data!$H$1:$H$768))/(MAX(pima_data!$H$1:$H$768)-MIN(pima_data!$H$1:$H$768))</f>
        <v>0.0333333333333333</v>
      </c>
    </row>
    <row r="251" spans="1:8">
      <c r="A251" s="5">
        <f>(pima_data!A251-MIN(pima_data!$A$1:$A$768))/(MAX(pima_data!$A$1:$A$768)-MIN(pima_data!$A$1:$A$768))</f>
        <v>0.529411764705882</v>
      </c>
      <c r="B251" s="5">
        <f>(pima_data!B251-MIN(pima_data!$B$1:$B$768))/(MAX(pima_data!$B$1:$B$768)-MIN(pima_data!$B$1:$B$768))</f>
        <v>0.532663316582915</v>
      </c>
      <c r="C251" s="5">
        <f>(pima_data!C251-MIN(pima_data!$C$1:$C$768))/(MAX(pima_data!$C$1:$C$768)-MIN(pima_data!$C$1:$C$768))</f>
        <v>0.426229508196721</v>
      </c>
      <c r="D251" s="5">
        <f>(pima_data!D251-MIN(pima_data!$D$1:$D$768))/(MAX(pima_data!$D$1:$D$768)-MIN(pima_data!$D$1:$D$768))</f>
        <v>0</v>
      </c>
      <c r="E251" s="5">
        <f>(pima_data!E251-MIN(pima_data!$E$1:$E$768))/(MAX(pima_data!$E$1:$E$768)-MIN(pima_data!$E$1:$E$768))</f>
        <v>0</v>
      </c>
      <c r="F251" s="5">
        <f>(pima_data!F251-MIN(pima_data!$F$1:$F$768))/(MAX(pima_data!$F$1:$F$768)-MIN(pima_data!$F$1:$F$768))</f>
        <v>0.464977645305514</v>
      </c>
      <c r="G251" s="5">
        <f>(pima_data!G251-MIN(pima_data!$G$1:$G$768))/(MAX(pima_data!$G$1:$G$768)-MIN(pima_data!$G$1:$G$768))</f>
        <v>0.128949615713066</v>
      </c>
      <c r="H251" s="5">
        <f>(pima_data!H251-MIN(pima_data!$H$1:$H$768))/(MAX(pima_data!$H$1:$H$768)-MIN(pima_data!$H$1:$H$768))</f>
        <v>0.35</v>
      </c>
    </row>
    <row r="252" spans="1:8">
      <c r="A252" s="5">
        <f>(pima_data!A252-MIN(pima_data!$A$1:$A$768))/(MAX(pima_data!$A$1:$A$768)-MIN(pima_data!$A$1:$A$768))</f>
        <v>0.117647058823529</v>
      </c>
      <c r="B252" s="5">
        <f>(pima_data!B252-MIN(pima_data!$B$1:$B$768))/(MAX(pima_data!$B$1:$B$768)-MIN(pima_data!$B$1:$B$768))</f>
        <v>0.648241206030151</v>
      </c>
      <c r="C252" s="5">
        <f>(pima_data!C252-MIN(pima_data!$C$1:$C$768))/(MAX(pima_data!$C$1:$C$768)-MIN(pima_data!$C$1:$C$768))</f>
        <v>0.688524590163934</v>
      </c>
      <c r="D252" s="5">
        <f>(pima_data!D252-MIN(pima_data!$D$1:$D$768))/(MAX(pima_data!$D$1:$D$768)-MIN(pima_data!$D$1:$D$768))</f>
        <v>0</v>
      </c>
      <c r="E252" s="5">
        <f>(pima_data!E252-MIN(pima_data!$E$1:$E$768))/(MAX(pima_data!$E$1:$E$768)-MIN(pima_data!$E$1:$E$768))</f>
        <v>0</v>
      </c>
      <c r="F252" s="5">
        <f>(pima_data!F252-MIN(pima_data!$F$1:$F$768))/(MAX(pima_data!$F$1:$F$768)-MIN(pima_data!$F$1:$F$768))</f>
        <v>0.417287630402385</v>
      </c>
      <c r="G252" s="5">
        <f>(pima_data!G252-MIN(pima_data!$G$1:$G$768))/(MAX(pima_data!$G$1:$G$768)-MIN(pima_data!$G$1:$G$768))</f>
        <v>0.0879590093936806</v>
      </c>
      <c r="H252" s="5">
        <f>(pima_data!H252-MIN(pima_data!$H$1:$H$768))/(MAX(pima_data!$H$1:$H$768)-MIN(pima_data!$H$1:$H$768))</f>
        <v>0.1</v>
      </c>
    </row>
    <row r="253" spans="1:8">
      <c r="A253" s="5">
        <f>(pima_data!A253-MIN(pima_data!$A$1:$A$768))/(MAX(pima_data!$A$1:$A$768)-MIN(pima_data!$A$1:$A$768))</f>
        <v>0.117647058823529</v>
      </c>
      <c r="B253" s="5">
        <f>(pima_data!B253-MIN(pima_data!$B$1:$B$768))/(MAX(pima_data!$B$1:$B$768)-MIN(pima_data!$B$1:$B$768))</f>
        <v>0.452261306532663</v>
      </c>
      <c r="C253" s="5">
        <f>(pima_data!C253-MIN(pima_data!$C$1:$C$768))/(MAX(pima_data!$C$1:$C$768)-MIN(pima_data!$C$1:$C$768))</f>
        <v>0.655737704918033</v>
      </c>
      <c r="D253" s="5">
        <f>(pima_data!D253-MIN(pima_data!$D$1:$D$768))/(MAX(pima_data!$D$1:$D$768)-MIN(pima_data!$D$1:$D$768))</f>
        <v>0.141414141414141</v>
      </c>
      <c r="E253" s="5">
        <f>(pima_data!E253-MIN(pima_data!$E$1:$E$768))/(MAX(pima_data!$E$1:$E$768)-MIN(pima_data!$E$1:$E$768))</f>
        <v>0.0650118203309693</v>
      </c>
      <c r="F253" s="5">
        <f>(pima_data!F253-MIN(pima_data!$F$1:$F$768))/(MAX(pima_data!$F$1:$F$768)-MIN(pima_data!$F$1:$F$768))</f>
        <v>0.363636363636364</v>
      </c>
      <c r="G253" s="5">
        <f>(pima_data!G253-MIN(pima_data!$G$1:$G$768))/(MAX(pima_data!$G$1:$G$768)-MIN(pima_data!$G$1:$G$768))</f>
        <v>0.0730145175064048</v>
      </c>
      <c r="H253" s="5">
        <f>(pima_data!H253-MIN(pima_data!$H$1:$H$768))/(MAX(pima_data!$H$1:$H$768)-MIN(pima_data!$H$1:$H$768))</f>
        <v>0.05</v>
      </c>
    </row>
    <row r="254" spans="1:8">
      <c r="A254" s="5">
        <f>(pima_data!A254-MIN(pima_data!$A$1:$A$768))/(MAX(pima_data!$A$1:$A$768)-MIN(pima_data!$A$1:$A$768))</f>
        <v>0</v>
      </c>
      <c r="B254" s="5">
        <f>(pima_data!B254-MIN(pima_data!$B$1:$B$768))/(MAX(pima_data!$B$1:$B$768)-MIN(pima_data!$B$1:$B$768))</f>
        <v>0.4321608040201</v>
      </c>
      <c r="C254" s="5">
        <f>(pima_data!C254-MIN(pima_data!$C$1:$C$768))/(MAX(pima_data!$C$1:$C$768)-MIN(pima_data!$C$1:$C$768))</f>
        <v>0.557377049180328</v>
      </c>
      <c r="D254" s="5">
        <f>(pima_data!D254-MIN(pima_data!$D$1:$D$768))/(MAX(pima_data!$D$1:$D$768)-MIN(pima_data!$D$1:$D$768))</f>
        <v>0.323232323232323</v>
      </c>
      <c r="E254" s="5">
        <f>(pima_data!E254-MIN(pima_data!$E$1:$E$768))/(MAX(pima_data!$E$1:$E$768)-MIN(pima_data!$E$1:$E$768))</f>
        <v>0</v>
      </c>
      <c r="F254" s="5">
        <f>(pima_data!F254-MIN(pima_data!$F$1:$F$768))/(MAX(pima_data!$F$1:$F$768)-MIN(pima_data!$F$1:$F$768))</f>
        <v>0.533532041728763</v>
      </c>
      <c r="G254" s="5">
        <f>(pima_data!G254-MIN(pima_data!$G$1:$G$768))/(MAX(pima_data!$G$1:$G$768)-MIN(pima_data!$G$1:$G$768))</f>
        <v>0.0683176771989752</v>
      </c>
      <c r="H254" s="5">
        <f>(pima_data!H254-MIN(pima_data!$H$1:$H$768))/(MAX(pima_data!$H$1:$H$768)-MIN(pima_data!$H$1:$H$768))</f>
        <v>0.0666666666666667</v>
      </c>
    </row>
    <row r="255" spans="1:8">
      <c r="A255" s="5">
        <f>(pima_data!A255-MIN(pima_data!$A$1:$A$768))/(MAX(pima_data!$A$1:$A$768)-MIN(pima_data!$A$1:$A$768))</f>
        <v>0.705882352941177</v>
      </c>
      <c r="B255" s="5">
        <f>(pima_data!B255-MIN(pima_data!$B$1:$B$768))/(MAX(pima_data!$B$1:$B$768)-MIN(pima_data!$B$1:$B$768))</f>
        <v>0.462311557788945</v>
      </c>
      <c r="C255" s="5">
        <f>(pima_data!C255-MIN(pima_data!$C$1:$C$768))/(MAX(pima_data!$C$1:$C$768)-MIN(pima_data!$C$1:$C$768))</f>
        <v>0.508196721311475</v>
      </c>
      <c r="D255" s="5">
        <f>(pima_data!D255-MIN(pima_data!$D$1:$D$768))/(MAX(pima_data!$D$1:$D$768)-MIN(pima_data!$D$1:$D$768))</f>
        <v>0.0707070707070707</v>
      </c>
      <c r="E255" s="5">
        <f>(pima_data!E255-MIN(pima_data!$E$1:$E$768))/(MAX(pima_data!$E$1:$E$768)-MIN(pima_data!$E$1:$E$768))</f>
        <v>0.304964539007092</v>
      </c>
      <c r="F255" s="5">
        <f>(pima_data!F255-MIN(pima_data!$F$1:$F$768))/(MAX(pima_data!$F$1:$F$768)-MIN(pima_data!$F$1:$F$768))</f>
        <v>0.411326378539493</v>
      </c>
      <c r="G255" s="5">
        <f>(pima_data!G255-MIN(pima_data!$G$1:$G$768))/(MAX(pima_data!$G$1:$G$768)-MIN(pima_data!$G$1:$G$768))</f>
        <v>0.362083689154569</v>
      </c>
      <c r="H255" s="5">
        <f>(pima_data!H255-MIN(pima_data!$H$1:$H$768))/(MAX(pima_data!$H$1:$H$768)-MIN(pima_data!$H$1:$H$768))</f>
        <v>0.383333333333333</v>
      </c>
    </row>
    <row r="256" spans="1:8">
      <c r="A256" s="5">
        <f>(pima_data!A256-MIN(pima_data!$A$1:$A$768))/(MAX(pima_data!$A$1:$A$768)-MIN(pima_data!$A$1:$A$768))</f>
        <v>0.0588235294117647</v>
      </c>
      <c r="B256" s="5">
        <f>(pima_data!B256-MIN(pima_data!$B$1:$B$768))/(MAX(pima_data!$B$1:$B$768)-MIN(pima_data!$B$1:$B$768))</f>
        <v>0.5678391959799</v>
      </c>
      <c r="C256" s="5">
        <f>(pima_data!C256-MIN(pima_data!$C$1:$C$768))/(MAX(pima_data!$C$1:$C$768)-MIN(pima_data!$C$1:$C$768))</f>
        <v>0.524590163934426</v>
      </c>
      <c r="D256" s="5">
        <f>(pima_data!D256-MIN(pima_data!$D$1:$D$768))/(MAX(pima_data!$D$1:$D$768)-MIN(pima_data!$D$1:$D$768))</f>
        <v>0.353535353535354</v>
      </c>
      <c r="E256" s="5">
        <f>(pima_data!E256-MIN(pima_data!$E$1:$E$768))/(MAX(pima_data!$E$1:$E$768)-MIN(pima_data!$E$1:$E$768))</f>
        <v>0</v>
      </c>
      <c r="F256" s="5">
        <f>(pima_data!F256-MIN(pima_data!$F$1:$F$768))/(MAX(pima_data!$F$1:$F$768)-MIN(pima_data!$F$1:$F$768))</f>
        <v>0.500745156482861</v>
      </c>
      <c r="G256" s="5">
        <f>(pima_data!G256-MIN(pima_data!$G$1:$G$768))/(MAX(pima_data!$G$1:$G$768)-MIN(pima_data!$G$1:$G$768))</f>
        <v>0.198548249359522</v>
      </c>
      <c r="H256" s="5">
        <f>(pima_data!H256-MIN(pima_data!$H$1:$H$768))/(MAX(pima_data!$H$1:$H$768)-MIN(pima_data!$H$1:$H$768))</f>
        <v>0</v>
      </c>
    </row>
    <row r="257" spans="1:8">
      <c r="A257" s="5">
        <f>(pima_data!A257-MIN(pima_data!$A$1:$A$768))/(MAX(pima_data!$A$1:$A$768)-MIN(pima_data!$A$1:$A$768))</f>
        <v>0.176470588235294</v>
      </c>
      <c r="B257" s="5">
        <f>(pima_data!B257-MIN(pima_data!$B$1:$B$768))/(MAX(pima_data!$B$1:$B$768)-MIN(pima_data!$B$1:$B$768))</f>
        <v>0.557788944723618</v>
      </c>
      <c r="C257" s="5">
        <f>(pima_data!C257-MIN(pima_data!$C$1:$C$768))/(MAX(pima_data!$C$1:$C$768)-MIN(pima_data!$C$1:$C$768))</f>
        <v>0.459016393442623</v>
      </c>
      <c r="D257" s="5">
        <f>(pima_data!D257-MIN(pima_data!$D$1:$D$768))/(MAX(pima_data!$D$1:$D$768)-MIN(pima_data!$D$1:$D$768))</f>
        <v>0.393939393939394</v>
      </c>
      <c r="E257" s="5">
        <f>(pima_data!E257-MIN(pima_data!$E$1:$E$768))/(MAX(pima_data!$E$1:$E$768)-MIN(pima_data!$E$1:$E$768))</f>
        <v>0</v>
      </c>
      <c r="F257" s="5">
        <f>(pima_data!F257-MIN(pima_data!$F$1:$F$768))/(MAX(pima_data!$F$1:$F$768)-MIN(pima_data!$F$1:$F$768))</f>
        <v>0.448584202682563</v>
      </c>
      <c r="G257" s="5">
        <f>(pima_data!G257-MIN(pima_data!$G$1:$G$768))/(MAX(pima_data!$G$1:$G$768)-MIN(pima_data!$G$1:$G$768))</f>
        <v>0.204526046114432</v>
      </c>
      <c r="H257" s="5">
        <f>(pima_data!H257-MIN(pima_data!$H$1:$H$768))/(MAX(pima_data!$H$1:$H$768)-MIN(pima_data!$H$1:$H$768))</f>
        <v>0.15</v>
      </c>
    </row>
    <row r="258" spans="1:8">
      <c r="A258" s="5">
        <f>(pima_data!A258-MIN(pima_data!$A$1:$A$768))/(MAX(pima_data!$A$1:$A$768)-MIN(pima_data!$A$1:$A$768))</f>
        <v>0.117647058823529</v>
      </c>
      <c r="B258" s="5">
        <f>(pima_data!B258-MIN(pima_data!$B$1:$B$768))/(MAX(pima_data!$B$1:$B$768)-MIN(pima_data!$B$1:$B$768))</f>
        <v>0.57286432160804</v>
      </c>
      <c r="C258" s="5">
        <f>(pima_data!C258-MIN(pima_data!$C$1:$C$768))/(MAX(pima_data!$C$1:$C$768)-MIN(pima_data!$C$1:$C$768))</f>
        <v>0.557377049180328</v>
      </c>
      <c r="D258" s="5">
        <f>(pima_data!D258-MIN(pima_data!$D$1:$D$768))/(MAX(pima_data!$D$1:$D$768)-MIN(pima_data!$D$1:$D$768))</f>
        <v>0.222222222222222</v>
      </c>
      <c r="E258" s="5">
        <f>(pima_data!E258-MIN(pima_data!$E$1:$E$768))/(MAX(pima_data!$E$1:$E$768)-MIN(pima_data!$E$1:$E$768))</f>
        <v>0</v>
      </c>
      <c r="F258" s="5">
        <f>(pima_data!F258-MIN(pima_data!$F$1:$F$768))/(MAX(pima_data!$F$1:$F$768)-MIN(pima_data!$F$1:$F$768))</f>
        <v>0.427719821162444</v>
      </c>
      <c r="G258" s="5">
        <f>(pima_data!G258-MIN(pima_data!$G$1:$G$768))/(MAX(pima_data!$G$1:$G$768)-MIN(pima_data!$G$1:$G$768))</f>
        <v>0.00597779675491033</v>
      </c>
      <c r="H258" s="5">
        <f>(pima_data!H258-MIN(pima_data!$H$1:$H$768))/(MAX(pima_data!$H$1:$H$768)-MIN(pima_data!$H$1:$H$768))</f>
        <v>0.0666666666666667</v>
      </c>
    </row>
    <row r="259" spans="1:8">
      <c r="A259" s="5">
        <f>(pima_data!A259-MIN(pima_data!$A$1:$A$768))/(MAX(pima_data!$A$1:$A$768)-MIN(pima_data!$A$1:$A$768))</f>
        <v>0.0588235294117647</v>
      </c>
      <c r="B259" s="5">
        <f>(pima_data!B259-MIN(pima_data!$B$1:$B$768))/(MAX(pima_data!$B$1:$B$768)-MIN(pima_data!$B$1:$B$768))</f>
        <v>0.969849246231156</v>
      </c>
      <c r="C259" s="5">
        <f>(pima_data!C259-MIN(pima_data!$C$1:$C$768))/(MAX(pima_data!$C$1:$C$768)-MIN(pima_data!$C$1:$C$768))</f>
        <v>0.409836065573771</v>
      </c>
      <c r="D259" s="5">
        <f>(pima_data!D259-MIN(pima_data!$D$1:$D$768))/(MAX(pima_data!$D$1:$D$768)-MIN(pima_data!$D$1:$D$768))</f>
        <v>0.161616161616162</v>
      </c>
      <c r="E259" s="5">
        <f>(pima_data!E259-MIN(pima_data!$E$1:$E$768))/(MAX(pima_data!$E$1:$E$768)-MIN(pima_data!$E$1:$E$768))</f>
        <v>0.443262411347518</v>
      </c>
      <c r="F259" s="5">
        <f>(pima_data!F259-MIN(pima_data!$F$1:$F$768))/(MAX(pima_data!$F$1:$F$768)-MIN(pima_data!$F$1:$F$768))</f>
        <v>0.385991058122206</v>
      </c>
      <c r="G259" s="5">
        <f>(pima_data!G259-MIN(pima_data!$G$1:$G$768))/(MAX(pima_data!$G$1:$G$768)-MIN(pima_data!$G$1:$G$768))</f>
        <v>0.246370623398804</v>
      </c>
      <c r="H259" s="5">
        <f>(pima_data!H259-MIN(pima_data!$H$1:$H$768))/(MAX(pima_data!$H$1:$H$768)-MIN(pima_data!$H$1:$H$768))</f>
        <v>0.05</v>
      </c>
    </row>
    <row r="260" spans="1:8">
      <c r="A260" s="5">
        <f>(pima_data!A260-MIN(pima_data!$A$1:$A$768))/(MAX(pima_data!$A$1:$A$768)-MIN(pima_data!$A$1:$A$768))</f>
        <v>0.647058823529412</v>
      </c>
      <c r="B260" s="5">
        <f>(pima_data!B260-MIN(pima_data!$B$1:$B$768))/(MAX(pima_data!$B$1:$B$768)-MIN(pima_data!$B$1:$B$768))</f>
        <v>0.778894472361809</v>
      </c>
      <c r="C260" s="5">
        <f>(pima_data!C260-MIN(pima_data!$C$1:$C$768))/(MAX(pima_data!$C$1:$C$768)-MIN(pima_data!$C$1:$C$768))</f>
        <v>0.622950819672131</v>
      </c>
      <c r="D260" s="5">
        <f>(pima_data!D260-MIN(pima_data!$D$1:$D$768))/(MAX(pima_data!$D$1:$D$768)-MIN(pima_data!$D$1:$D$768))</f>
        <v>0.282828282828283</v>
      </c>
      <c r="E260" s="5">
        <f>(pima_data!E260-MIN(pima_data!$E$1:$E$768))/(MAX(pima_data!$E$1:$E$768)-MIN(pima_data!$E$1:$E$768))</f>
        <v>0.177304964539007</v>
      </c>
      <c r="F260" s="5">
        <f>(pima_data!F260-MIN(pima_data!$F$1:$F$768))/(MAX(pima_data!$F$1:$F$768)-MIN(pima_data!$F$1:$F$768))</f>
        <v>0.496274217585693</v>
      </c>
      <c r="G260" s="5">
        <f>(pima_data!G260-MIN(pima_data!$G$1:$G$768))/(MAX(pima_data!$G$1:$G$768)-MIN(pima_data!$G$1:$G$768))</f>
        <v>0.544406490179334</v>
      </c>
      <c r="H260" s="5">
        <f>(pima_data!H260-MIN(pima_data!$H$1:$H$768))/(MAX(pima_data!$H$1:$H$768)-MIN(pima_data!$H$1:$H$768))</f>
        <v>0.5</v>
      </c>
    </row>
    <row r="261" spans="1:8">
      <c r="A261" s="5">
        <f>(pima_data!A261-MIN(pima_data!$A$1:$A$768))/(MAX(pima_data!$A$1:$A$768)-MIN(pima_data!$A$1:$A$768))</f>
        <v>0.176470588235294</v>
      </c>
      <c r="B261" s="5">
        <f>(pima_data!B261-MIN(pima_data!$B$1:$B$768))/(MAX(pima_data!$B$1:$B$768)-MIN(pima_data!$B$1:$B$768))</f>
        <v>0.959798994974874</v>
      </c>
      <c r="C261" s="5">
        <f>(pima_data!C261-MIN(pima_data!$C$1:$C$768))/(MAX(pima_data!$C$1:$C$768)-MIN(pima_data!$C$1:$C$768))</f>
        <v>0.557377049180328</v>
      </c>
      <c r="D261" s="5">
        <f>(pima_data!D261-MIN(pima_data!$D$1:$D$768))/(MAX(pima_data!$D$1:$D$768)-MIN(pima_data!$D$1:$D$768))</f>
        <v>0.151515151515152</v>
      </c>
      <c r="E261" s="5">
        <f>(pima_data!E261-MIN(pima_data!$E$1:$E$768))/(MAX(pima_data!$E$1:$E$768)-MIN(pima_data!$E$1:$E$768))</f>
        <v>0.153664302600473</v>
      </c>
      <c r="F261" s="5">
        <f>(pima_data!F261-MIN(pima_data!$F$1:$F$768))/(MAX(pima_data!$F$1:$F$768)-MIN(pima_data!$F$1:$F$768))</f>
        <v>0.460506706408346</v>
      </c>
      <c r="G261" s="5">
        <f>(pima_data!G261-MIN(pima_data!$G$1:$G$768))/(MAX(pima_data!$G$1:$G$768)-MIN(pima_data!$G$1:$G$768))</f>
        <v>0.0943637916310845</v>
      </c>
      <c r="H261" s="5">
        <f>(pima_data!H261-MIN(pima_data!$H$1:$H$768))/(MAX(pima_data!$H$1:$H$768)-MIN(pima_data!$H$1:$H$768))</f>
        <v>0.216666666666667</v>
      </c>
    </row>
    <row r="262" spans="1:8">
      <c r="A262" s="5">
        <f>(pima_data!A262-MIN(pima_data!$A$1:$A$768))/(MAX(pima_data!$A$1:$A$768)-MIN(pima_data!$A$1:$A$768))</f>
        <v>0.176470588235294</v>
      </c>
      <c r="B262" s="5">
        <f>(pima_data!B262-MIN(pima_data!$B$1:$B$768))/(MAX(pima_data!$B$1:$B$768)-MIN(pima_data!$B$1:$B$768))</f>
        <v>0.708542713567839</v>
      </c>
      <c r="C262" s="5">
        <f>(pima_data!C262-MIN(pima_data!$C$1:$C$768))/(MAX(pima_data!$C$1:$C$768)-MIN(pima_data!$C$1:$C$768))</f>
        <v>0</v>
      </c>
      <c r="D262" s="5">
        <f>(pima_data!D262-MIN(pima_data!$D$1:$D$768))/(MAX(pima_data!$D$1:$D$768)-MIN(pima_data!$D$1:$D$768))</f>
        <v>0</v>
      </c>
      <c r="E262" s="5">
        <f>(pima_data!E262-MIN(pima_data!$E$1:$E$768))/(MAX(pima_data!$E$1:$E$768)-MIN(pima_data!$E$1:$E$768))</f>
        <v>0</v>
      </c>
      <c r="F262" s="5">
        <f>(pima_data!F262-MIN(pima_data!$F$1:$F$768))/(MAX(pima_data!$F$1:$F$768)-MIN(pima_data!$F$1:$F$768))</f>
        <v>0.447093889716841</v>
      </c>
      <c r="G262" s="5">
        <f>(pima_data!G262-MIN(pima_data!$G$1:$G$768))/(MAX(pima_data!$G$1:$G$768)-MIN(pima_data!$G$1:$G$768))</f>
        <v>0.291631084543126</v>
      </c>
      <c r="H262" s="5">
        <f>(pima_data!H262-MIN(pima_data!$H$1:$H$768))/(MAX(pima_data!$H$1:$H$768)-MIN(pima_data!$H$1:$H$768))</f>
        <v>0.1</v>
      </c>
    </row>
    <row r="263" spans="1:8">
      <c r="A263" s="5">
        <f>(pima_data!A263-MIN(pima_data!$A$1:$A$768))/(MAX(pima_data!$A$1:$A$768)-MIN(pima_data!$A$1:$A$768))</f>
        <v>0.235294117647059</v>
      </c>
      <c r="B263" s="5">
        <f>(pima_data!B263-MIN(pima_data!$B$1:$B$768))/(MAX(pima_data!$B$1:$B$768)-MIN(pima_data!$B$1:$B$768))</f>
        <v>0.477386934673367</v>
      </c>
      <c r="C263" s="5">
        <f>(pima_data!C263-MIN(pima_data!$C$1:$C$768))/(MAX(pima_data!$C$1:$C$768)-MIN(pima_data!$C$1:$C$768))</f>
        <v>0.573770491803279</v>
      </c>
      <c r="D263" s="5">
        <f>(pima_data!D263-MIN(pima_data!$D$1:$D$768))/(MAX(pima_data!$D$1:$D$768)-MIN(pima_data!$D$1:$D$768))</f>
        <v>0.323232323232323</v>
      </c>
      <c r="E263" s="5">
        <f>(pima_data!E263-MIN(pima_data!$E$1:$E$768))/(MAX(pima_data!$E$1:$E$768)-MIN(pima_data!$E$1:$E$768))</f>
        <v>0</v>
      </c>
      <c r="F263" s="5">
        <f>(pima_data!F263-MIN(pima_data!$F$1:$F$768))/(MAX(pima_data!$F$1:$F$768)-MIN(pima_data!$F$1:$F$768))</f>
        <v>0.478390461997019</v>
      </c>
      <c r="G263" s="5">
        <f>(pima_data!G263-MIN(pima_data!$G$1:$G$768))/(MAX(pima_data!$G$1:$G$768)-MIN(pima_data!$G$1:$G$768))</f>
        <v>0.22801024765158</v>
      </c>
      <c r="H263" s="5">
        <f>(pima_data!H263-MIN(pima_data!$H$1:$H$768))/(MAX(pima_data!$H$1:$H$768)-MIN(pima_data!$H$1:$H$768))</f>
        <v>0.05</v>
      </c>
    </row>
    <row r="264" spans="1:8">
      <c r="A264" s="5">
        <f>(pima_data!A264-MIN(pima_data!$A$1:$A$768))/(MAX(pima_data!$A$1:$A$768)-MIN(pima_data!$A$1:$A$768))</f>
        <v>0.176470588235294</v>
      </c>
      <c r="B264" s="5">
        <f>(pima_data!B264-MIN(pima_data!$B$1:$B$768))/(MAX(pima_data!$B$1:$B$768)-MIN(pima_data!$B$1:$B$768))</f>
        <v>0.71356783919598</v>
      </c>
      <c r="C264" s="5">
        <f>(pima_data!C264-MIN(pima_data!$C$1:$C$768))/(MAX(pima_data!$C$1:$C$768)-MIN(pima_data!$C$1:$C$768))</f>
        <v>0.655737704918033</v>
      </c>
      <c r="D264" s="5">
        <f>(pima_data!D264-MIN(pima_data!$D$1:$D$768))/(MAX(pima_data!$D$1:$D$768)-MIN(pima_data!$D$1:$D$768))</f>
        <v>0.151515151515152</v>
      </c>
      <c r="E264" s="5">
        <f>(pima_data!E264-MIN(pima_data!$E$1:$E$768))/(MAX(pima_data!$E$1:$E$768)-MIN(pima_data!$E$1:$E$768))</f>
        <v>0</v>
      </c>
      <c r="F264" s="5">
        <f>(pima_data!F264-MIN(pima_data!$F$1:$F$768))/(MAX(pima_data!$F$1:$F$768)-MIN(pima_data!$F$1:$F$768))</f>
        <v>0.482861400894188</v>
      </c>
      <c r="G264" s="5">
        <f>(pima_data!G264-MIN(pima_data!$G$1:$G$768))/(MAX(pima_data!$G$1:$G$768)-MIN(pima_data!$G$1:$G$768))</f>
        <v>0.0520922288642186</v>
      </c>
      <c r="H264" s="5">
        <f>(pima_data!H264-MIN(pima_data!$H$1:$H$768))/(MAX(pima_data!$H$1:$H$768)-MIN(pima_data!$H$1:$H$768))</f>
        <v>0.7</v>
      </c>
    </row>
    <row r="265" spans="1:8">
      <c r="A265" s="5">
        <f>(pima_data!A265-MIN(pima_data!$A$1:$A$768))/(MAX(pima_data!$A$1:$A$768)-MIN(pima_data!$A$1:$A$768))</f>
        <v>0.235294117647059</v>
      </c>
      <c r="B265" s="5">
        <f>(pima_data!B265-MIN(pima_data!$B$1:$B$768))/(MAX(pima_data!$B$1:$B$768)-MIN(pima_data!$B$1:$B$768))</f>
        <v>0.618090452261307</v>
      </c>
      <c r="C265" s="5">
        <f>(pima_data!C265-MIN(pima_data!$C$1:$C$768))/(MAX(pima_data!$C$1:$C$768)-MIN(pima_data!$C$1:$C$768))</f>
        <v>0.508196721311475</v>
      </c>
      <c r="D265" s="5">
        <f>(pima_data!D265-MIN(pima_data!$D$1:$D$768))/(MAX(pima_data!$D$1:$D$768)-MIN(pima_data!$D$1:$D$768))</f>
        <v>0</v>
      </c>
      <c r="E265" s="5">
        <f>(pima_data!E265-MIN(pima_data!$E$1:$E$768))/(MAX(pima_data!$E$1:$E$768)-MIN(pima_data!$E$1:$E$768))</f>
        <v>0</v>
      </c>
      <c r="F265" s="5">
        <f>(pima_data!F265-MIN(pima_data!$F$1:$F$768))/(MAX(pima_data!$F$1:$F$768)-MIN(pima_data!$F$1:$F$768))</f>
        <v>0.476900149031297</v>
      </c>
      <c r="G265" s="5">
        <f>(pima_data!G265-MIN(pima_data!$G$1:$G$768))/(MAX(pima_data!$G$1:$G$768)-MIN(pima_data!$G$1:$G$768))</f>
        <v>0.0631938514090521</v>
      </c>
      <c r="H265" s="5">
        <f>(pima_data!H265-MIN(pima_data!$H$1:$H$768))/(MAX(pima_data!$H$1:$H$768)-MIN(pima_data!$H$1:$H$768))</f>
        <v>0.233333333333333</v>
      </c>
    </row>
    <row r="266" spans="1:8">
      <c r="A266" s="5">
        <f>(pima_data!A266-MIN(pima_data!$A$1:$A$768))/(MAX(pima_data!$A$1:$A$768)-MIN(pima_data!$A$1:$A$768))</f>
        <v>0.294117647058824</v>
      </c>
      <c r="B266" s="5">
        <f>(pima_data!B266-MIN(pima_data!$B$1:$B$768))/(MAX(pima_data!$B$1:$B$768)-MIN(pima_data!$B$1:$B$768))</f>
        <v>0.482412060301508</v>
      </c>
      <c r="C266" s="5">
        <f>(pima_data!C266-MIN(pima_data!$C$1:$C$768))/(MAX(pima_data!$C$1:$C$768)-MIN(pima_data!$C$1:$C$768))</f>
        <v>0.60655737704918</v>
      </c>
      <c r="D266" s="5">
        <f>(pima_data!D266-MIN(pima_data!$D$1:$D$768))/(MAX(pima_data!$D$1:$D$768)-MIN(pima_data!$D$1:$D$768))</f>
        <v>0.181818181818182</v>
      </c>
      <c r="E266" s="5">
        <f>(pima_data!E266-MIN(pima_data!$E$1:$E$768))/(MAX(pima_data!$E$1:$E$768)-MIN(pima_data!$E$1:$E$768))</f>
        <v>0.0791962174940898</v>
      </c>
      <c r="F266" s="5">
        <f>(pima_data!F266-MIN(pima_data!$F$1:$F$768))/(MAX(pima_data!$F$1:$F$768)-MIN(pima_data!$F$1:$F$768))</f>
        <v>0.500745156482861</v>
      </c>
      <c r="G266" s="5">
        <f>(pima_data!G266-MIN(pima_data!$G$1:$G$768))/(MAX(pima_data!$G$1:$G$768)-MIN(pima_data!$G$1:$G$768))</f>
        <v>0.392399658411614</v>
      </c>
      <c r="H266" s="5">
        <f>(pima_data!H266-MIN(pima_data!$H$1:$H$768))/(MAX(pima_data!$H$1:$H$768)-MIN(pima_data!$H$1:$H$768))</f>
        <v>0.366666666666667</v>
      </c>
    </row>
    <row r="267" spans="1:8">
      <c r="A267" s="5">
        <f>(pima_data!A267-MIN(pima_data!$A$1:$A$768))/(MAX(pima_data!$A$1:$A$768)-MIN(pima_data!$A$1:$A$768))</f>
        <v>0</v>
      </c>
      <c r="B267" s="5">
        <f>(pima_data!B267-MIN(pima_data!$B$1:$B$768))/(MAX(pima_data!$B$1:$B$768)-MIN(pima_data!$B$1:$B$768))</f>
        <v>0.693467336683417</v>
      </c>
      <c r="C267" s="5">
        <f>(pima_data!C267-MIN(pima_data!$C$1:$C$768))/(MAX(pima_data!$C$1:$C$768)-MIN(pima_data!$C$1:$C$768))</f>
        <v>0</v>
      </c>
      <c r="D267" s="5">
        <f>(pima_data!D267-MIN(pima_data!$D$1:$D$768))/(MAX(pima_data!$D$1:$D$768)-MIN(pima_data!$D$1:$D$768))</f>
        <v>0</v>
      </c>
      <c r="E267" s="5">
        <f>(pima_data!E267-MIN(pima_data!$E$1:$E$768))/(MAX(pima_data!$E$1:$E$768)-MIN(pima_data!$E$1:$E$768))</f>
        <v>0</v>
      </c>
      <c r="F267" s="5">
        <f>(pima_data!F267-MIN(pima_data!$F$1:$F$768))/(MAX(pima_data!$F$1:$F$768)-MIN(pima_data!$F$1:$F$768))</f>
        <v>0.540983606557377</v>
      </c>
      <c r="G267" s="5">
        <f>(pima_data!G267-MIN(pima_data!$G$1:$G$768))/(MAX(pima_data!$G$1:$G$768)-MIN(pima_data!$G$1:$G$768))</f>
        <v>0.365072587532024</v>
      </c>
      <c r="H267" s="5">
        <f>(pima_data!H267-MIN(pima_data!$H$1:$H$768))/(MAX(pima_data!$H$1:$H$768)-MIN(pima_data!$H$1:$H$768))</f>
        <v>0.0666666666666667</v>
      </c>
    </row>
    <row r="268" spans="1:8">
      <c r="A268" s="5">
        <f>(pima_data!A268-MIN(pima_data!$A$1:$A$768))/(MAX(pima_data!$A$1:$A$768)-MIN(pima_data!$A$1:$A$768))</f>
        <v>0.117647058823529</v>
      </c>
      <c r="B268" s="5">
        <f>(pima_data!B268-MIN(pima_data!$B$1:$B$768))/(MAX(pima_data!$B$1:$B$768)-MIN(pima_data!$B$1:$B$768))</f>
        <v>0.64321608040201</v>
      </c>
      <c r="C268" s="5">
        <f>(pima_data!C268-MIN(pima_data!$C$1:$C$768))/(MAX(pima_data!$C$1:$C$768)-MIN(pima_data!$C$1:$C$768))</f>
        <v>0.524590163934426</v>
      </c>
      <c r="D268" s="5">
        <f>(pima_data!D268-MIN(pima_data!$D$1:$D$768))/(MAX(pima_data!$D$1:$D$768)-MIN(pima_data!$D$1:$D$768))</f>
        <v>0.424242424242424</v>
      </c>
      <c r="E268" s="5">
        <f>(pima_data!E268-MIN(pima_data!$E$1:$E$768))/(MAX(pima_data!$E$1:$E$768)-MIN(pima_data!$E$1:$E$768))</f>
        <v>0</v>
      </c>
      <c r="F268" s="5">
        <f>(pima_data!F268-MIN(pima_data!$F$1:$F$768))/(MAX(pima_data!$F$1:$F$768)-MIN(pima_data!$F$1:$F$768))</f>
        <v>0.596125186289121</v>
      </c>
      <c r="G268" s="5">
        <f>(pima_data!G268-MIN(pima_data!$G$1:$G$768))/(MAX(pima_data!$G$1:$G$768)-MIN(pima_data!$G$1:$G$768))</f>
        <v>0.436806148590948</v>
      </c>
      <c r="H268" s="5">
        <f>(pima_data!H268-MIN(pima_data!$H$1:$H$768))/(MAX(pima_data!$H$1:$H$768)-MIN(pima_data!$H$1:$H$768))</f>
        <v>0.05</v>
      </c>
    </row>
    <row r="269" spans="1:8">
      <c r="A269" s="5">
        <f>(pima_data!A269-MIN(pima_data!$A$1:$A$768))/(MAX(pima_data!$A$1:$A$768)-MIN(pima_data!$A$1:$A$768))</f>
        <v>0</v>
      </c>
      <c r="B269" s="5">
        <f>(pima_data!B269-MIN(pima_data!$B$1:$B$768))/(MAX(pima_data!$B$1:$B$768)-MIN(pima_data!$B$1:$B$768))</f>
        <v>0.512562814070352</v>
      </c>
      <c r="C269" s="5">
        <f>(pima_data!C269-MIN(pima_data!$C$1:$C$768))/(MAX(pima_data!$C$1:$C$768)-MIN(pima_data!$C$1:$C$768))</f>
        <v>0.426229508196721</v>
      </c>
      <c r="D269" s="5">
        <f>(pima_data!D269-MIN(pima_data!$D$1:$D$768))/(MAX(pima_data!$D$1:$D$768)-MIN(pima_data!$D$1:$D$768))</f>
        <v>0</v>
      </c>
      <c r="E269" s="5">
        <f>(pima_data!E269-MIN(pima_data!$E$1:$E$768))/(MAX(pima_data!$E$1:$E$768)-MIN(pima_data!$E$1:$E$768))</f>
        <v>0</v>
      </c>
      <c r="F269" s="5">
        <f>(pima_data!F269-MIN(pima_data!$F$1:$F$768))/(MAX(pima_data!$F$1:$F$768)-MIN(pima_data!$F$1:$F$768))</f>
        <v>0.374068554396423</v>
      </c>
      <c r="G269" s="5">
        <f>(pima_data!G269-MIN(pima_data!$G$1:$G$768))/(MAX(pima_data!$G$1:$G$768)-MIN(pima_data!$G$1:$G$768))</f>
        <v>0</v>
      </c>
      <c r="H269" s="5">
        <f>(pima_data!H269-MIN(pima_data!$H$1:$H$768))/(MAX(pima_data!$H$1:$H$768)-MIN(pima_data!$H$1:$H$768))</f>
        <v>0</v>
      </c>
    </row>
    <row r="270" spans="1:8">
      <c r="A270" s="5">
        <f>(pima_data!A270-MIN(pima_data!$A$1:$A$768))/(MAX(pima_data!$A$1:$A$768)-MIN(pima_data!$A$1:$A$768))</f>
        <v>0.117647058823529</v>
      </c>
      <c r="B270" s="5">
        <f>(pima_data!B270-MIN(pima_data!$B$1:$B$768))/(MAX(pima_data!$B$1:$B$768)-MIN(pima_data!$B$1:$B$768))</f>
        <v>0.733668341708543</v>
      </c>
      <c r="C270" s="5">
        <f>(pima_data!C270-MIN(pima_data!$C$1:$C$768))/(MAX(pima_data!$C$1:$C$768)-MIN(pima_data!$C$1:$C$768))</f>
        <v>0</v>
      </c>
      <c r="D270" s="5">
        <f>(pima_data!D270-MIN(pima_data!$D$1:$D$768))/(MAX(pima_data!$D$1:$D$768)-MIN(pima_data!$D$1:$D$768))</f>
        <v>0</v>
      </c>
      <c r="E270" s="5">
        <f>(pima_data!E270-MIN(pima_data!$E$1:$E$768))/(MAX(pima_data!$E$1:$E$768)-MIN(pima_data!$E$1:$E$768))</f>
        <v>0</v>
      </c>
      <c r="F270" s="5">
        <f>(pima_data!F270-MIN(pima_data!$F$1:$F$768))/(MAX(pima_data!$F$1:$F$768)-MIN(pima_data!$F$1:$F$768))</f>
        <v>0.409836065573771</v>
      </c>
      <c r="G270" s="5">
        <f>(pima_data!G270-MIN(pima_data!$G$1:$G$768))/(MAX(pima_data!$G$1:$G$768)-MIN(pima_data!$G$1:$G$768))</f>
        <v>0.0691716481639624</v>
      </c>
      <c r="H270" s="5">
        <f>(pima_data!H270-MIN(pima_data!$H$1:$H$768))/(MAX(pima_data!$H$1:$H$768)-MIN(pima_data!$H$1:$H$768))</f>
        <v>0.116666666666667</v>
      </c>
    </row>
    <row r="271" spans="1:8">
      <c r="A271" s="5">
        <f>(pima_data!A271-MIN(pima_data!$A$1:$A$768))/(MAX(pima_data!$A$1:$A$768)-MIN(pima_data!$A$1:$A$768))</f>
        <v>0.588235294117647</v>
      </c>
      <c r="B271" s="5">
        <f>(pima_data!B271-MIN(pima_data!$B$1:$B$768))/(MAX(pima_data!$B$1:$B$768)-MIN(pima_data!$B$1:$B$768))</f>
        <v>0.507537688442211</v>
      </c>
      <c r="C271" s="5">
        <f>(pima_data!C271-MIN(pima_data!$C$1:$C$768))/(MAX(pima_data!$C$1:$C$768)-MIN(pima_data!$C$1:$C$768))</f>
        <v>0.704918032786885</v>
      </c>
      <c r="D271" s="5">
        <f>(pima_data!D271-MIN(pima_data!$D$1:$D$768))/(MAX(pima_data!$D$1:$D$768)-MIN(pima_data!$D$1:$D$768))</f>
        <v>0.373737373737374</v>
      </c>
      <c r="E271" s="5">
        <f>(pima_data!E271-MIN(pima_data!$E$1:$E$768))/(MAX(pima_data!$E$1:$E$768)-MIN(pima_data!$E$1:$E$768))</f>
        <v>0</v>
      </c>
      <c r="F271" s="5">
        <f>(pima_data!F271-MIN(pima_data!$F$1:$F$768))/(MAX(pima_data!$F$1:$F$768)-MIN(pima_data!$F$1:$F$768))</f>
        <v>0.679582712369598</v>
      </c>
      <c r="G271" s="5">
        <f>(pima_data!G271-MIN(pima_data!$G$1:$G$768))/(MAX(pima_data!$G$1:$G$768)-MIN(pima_data!$G$1:$G$768))</f>
        <v>0.451750640478224</v>
      </c>
      <c r="H271" s="5">
        <f>(pima_data!H271-MIN(pima_data!$H$1:$H$768))/(MAX(pima_data!$H$1:$H$768)-MIN(pima_data!$H$1:$H$768))</f>
        <v>0.283333333333333</v>
      </c>
    </row>
    <row r="272" spans="1:8">
      <c r="A272" s="5">
        <f>(pima_data!A272-MIN(pima_data!$A$1:$A$768))/(MAX(pima_data!$A$1:$A$768)-MIN(pima_data!$A$1:$A$768))</f>
        <v>0.117647058823529</v>
      </c>
      <c r="B272" s="5">
        <f>(pima_data!B272-MIN(pima_data!$B$1:$B$768))/(MAX(pima_data!$B$1:$B$768)-MIN(pima_data!$B$1:$B$768))</f>
        <v>0.542713567839196</v>
      </c>
      <c r="C272" s="5">
        <f>(pima_data!C272-MIN(pima_data!$C$1:$C$768))/(MAX(pima_data!$C$1:$C$768)-MIN(pima_data!$C$1:$C$768))</f>
        <v>0.508196721311475</v>
      </c>
      <c r="D272" s="5">
        <f>(pima_data!D272-MIN(pima_data!$D$1:$D$768))/(MAX(pima_data!$D$1:$D$768)-MIN(pima_data!$D$1:$D$768))</f>
        <v>0.323232323232323</v>
      </c>
      <c r="E272" s="5">
        <f>(pima_data!E272-MIN(pima_data!$E$1:$E$768))/(MAX(pima_data!$E$1:$E$768)-MIN(pima_data!$E$1:$E$768))</f>
        <v>0.066193853427896</v>
      </c>
      <c r="F272" s="5">
        <f>(pima_data!F272-MIN(pima_data!$F$1:$F$768))/(MAX(pima_data!$F$1:$F$768)-MIN(pima_data!$F$1:$F$768))</f>
        <v>0.375558867362146</v>
      </c>
      <c r="G272" s="5">
        <f>(pima_data!G272-MIN(pima_data!$G$1:$G$768))/(MAX(pima_data!$G$1:$G$768)-MIN(pima_data!$G$1:$G$768))</f>
        <v>0.0213492741246798</v>
      </c>
      <c r="H272" s="5">
        <f>(pima_data!H272-MIN(pima_data!$H$1:$H$768))/(MAX(pima_data!$H$1:$H$768)-MIN(pima_data!$H$1:$H$768))</f>
        <v>0</v>
      </c>
    </row>
    <row r="273" spans="1:8">
      <c r="A273" s="5">
        <f>(pima_data!A273-MIN(pima_data!$A$1:$A$768))/(MAX(pima_data!$A$1:$A$768)-MIN(pima_data!$A$1:$A$768))</f>
        <v>0.176470588235294</v>
      </c>
      <c r="B273" s="5">
        <f>(pima_data!B273-MIN(pima_data!$B$1:$B$768))/(MAX(pima_data!$B$1:$B$768)-MIN(pima_data!$B$1:$B$768))</f>
        <v>0.613065326633166</v>
      </c>
      <c r="C273" s="5">
        <f>(pima_data!C273-MIN(pima_data!$C$1:$C$768))/(MAX(pima_data!$C$1:$C$768)-MIN(pima_data!$C$1:$C$768))</f>
        <v>0.639344262295082</v>
      </c>
      <c r="D273" s="5">
        <f>(pima_data!D273-MIN(pima_data!$D$1:$D$768))/(MAX(pima_data!$D$1:$D$768)-MIN(pima_data!$D$1:$D$768))</f>
        <v>0</v>
      </c>
      <c r="E273" s="5">
        <f>(pima_data!E273-MIN(pima_data!$E$1:$E$768))/(MAX(pima_data!$E$1:$E$768)-MIN(pima_data!$E$1:$E$768))</f>
        <v>0</v>
      </c>
      <c r="F273" s="5">
        <f>(pima_data!F273-MIN(pima_data!$F$1:$F$768))/(MAX(pima_data!$F$1:$F$768)-MIN(pima_data!$F$1:$F$768))</f>
        <v>0.342771982116244</v>
      </c>
      <c r="G273" s="5">
        <f>(pima_data!G273-MIN(pima_data!$G$1:$G$768))/(MAX(pima_data!$G$1:$G$768)-MIN(pima_data!$G$1:$G$768))</f>
        <v>0.0751494449188728</v>
      </c>
      <c r="H273" s="5">
        <f>(pima_data!H273-MIN(pima_data!$H$1:$H$768))/(MAX(pima_data!$H$1:$H$768)-MIN(pima_data!$H$1:$H$768))</f>
        <v>0.316666666666667</v>
      </c>
    </row>
    <row r="274" spans="1:8">
      <c r="A274" s="5">
        <f>(pima_data!A274-MIN(pima_data!$A$1:$A$768))/(MAX(pima_data!$A$1:$A$768)-MIN(pima_data!$A$1:$A$768))</f>
        <v>0.0588235294117647</v>
      </c>
      <c r="B274" s="5">
        <f>(pima_data!B274-MIN(pima_data!$B$1:$B$768))/(MAX(pima_data!$B$1:$B$768)-MIN(pima_data!$B$1:$B$768))</f>
        <v>0.35678391959799</v>
      </c>
      <c r="C274" s="5">
        <f>(pima_data!C274-MIN(pima_data!$C$1:$C$768))/(MAX(pima_data!$C$1:$C$768)-MIN(pima_data!$C$1:$C$768))</f>
        <v>0.639344262295082</v>
      </c>
      <c r="D274" s="5">
        <f>(pima_data!D274-MIN(pima_data!$D$1:$D$768))/(MAX(pima_data!$D$1:$D$768)-MIN(pima_data!$D$1:$D$768))</f>
        <v>0.505050505050505</v>
      </c>
      <c r="E274" s="5">
        <f>(pima_data!E274-MIN(pima_data!$E$1:$E$768))/(MAX(pima_data!$E$1:$E$768)-MIN(pima_data!$E$1:$E$768))</f>
        <v>0.0531914893617021</v>
      </c>
      <c r="F274" s="5">
        <f>(pima_data!F274-MIN(pima_data!$F$1:$F$768))/(MAX(pima_data!$F$1:$F$768)-MIN(pima_data!$F$1:$F$768))</f>
        <v>0.49478390461997</v>
      </c>
      <c r="G274" s="5">
        <f>(pima_data!G274-MIN(pima_data!$G$1:$G$768))/(MAX(pima_data!$G$1:$G$768)-MIN(pima_data!$G$1:$G$768))</f>
        <v>0.146883005977797</v>
      </c>
      <c r="H274" s="5">
        <f>(pima_data!H274-MIN(pima_data!$H$1:$H$768))/(MAX(pima_data!$H$1:$H$768)-MIN(pima_data!$H$1:$H$768))</f>
        <v>0</v>
      </c>
    </row>
    <row r="275" spans="1:8">
      <c r="A275" s="5">
        <f>(pima_data!A275-MIN(pima_data!$A$1:$A$768))/(MAX(pima_data!$A$1:$A$768)-MIN(pima_data!$A$1:$A$768))</f>
        <v>0.764705882352941</v>
      </c>
      <c r="B275" s="5">
        <f>(pima_data!B275-MIN(pima_data!$B$1:$B$768))/(MAX(pima_data!$B$1:$B$768)-MIN(pima_data!$B$1:$B$768))</f>
        <v>0.532663316582915</v>
      </c>
      <c r="C275" s="5">
        <f>(pima_data!C275-MIN(pima_data!$C$1:$C$768))/(MAX(pima_data!$C$1:$C$768)-MIN(pima_data!$C$1:$C$768))</f>
        <v>0.573770491803279</v>
      </c>
      <c r="D275" s="5">
        <f>(pima_data!D275-MIN(pima_data!$D$1:$D$768))/(MAX(pima_data!$D$1:$D$768)-MIN(pima_data!$D$1:$D$768))</f>
        <v>0</v>
      </c>
      <c r="E275" s="5">
        <f>(pima_data!E275-MIN(pima_data!$E$1:$E$768))/(MAX(pima_data!$E$1:$E$768)-MIN(pima_data!$E$1:$E$768))</f>
        <v>0</v>
      </c>
      <c r="F275" s="5">
        <f>(pima_data!F275-MIN(pima_data!$F$1:$F$768))/(MAX(pima_data!$F$1:$F$768)-MIN(pima_data!$F$1:$F$768))</f>
        <v>0.509687034277198</v>
      </c>
      <c r="G275" s="5">
        <f>(pima_data!G275-MIN(pima_data!$G$1:$G$768))/(MAX(pima_data!$G$1:$G$768)-MIN(pima_data!$G$1:$G$768))</f>
        <v>0.073868488471392</v>
      </c>
      <c r="H275" s="5">
        <f>(pima_data!H275-MIN(pima_data!$H$1:$H$768))/(MAX(pima_data!$H$1:$H$768)-MIN(pima_data!$H$1:$H$768))</f>
        <v>0.516666666666667</v>
      </c>
    </row>
    <row r="276" spans="1:8">
      <c r="A276" s="5">
        <f>(pima_data!A276-MIN(pima_data!$A$1:$A$768))/(MAX(pima_data!$A$1:$A$768)-MIN(pima_data!$A$1:$A$768))</f>
        <v>0.117647058823529</v>
      </c>
      <c r="B276" s="5">
        <f>(pima_data!B276-MIN(pima_data!$B$1:$B$768))/(MAX(pima_data!$B$1:$B$768)-MIN(pima_data!$B$1:$B$768))</f>
        <v>0.50251256281407</v>
      </c>
      <c r="C276" s="5">
        <f>(pima_data!C276-MIN(pima_data!$C$1:$C$768))/(MAX(pima_data!$C$1:$C$768)-MIN(pima_data!$C$1:$C$768))</f>
        <v>0.573770491803279</v>
      </c>
      <c r="D276" s="5">
        <f>(pima_data!D276-MIN(pima_data!$D$1:$D$768))/(MAX(pima_data!$D$1:$D$768)-MIN(pima_data!$D$1:$D$768))</f>
        <v>0.525252525252525</v>
      </c>
      <c r="E276" s="5">
        <f>(pima_data!E276-MIN(pima_data!$E$1:$E$768))/(MAX(pima_data!$E$1:$E$768)-MIN(pima_data!$E$1:$E$768))</f>
        <v>0.0673758865248227</v>
      </c>
      <c r="F276" s="5">
        <f>(pima_data!F276-MIN(pima_data!$F$1:$F$768))/(MAX(pima_data!$F$1:$F$768)-MIN(pima_data!$F$1:$F$768))</f>
        <v>0.603576751117735</v>
      </c>
      <c r="G276" s="5">
        <f>(pima_data!G276-MIN(pima_data!$G$1:$G$768))/(MAX(pima_data!$G$1:$G$768)-MIN(pima_data!$G$1:$G$768))</f>
        <v>0.255764304013664</v>
      </c>
      <c r="H276" s="5">
        <f>(pima_data!H276-MIN(pima_data!$H$1:$H$768))/(MAX(pima_data!$H$1:$H$768)-MIN(pima_data!$H$1:$H$768))</f>
        <v>0.0666666666666667</v>
      </c>
    </row>
    <row r="277" spans="1:8">
      <c r="A277" s="5">
        <f>(pima_data!A277-MIN(pima_data!$A$1:$A$768))/(MAX(pima_data!$A$1:$A$768)-MIN(pima_data!$A$1:$A$768))</f>
        <v>0.411764705882353</v>
      </c>
      <c r="B277" s="5">
        <f>(pima_data!B277-MIN(pima_data!$B$1:$B$768))/(MAX(pima_data!$B$1:$B$768)-MIN(pima_data!$B$1:$B$768))</f>
        <v>0.532663316582915</v>
      </c>
      <c r="C277" s="5">
        <f>(pima_data!C277-MIN(pima_data!$C$1:$C$768))/(MAX(pima_data!$C$1:$C$768)-MIN(pima_data!$C$1:$C$768))</f>
        <v>0.491803278688525</v>
      </c>
      <c r="D277" s="5">
        <f>(pima_data!D277-MIN(pima_data!$D$1:$D$768))/(MAX(pima_data!$D$1:$D$768)-MIN(pima_data!$D$1:$D$768))</f>
        <v>0.242424242424242</v>
      </c>
      <c r="E277" s="5">
        <f>(pima_data!E277-MIN(pima_data!$E$1:$E$768))/(MAX(pima_data!$E$1:$E$768)-MIN(pima_data!$E$1:$E$768))</f>
        <v>0</v>
      </c>
      <c r="F277" s="5">
        <f>(pima_data!F277-MIN(pima_data!$F$1:$F$768))/(MAX(pima_data!$F$1:$F$768)-MIN(pima_data!$F$1:$F$768))</f>
        <v>0.394932935916542</v>
      </c>
      <c r="G277" s="5">
        <f>(pima_data!G277-MIN(pima_data!$G$1:$G$768))/(MAX(pima_data!$G$1:$G$768)-MIN(pima_data!$G$1:$G$768))</f>
        <v>0.0930828351836037</v>
      </c>
      <c r="H277" s="5">
        <f>(pima_data!H277-MIN(pima_data!$H$1:$H$768))/(MAX(pima_data!$H$1:$H$768)-MIN(pima_data!$H$1:$H$768))</f>
        <v>0.133333333333333</v>
      </c>
    </row>
    <row r="278" spans="1:8">
      <c r="A278" s="5">
        <f>(pima_data!A278-MIN(pima_data!$A$1:$A$768))/(MAX(pima_data!$A$1:$A$768)-MIN(pima_data!$A$1:$A$768))</f>
        <v>0</v>
      </c>
      <c r="B278" s="5">
        <f>(pima_data!B278-MIN(pima_data!$B$1:$B$768))/(MAX(pima_data!$B$1:$B$768)-MIN(pima_data!$B$1:$B$768))</f>
        <v>0.522613065326633</v>
      </c>
      <c r="C278" s="5">
        <f>(pima_data!C278-MIN(pima_data!$C$1:$C$768))/(MAX(pima_data!$C$1:$C$768)-MIN(pima_data!$C$1:$C$768))</f>
        <v>0.524590163934426</v>
      </c>
      <c r="D278" s="5">
        <f>(pima_data!D278-MIN(pima_data!$D$1:$D$768))/(MAX(pima_data!$D$1:$D$768)-MIN(pima_data!$D$1:$D$768))</f>
        <v>0.232323232323232</v>
      </c>
      <c r="E278" s="5">
        <f>(pima_data!E278-MIN(pima_data!$E$1:$E$768))/(MAX(pima_data!$E$1:$E$768)-MIN(pima_data!$E$1:$E$768))</f>
        <v>0.137115839243499</v>
      </c>
      <c r="F278" s="5">
        <f>(pima_data!F278-MIN(pima_data!$F$1:$F$768))/(MAX(pima_data!$F$1:$F$768)-MIN(pima_data!$F$1:$F$768))</f>
        <v>0.414307004470939</v>
      </c>
      <c r="G278" s="5">
        <f>(pima_data!G278-MIN(pima_data!$G$1:$G$768))/(MAX(pima_data!$G$1:$G$768)-MIN(pima_data!$G$1:$G$768))</f>
        <v>0.160546541417592</v>
      </c>
      <c r="H278" s="5">
        <f>(pima_data!H278-MIN(pima_data!$H$1:$H$768))/(MAX(pima_data!$H$1:$H$768)-MIN(pima_data!$H$1:$H$768))</f>
        <v>0.0333333333333333</v>
      </c>
    </row>
    <row r="279" spans="1:8">
      <c r="A279" s="5">
        <f>(pima_data!A279-MIN(pima_data!$A$1:$A$768))/(MAX(pima_data!$A$1:$A$768)-MIN(pima_data!$A$1:$A$768))</f>
        <v>0.294117647058824</v>
      </c>
      <c r="B279" s="5">
        <f>(pima_data!B279-MIN(pima_data!$B$1:$B$768))/(MAX(pima_data!$B$1:$B$768)-MIN(pima_data!$B$1:$B$768))</f>
        <v>0.57286432160804</v>
      </c>
      <c r="C279" s="5">
        <f>(pima_data!C279-MIN(pima_data!$C$1:$C$768))/(MAX(pima_data!$C$1:$C$768)-MIN(pima_data!$C$1:$C$768))</f>
        <v>0.60655737704918</v>
      </c>
      <c r="D279" s="5">
        <f>(pima_data!D279-MIN(pima_data!$D$1:$D$768))/(MAX(pima_data!$D$1:$D$768)-MIN(pima_data!$D$1:$D$768))</f>
        <v>0</v>
      </c>
      <c r="E279" s="5">
        <f>(pima_data!E279-MIN(pima_data!$E$1:$E$768))/(MAX(pima_data!$E$1:$E$768)-MIN(pima_data!$E$1:$E$768))</f>
        <v>0</v>
      </c>
      <c r="F279" s="5">
        <f>(pima_data!F279-MIN(pima_data!$F$1:$F$768))/(MAX(pima_data!$F$1:$F$768)-MIN(pima_data!$F$1:$F$768))</f>
        <v>0.371087928464978</v>
      </c>
      <c r="G279" s="5">
        <f>(pima_data!G279-MIN(pima_data!$G$1:$G$768))/(MAX(pima_data!$G$1:$G$768)-MIN(pima_data!$G$1:$G$768))</f>
        <v>0.284372331340734</v>
      </c>
      <c r="H279" s="5">
        <f>(pima_data!H279-MIN(pima_data!$H$1:$H$768))/(MAX(pima_data!$H$1:$H$768)-MIN(pima_data!$H$1:$H$768))</f>
        <v>0.6</v>
      </c>
    </row>
    <row r="280" spans="1:8">
      <c r="A280" s="5">
        <f>(pima_data!A280-MIN(pima_data!$A$1:$A$768))/(MAX(pima_data!$A$1:$A$768)-MIN(pima_data!$A$1:$A$768))</f>
        <v>0.117647058823529</v>
      </c>
      <c r="B280" s="5">
        <f>(pima_data!B280-MIN(pima_data!$B$1:$B$768))/(MAX(pima_data!$B$1:$B$768)-MIN(pima_data!$B$1:$B$768))</f>
        <v>0.542713567839196</v>
      </c>
      <c r="C280" s="5">
        <f>(pima_data!C280-MIN(pima_data!$C$1:$C$768))/(MAX(pima_data!$C$1:$C$768)-MIN(pima_data!$C$1:$C$768))</f>
        <v>0.508196721311475</v>
      </c>
      <c r="D280" s="5">
        <f>(pima_data!D280-MIN(pima_data!$D$1:$D$768))/(MAX(pima_data!$D$1:$D$768)-MIN(pima_data!$D$1:$D$768))</f>
        <v>0.101010101010101</v>
      </c>
      <c r="E280" s="5">
        <f>(pima_data!E280-MIN(pima_data!$E$1:$E$768))/(MAX(pima_data!$E$1:$E$768)-MIN(pima_data!$E$1:$E$768))</f>
        <v>0.328605200945626</v>
      </c>
      <c r="F280" s="5">
        <f>(pima_data!F280-MIN(pima_data!$F$1:$F$768))/(MAX(pima_data!$F$1:$F$768)-MIN(pima_data!$F$1:$F$768))</f>
        <v>0.377049180327869</v>
      </c>
      <c r="G280" s="5">
        <f>(pima_data!G280-MIN(pima_data!$G$1:$G$768))/(MAX(pima_data!$G$1:$G$768)-MIN(pima_data!$G$1:$G$768))</f>
        <v>0.342869342442357</v>
      </c>
      <c r="H280" s="5">
        <f>(pima_data!H280-MIN(pima_data!$H$1:$H$768))/(MAX(pima_data!$H$1:$H$768)-MIN(pima_data!$H$1:$H$768))</f>
        <v>0.0166666666666667</v>
      </c>
    </row>
    <row r="281" spans="1:8">
      <c r="A281" s="5">
        <f>(pima_data!A281-MIN(pima_data!$A$1:$A$768))/(MAX(pima_data!$A$1:$A$768)-MIN(pima_data!$A$1:$A$768))</f>
        <v>0</v>
      </c>
      <c r="B281" s="5">
        <f>(pima_data!B281-MIN(pima_data!$B$1:$B$768))/(MAX(pima_data!$B$1:$B$768)-MIN(pima_data!$B$1:$B$768))</f>
        <v>0.733668341708543</v>
      </c>
      <c r="C281" s="5">
        <f>(pima_data!C281-MIN(pima_data!$C$1:$C$768))/(MAX(pima_data!$C$1:$C$768)-MIN(pima_data!$C$1:$C$768))</f>
        <v>0.573770491803279</v>
      </c>
      <c r="D281" s="5">
        <f>(pima_data!D281-MIN(pima_data!$D$1:$D$768))/(MAX(pima_data!$D$1:$D$768)-MIN(pima_data!$D$1:$D$768))</f>
        <v>0</v>
      </c>
      <c r="E281" s="5">
        <f>(pima_data!E281-MIN(pima_data!$E$1:$E$768))/(MAX(pima_data!$E$1:$E$768)-MIN(pima_data!$E$1:$E$768))</f>
        <v>0</v>
      </c>
      <c r="F281" s="5">
        <f>(pima_data!F281-MIN(pima_data!$F$1:$F$768))/(MAX(pima_data!$F$1:$F$768)-MIN(pima_data!$F$1:$F$768))</f>
        <v>0.564828614008942</v>
      </c>
      <c r="G281" s="5">
        <f>(pima_data!G281-MIN(pima_data!$G$1:$G$768))/(MAX(pima_data!$G$1:$G$768)-MIN(pima_data!$G$1:$G$768))</f>
        <v>0.10930828351836</v>
      </c>
      <c r="H281" s="5">
        <f>(pima_data!H281-MIN(pima_data!$H$1:$H$768))/(MAX(pima_data!$H$1:$H$768)-MIN(pima_data!$H$1:$H$768))</f>
        <v>0.116666666666667</v>
      </c>
    </row>
    <row r="282" spans="1:8">
      <c r="A282" s="5">
        <f>(pima_data!A282-MIN(pima_data!$A$1:$A$768))/(MAX(pima_data!$A$1:$A$768)-MIN(pima_data!$A$1:$A$768))</f>
        <v>0.588235294117647</v>
      </c>
      <c r="B282" s="5">
        <f>(pima_data!B282-MIN(pima_data!$B$1:$B$768))/(MAX(pima_data!$B$1:$B$768)-MIN(pima_data!$B$1:$B$768))</f>
        <v>0.648241206030151</v>
      </c>
      <c r="C282" s="5">
        <f>(pima_data!C282-MIN(pima_data!$C$1:$C$768))/(MAX(pima_data!$C$1:$C$768)-MIN(pima_data!$C$1:$C$768))</f>
        <v>0.622950819672131</v>
      </c>
      <c r="D282" s="5">
        <f>(pima_data!D282-MIN(pima_data!$D$1:$D$768))/(MAX(pima_data!$D$1:$D$768)-MIN(pima_data!$D$1:$D$768))</f>
        <v>0.282828282828283</v>
      </c>
      <c r="E282" s="5">
        <f>(pima_data!E282-MIN(pima_data!$E$1:$E$768))/(MAX(pima_data!$E$1:$E$768)-MIN(pima_data!$E$1:$E$768))</f>
        <v>0.144208037825059</v>
      </c>
      <c r="F282" s="5">
        <f>(pima_data!F282-MIN(pima_data!$F$1:$F$768))/(MAX(pima_data!$F$1:$F$768)-MIN(pima_data!$F$1:$F$768))</f>
        <v>0.535022354694486</v>
      </c>
      <c r="G282" s="5">
        <f>(pima_data!G282-MIN(pima_data!$G$1:$G$768))/(MAX(pima_data!$G$1:$G$768)-MIN(pima_data!$G$1:$G$768))</f>
        <v>0.0862510674637062</v>
      </c>
      <c r="H282" s="5">
        <f>(pima_data!H282-MIN(pima_data!$H$1:$H$768))/(MAX(pima_data!$H$1:$H$768)-MIN(pima_data!$H$1:$H$768))</f>
        <v>0.3</v>
      </c>
    </row>
    <row r="283" spans="1:8">
      <c r="A283" s="5">
        <f>(pima_data!A283-MIN(pima_data!$A$1:$A$768))/(MAX(pima_data!$A$1:$A$768)-MIN(pima_data!$A$1:$A$768))</f>
        <v>0.411764705882353</v>
      </c>
      <c r="B283" s="5">
        <f>(pima_data!B283-MIN(pima_data!$B$1:$B$768))/(MAX(pima_data!$B$1:$B$768)-MIN(pima_data!$B$1:$B$768))</f>
        <v>0.668341708542714</v>
      </c>
      <c r="C283" s="5">
        <f>(pima_data!C283-MIN(pima_data!$C$1:$C$768))/(MAX(pima_data!$C$1:$C$768)-MIN(pima_data!$C$1:$C$768))</f>
        <v>0.721311475409836</v>
      </c>
      <c r="D283" s="5">
        <f>(pima_data!D283-MIN(pima_data!$D$1:$D$768))/(MAX(pima_data!$D$1:$D$768)-MIN(pima_data!$D$1:$D$768))</f>
        <v>0.151515151515152</v>
      </c>
      <c r="E283" s="5">
        <f>(pima_data!E283-MIN(pima_data!$E$1:$E$768))/(MAX(pima_data!$E$1:$E$768)-MIN(pima_data!$E$1:$E$768))</f>
        <v>0.183215130023641</v>
      </c>
      <c r="F283" s="5">
        <f>(pima_data!F283-MIN(pima_data!$F$1:$F$768))/(MAX(pima_data!$F$1:$F$768)-MIN(pima_data!$F$1:$F$768))</f>
        <v>0.482861400894188</v>
      </c>
      <c r="G283" s="5">
        <f>(pima_data!G283-MIN(pima_data!$G$1:$G$768))/(MAX(pima_data!$G$1:$G$768)-MIN(pima_data!$G$1:$G$768))</f>
        <v>0.0785653287788215</v>
      </c>
      <c r="H283" s="5">
        <f>(pima_data!H283-MIN(pima_data!$H$1:$H$768))/(MAX(pima_data!$H$1:$H$768)-MIN(pima_data!$H$1:$H$768))</f>
        <v>0.266666666666667</v>
      </c>
    </row>
    <row r="284" spans="1:8">
      <c r="A284" s="5">
        <f>(pima_data!A284-MIN(pima_data!$A$1:$A$768))/(MAX(pima_data!$A$1:$A$768)-MIN(pima_data!$A$1:$A$768))</f>
        <v>0.411764705882353</v>
      </c>
      <c r="B284" s="5">
        <f>(pima_data!B284-MIN(pima_data!$B$1:$B$768))/(MAX(pima_data!$B$1:$B$768)-MIN(pima_data!$B$1:$B$768))</f>
        <v>0.809045226130653</v>
      </c>
      <c r="C284" s="5">
        <f>(pima_data!C284-MIN(pima_data!$C$1:$C$768))/(MAX(pima_data!$C$1:$C$768)-MIN(pima_data!$C$1:$C$768))</f>
        <v>0.704918032786885</v>
      </c>
      <c r="D284" s="5">
        <f>(pima_data!D284-MIN(pima_data!$D$1:$D$768))/(MAX(pima_data!$D$1:$D$768)-MIN(pima_data!$D$1:$D$768))</f>
        <v>0</v>
      </c>
      <c r="E284" s="5">
        <f>(pima_data!E284-MIN(pima_data!$E$1:$E$768))/(MAX(pima_data!$E$1:$E$768)-MIN(pima_data!$E$1:$E$768))</f>
        <v>0</v>
      </c>
      <c r="F284" s="5">
        <f>(pima_data!F284-MIN(pima_data!$F$1:$F$768))/(MAX(pima_data!$F$1:$F$768)-MIN(pima_data!$F$1:$F$768))</f>
        <v>0.453055141579732</v>
      </c>
      <c r="G284" s="5">
        <f>(pima_data!G284-MIN(pima_data!$G$1:$G$768))/(MAX(pima_data!$G$1:$G$768)-MIN(pima_data!$G$1:$G$768))</f>
        <v>0.0371477369769428</v>
      </c>
      <c r="H284" s="5">
        <f>(pima_data!H284-MIN(pima_data!$H$1:$H$768))/(MAX(pima_data!$H$1:$H$768)-MIN(pima_data!$H$1:$H$768))</f>
        <v>0.433333333333333</v>
      </c>
    </row>
    <row r="285" spans="1:8">
      <c r="A285" s="5">
        <f>(pima_data!A285-MIN(pima_data!$A$1:$A$768))/(MAX(pima_data!$A$1:$A$768)-MIN(pima_data!$A$1:$A$768))</f>
        <v>0.117647058823529</v>
      </c>
      <c r="B285" s="5">
        <f>(pima_data!B285-MIN(pima_data!$B$1:$B$768))/(MAX(pima_data!$B$1:$B$768)-MIN(pima_data!$B$1:$B$768))</f>
        <v>0.542713567839196</v>
      </c>
      <c r="C285" s="5">
        <f>(pima_data!C285-MIN(pima_data!$C$1:$C$768))/(MAX(pima_data!$C$1:$C$768)-MIN(pima_data!$C$1:$C$768))</f>
        <v>0.655737704918033</v>
      </c>
      <c r="D285" s="5">
        <f>(pima_data!D285-MIN(pima_data!$D$1:$D$768))/(MAX(pima_data!$D$1:$D$768)-MIN(pima_data!$D$1:$D$768))</f>
        <v>0</v>
      </c>
      <c r="E285" s="5">
        <f>(pima_data!E285-MIN(pima_data!$E$1:$E$768))/(MAX(pima_data!$E$1:$E$768)-MIN(pima_data!$E$1:$E$768))</f>
        <v>0</v>
      </c>
      <c r="F285" s="5">
        <f>(pima_data!F285-MIN(pima_data!$F$1:$F$768))/(MAX(pima_data!$F$1:$F$768)-MIN(pima_data!$F$1:$F$768))</f>
        <v>0.402384500745157</v>
      </c>
      <c r="G285" s="5">
        <f>(pima_data!G285-MIN(pima_data!$G$1:$G$768))/(MAX(pima_data!$G$1:$G$768)-MIN(pima_data!$G$1:$G$768))</f>
        <v>0.0772843723313407</v>
      </c>
      <c r="H285" s="5">
        <f>(pima_data!H285-MIN(pima_data!$H$1:$H$768))/(MAX(pima_data!$H$1:$H$768)-MIN(pima_data!$H$1:$H$768))</f>
        <v>0.516666666666667</v>
      </c>
    </row>
    <row r="286" spans="1:8">
      <c r="A286" s="5">
        <f>(pima_data!A286-MIN(pima_data!$A$1:$A$768))/(MAX(pima_data!$A$1:$A$768)-MIN(pima_data!$A$1:$A$768))</f>
        <v>0.411764705882353</v>
      </c>
      <c r="B286" s="5">
        <f>(pima_data!B286-MIN(pima_data!$B$1:$B$768))/(MAX(pima_data!$B$1:$B$768)-MIN(pima_data!$B$1:$B$768))</f>
        <v>0.683417085427136</v>
      </c>
      <c r="C286" s="5">
        <f>(pima_data!C286-MIN(pima_data!$C$1:$C$768))/(MAX(pima_data!$C$1:$C$768)-MIN(pima_data!$C$1:$C$768))</f>
        <v>0.60655737704918</v>
      </c>
      <c r="D286" s="5">
        <f>(pima_data!D286-MIN(pima_data!$D$1:$D$768))/(MAX(pima_data!$D$1:$D$768)-MIN(pima_data!$D$1:$D$768))</f>
        <v>0.262626262626263</v>
      </c>
      <c r="E286" s="5">
        <f>(pima_data!E286-MIN(pima_data!$E$1:$E$768))/(MAX(pima_data!$E$1:$E$768)-MIN(pima_data!$E$1:$E$768))</f>
        <v>0.159574468085106</v>
      </c>
      <c r="F286" s="5">
        <f>(pima_data!F286-MIN(pima_data!$F$1:$F$768))/(MAX(pima_data!$F$1:$F$768)-MIN(pima_data!$F$1:$F$768))</f>
        <v>0.387481371087929</v>
      </c>
      <c r="G286" s="5">
        <f>(pima_data!G286-MIN(pima_data!$G$1:$G$768))/(MAX(pima_data!$G$1:$G$768)-MIN(pima_data!$G$1:$G$768))</f>
        <v>0.242954739538856</v>
      </c>
      <c r="H286" s="5">
        <f>(pima_data!H286-MIN(pima_data!$H$1:$H$768))/(MAX(pima_data!$H$1:$H$768)-MIN(pima_data!$H$1:$H$768))</f>
        <v>0.5</v>
      </c>
    </row>
    <row r="287" spans="1:8">
      <c r="A287" s="5">
        <f>(pima_data!A287-MIN(pima_data!$A$1:$A$768))/(MAX(pima_data!$A$1:$A$768)-MIN(pima_data!$A$1:$A$768))</f>
        <v>0.294117647058824</v>
      </c>
      <c r="B287" s="5">
        <f>(pima_data!B287-MIN(pima_data!$B$1:$B$768))/(MAX(pima_data!$B$1:$B$768)-MIN(pima_data!$B$1:$B$768))</f>
        <v>0.778894472361809</v>
      </c>
      <c r="C287" s="5">
        <f>(pima_data!C287-MIN(pima_data!$C$1:$C$768))/(MAX(pima_data!$C$1:$C$768)-MIN(pima_data!$C$1:$C$768))</f>
        <v>0.688524590163934</v>
      </c>
      <c r="D287" s="5">
        <f>(pima_data!D287-MIN(pima_data!$D$1:$D$768))/(MAX(pima_data!$D$1:$D$768)-MIN(pima_data!$D$1:$D$768))</f>
        <v>0.444444444444444</v>
      </c>
      <c r="E287" s="5">
        <f>(pima_data!E287-MIN(pima_data!$E$1:$E$768))/(MAX(pima_data!$E$1:$E$768)-MIN(pima_data!$E$1:$E$768))</f>
        <v>0.644208037825059</v>
      </c>
      <c r="F287" s="5">
        <f>(pima_data!F287-MIN(pima_data!$F$1:$F$768))/(MAX(pima_data!$F$1:$F$768)-MIN(pima_data!$F$1:$F$768))</f>
        <v>0.576751117734724</v>
      </c>
      <c r="G287" s="5">
        <f>(pima_data!G287-MIN(pima_data!$G$1:$G$768))/(MAX(pima_data!$G$1:$G$768)-MIN(pima_data!$G$1:$G$768))</f>
        <v>0.230999146029035</v>
      </c>
      <c r="H287" s="5">
        <f>(pima_data!H287-MIN(pima_data!$H$1:$H$768))/(MAX(pima_data!$H$1:$H$768)-MIN(pima_data!$H$1:$H$768))</f>
        <v>0.216666666666667</v>
      </c>
    </row>
    <row r="288" spans="1:8">
      <c r="A288" s="5">
        <f>(pima_data!A288-MIN(pima_data!$A$1:$A$768))/(MAX(pima_data!$A$1:$A$768)-MIN(pima_data!$A$1:$A$768))</f>
        <v>0.0588235294117647</v>
      </c>
      <c r="B288" s="5">
        <f>(pima_data!B288-MIN(pima_data!$B$1:$B$768))/(MAX(pima_data!$B$1:$B$768)-MIN(pima_data!$B$1:$B$768))</f>
        <v>0.597989949748744</v>
      </c>
      <c r="C288" s="5">
        <f>(pima_data!C288-MIN(pima_data!$C$1:$C$768))/(MAX(pima_data!$C$1:$C$768)-MIN(pima_data!$C$1:$C$768))</f>
        <v>0.704918032786885</v>
      </c>
      <c r="D288" s="5">
        <f>(pima_data!D288-MIN(pima_data!$D$1:$D$768))/(MAX(pima_data!$D$1:$D$768)-MIN(pima_data!$D$1:$D$768))</f>
        <v>0.393939393939394</v>
      </c>
      <c r="E288" s="5">
        <f>(pima_data!E288-MIN(pima_data!$E$1:$E$768))/(MAX(pima_data!$E$1:$E$768)-MIN(pima_data!$E$1:$E$768))</f>
        <v>0.260047281323877</v>
      </c>
      <c r="F288" s="5">
        <f>(pima_data!F288-MIN(pima_data!$F$1:$F$768))/(MAX(pima_data!$F$1:$F$768)-MIN(pima_data!$F$1:$F$768))</f>
        <v>0.679582712369598</v>
      </c>
      <c r="G288" s="5">
        <f>(pima_data!G288-MIN(pima_data!$G$1:$G$768))/(MAX(pima_data!$G$1:$G$768)-MIN(pima_data!$G$1:$G$768))</f>
        <v>0.311699402220325</v>
      </c>
      <c r="H288" s="5">
        <f>(pima_data!H288-MIN(pima_data!$H$1:$H$768))/(MAX(pima_data!$H$1:$H$768)-MIN(pima_data!$H$1:$H$768))</f>
        <v>0.133333333333333</v>
      </c>
    </row>
    <row r="289" spans="1:8">
      <c r="A289" s="5">
        <f>(pima_data!A289-MIN(pima_data!$A$1:$A$768))/(MAX(pima_data!$A$1:$A$768)-MIN(pima_data!$A$1:$A$768))</f>
        <v>0.235294117647059</v>
      </c>
      <c r="B289" s="5">
        <f>(pima_data!B289-MIN(pima_data!$B$1:$B$768))/(MAX(pima_data!$B$1:$B$768)-MIN(pima_data!$B$1:$B$768))</f>
        <v>0.482412060301508</v>
      </c>
      <c r="C289" s="5">
        <f>(pima_data!C289-MIN(pima_data!$C$1:$C$768))/(MAX(pima_data!$C$1:$C$768)-MIN(pima_data!$C$1:$C$768))</f>
        <v>0.459016393442623</v>
      </c>
      <c r="D289" s="5">
        <f>(pima_data!D289-MIN(pima_data!$D$1:$D$768))/(MAX(pima_data!$D$1:$D$768)-MIN(pima_data!$D$1:$D$768))</f>
        <v>0.171717171717172</v>
      </c>
      <c r="E289" s="5">
        <f>(pima_data!E289-MIN(pima_data!$E$1:$E$768))/(MAX(pima_data!$E$1:$E$768)-MIN(pima_data!$E$1:$E$768))</f>
        <v>0.057919621749409</v>
      </c>
      <c r="F289" s="5">
        <f>(pima_data!F289-MIN(pima_data!$F$1:$F$768))/(MAX(pima_data!$F$1:$F$768)-MIN(pima_data!$F$1:$F$768))</f>
        <v>0.309985096870343</v>
      </c>
      <c r="G289" s="5">
        <f>(pima_data!G289-MIN(pima_data!$G$1:$G$768))/(MAX(pima_data!$G$1:$G$768)-MIN(pima_data!$G$1:$G$768))</f>
        <v>0.111870196413322</v>
      </c>
      <c r="H289" s="5">
        <f>(pima_data!H289-MIN(pima_data!$H$1:$H$768))/(MAX(pima_data!$H$1:$H$768)-MIN(pima_data!$H$1:$H$768))</f>
        <v>0.0833333333333333</v>
      </c>
    </row>
    <row r="290" spans="1:8">
      <c r="A290" s="5">
        <f>(pima_data!A290-MIN(pima_data!$A$1:$A$768))/(MAX(pima_data!$A$1:$A$768)-MIN(pima_data!$A$1:$A$768))</f>
        <v>0.294117647058824</v>
      </c>
      <c r="B290" s="5">
        <f>(pima_data!B290-MIN(pima_data!$B$1:$B$768))/(MAX(pima_data!$B$1:$B$768)-MIN(pima_data!$B$1:$B$768))</f>
        <v>0.542713567839196</v>
      </c>
      <c r="C290" s="5">
        <f>(pima_data!C290-MIN(pima_data!$C$1:$C$768))/(MAX(pima_data!$C$1:$C$768)-MIN(pima_data!$C$1:$C$768))</f>
        <v>0.590163934426229</v>
      </c>
      <c r="D290" s="5">
        <f>(pima_data!D290-MIN(pima_data!$D$1:$D$768))/(MAX(pima_data!$D$1:$D$768)-MIN(pima_data!$D$1:$D$768))</f>
        <v>0.434343434343434</v>
      </c>
      <c r="E290" s="5">
        <f>(pima_data!E290-MIN(pima_data!$E$1:$E$768))/(MAX(pima_data!$E$1:$E$768)-MIN(pima_data!$E$1:$E$768))</f>
        <v>0.0886524822695035</v>
      </c>
      <c r="F290" s="5">
        <f>(pima_data!F290-MIN(pima_data!$F$1:$F$768))/(MAX(pima_data!$F$1:$F$768)-MIN(pima_data!$F$1:$F$768))</f>
        <v>0.538002980625932</v>
      </c>
      <c r="G290" s="5">
        <f>(pima_data!G290-MIN(pima_data!$G$1:$G$768))/(MAX(pima_data!$G$1:$G$768)-MIN(pima_data!$G$1:$G$768))</f>
        <v>0.0789923142613151</v>
      </c>
      <c r="H290" s="5">
        <f>(pima_data!H290-MIN(pima_data!$H$1:$H$768))/(MAX(pima_data!$H$1:$H$768)-MIN(pima_data!$H$1:$H$768))</f>
        <v>0.2</v>
      </c>
    </row>
    <row r="291" spans="1:8">
      <c r="A291" s="5">
        <f>(pima_data!A291-MIN(pima_data!$A$1:$A$768))/(MAX(pima_data!$A$1:$A$768)-MIN(pima_data!$A$1:$A$768))</f>
        <v>0</v>
      </c>
      <c r="B291" s="5">
        <f>(pima_data!B291-MIN(pima_data!$B$1:$B$768))/(MAX(pima_data!$B$1:$B$768)-MIN(pima_data!$B$1:$B$768))</f>
        <v>0.391959798994975</v>
      </c>
      <c r="C291" s="5">
        <f>(pima_data!C291-MIN(pima_data!$C$1:$C$768))/(MAX(pima_data!$C$1:$C$768)-MIN(pima_data!$C$1:$C$768))</f>
        <v>0.721311475409836</v>
      </c>
      <c r="D291" s="5">
        <f>(pima_data!D291-MIN(pima_data!$D$1:$D$768))/(MAX(pima_data!$D$1:$D$768)-MIN(pima_data!$D$1:$D$768))</f>
        <v>0.292929292929293</v>
      </c>
      <c r="E291" s="5">
        <f>(pima_data!E291-MIN(pima_data!$E$1:$E$768))/(MAX(pima_data!$E$1:$E$768)-MIN(pima_data!$E$1:$E$768))</f>
        <v>0.0472813238770686</v>
      </c>
      <c r="F291" s="5">
        <f>(pima_data!F291-MIN(pima_data!$F$1:$F$768))/(MAX(pima_data!$F$1:$F$768)-MIN(pima_data!$F$1:$F$768))</f>
        <v>0.549925484351714</v>
      </c>
      <c r="G291" s="5">
        <f>(pima_data!G291-MIN(pima_data!$G$1:$G$768))/(MAX(pima_data!$G$1:$G$768)-MIN(pima_data!$G$1:$G$768))</f>
        <v>0.15200683176772</v>
      </c>
      <c r="H291" s="5">
        <f>(pima_data!H291-MIN(pima_data!$H$1:$H$768))/(MAX(pima_data!$H$1:$H$768)-MIN(pima_data!$H$1:$H$768))</f>
        <v>0</v>
      </c>
    </row>
    <row r="292" spans="1:8">
      <c r="A292" s="5">
        <f>(pima_data!A292-MIN(pima_data!$A$1:$A$768))/(MAX(pima_data!$A$1:$A$768)-MIN(pima_data!$A$1:$A$768))</f>
        <v>0</v>
      </c>
      <c r="B292" s="5">
        <f>(pima_data!B292-MIN(pima_data!$B$1:$B$768))/(MAX(pima_data!$B$1:$B$768)-MIN(pima_data!$B$1:$B$768))</f>
        <v>0.537688442211055</v>
      </c>
      <c r="C292" s="5">
        <f>(pima_data!C292-MIN(pima_data!$C$1:$C$768))/(MAX(pima_data!$C$1:$C$768)-MIN(pima_data!$C$1:$C$768))</f>
        <v>0.508196721311475</v>
      </c>
      <c r="D292" s="5">
        <f>(pima_data!D292-MIN(pima_data!$D$1:$D$768))/(MAX(pima_data!$D$1:$D$768)-MIN(pima_data!$D$1:$D$768))</f>
        <v>0.303030303030303</v>
      </c>
      <c r="E292" s="5">
        <f>(pima_data!E292-MIN(pima_data!$E$1:$E$768))/(MAX(pima_data!$E$1:$E$768)-MIN(pima_data!$E$1:$E$768))</f>
        <v>0.0874704491725768</v>
      </c>
      <c r="F292" s="5">
        <f>(pima_data!F292-MIN(pima_data!$F$1:$F$768))/(MAX(pima_data!$F$1:$F$768)-MIN(pima_data!$F$1:$F$768))</f>
        <v>0.545454545454546</v>
      </c>
      <c r="G292" s="5">
        <f>(pima_data!G292-MIN(pima_data!$G$1:$G$768))/(MAX(pima_data!$G$1:$G$768)-MIN(pima_data!$G$1:$G$768))</f>
        <v>0.289923142613151</v>
      </c>
      <c r="H292" s="5">
        <f>(pima_data!H292-MIN(pima_data!$H$1:$H$768))/(MAX(pima_data!$H$1:$H$768)-MIN(pima_data!$H$1:$H$768))</f>
        <v>0.0666666666666667</v>
      </c>
    </row>
    <row r="293" spans="1:8">
      <c r="A293" s="5">
        <f>(pima_data!A293-MIN(pima_data!$A$1:$A$768))/(MAX(pima_data!$A$1:$A$768)-MIN(pima_data!$A$1:$A$768))</f>
        <v>0.117647058823529</v>
      </c>
      <c r="B293" s="5">
        <f>(pima_data!B293-MIN(pima_data!$B$1:$B$768))/(MAX(pima_data!$B$1:$B$768)-MIN(pima_data!$B$1:$B$768))</f>
        <v>0.64321608040201</v>
      </c>
      <c r="C293" s="5">
        <f>(pima_data!C293-MIN(pima_data!$C$1:$C$768))/(MAX(pima_data!$C$1:$C$768)-MIN(pima_data!$C$1:$C$768))</f>
        <v>0.639344262295082</v>
      </c>
      <c r="D293" s="5">
        <f>(pima_data!D293-MIN(pima_data!$D$1:$D$768))/(MAX(pima_data!$D$1:$D$768)-MIN(pima_data!$D$1:$D$768))</f>
        <v>0.373737373737374</v>
      </c>
      <c r="E293" s="5">
        <f>(pima_data!E293-MIN(pima_data!$E$1:$E$768))/(MAX(pima_data!$E$1:$E$768)-MIN(pima_data!$E$1:$E$768))</f>
        <v>0.215130023640662</v>
      </c>
      <c r="F293" s="5">
        <f>(pima_data!F293-MIN(pima_data!$F$1:$F$768))/(MAX(pima_data!$F$1:$F$768)-MIN(pima_data!$F$1:$F$768))</f>
        <v>0.645305514157973</v>
      </c>
      <c r="G293" s="5">
        <f>(pima_data!G293-MIN(pima_data!$G$1:$G$768))/(MAX(pima_data!$G$1:$G$768)-MIN(pima_data!$G$1:$G$768))</f>
        <v>0.48932536293766</v>
      </c>
      <c r="H293" s="5">
        <f>(pima_data!H293-MIN(pima_data!$H$1:$H$768))/(MAX(pima_data!$H$1:$H$768)-MIN(pima_data!$H$1:$H$768))</f>
        <v>0.166666666666667</v>
      </c>
    </row>
    <row r="294" spans="1:8">
      <c r="A294" s="5">
        <f>(pima_data!A294-MIN(pima_data!$A$1:$A$768))/(MAX(pima_data!$A$1:$A$768)-MIN(pima_data!$A$1:$A$768))</f>
        <v>0.0588235294117647</v>
      </c>
      <c r="B294" s="5">
        <f>(pima_data!B294-MIN(pima_data!$B$1:$B$768))/(MAX(pima_data!$B$1:$B$768)-MIN(pima_data!$B$1:$B$768))</f>
        <v>0.64321608040201</v>
      </c>
      <c r="C294" s="5">
        <f>(pima_data!C294-MIN(pima_data!$C$1:$C$768))/(MAX(pima_data!$C$1:$C$768)-MIN(pima_data!$C$1:$C$768))</f>
        <v>0.39344262295082</v>
      </c>
      <c r="D294" s="5">
        <f>(pima_data!D294-MIN(pima_data!$D$1:$D$768))/(MAX(pima_data!$D$1:$D$768)-MIN(pima_data!$D$1:$D$768))</f>
        <v>0.454545454545455</v>
      </c>
      <c r="E294" s="5">
        <f>(pima_data!E294-MIN(pima_data!$E$1:$E$768))/(MAX(pima_data!$E$1:$E$768)-MIN(pima_data!$E$1:$E$768))</f>
        <v>0.229314420803783</v>
      </c>
      <c r="F294" s="5">
        <f>(pima_data!F294-MIN(pima_data!$F$1:$F$768))/(MAX(pima_data!$F$1:$F$768)-MIN(pima_data!$F$1:$F$768))</f>
        <v>0.603576751117735</v>
      </c>
      <c r="G294" s="5">
        <f>(pima_data!G294-MIN(pima_data!$G$1:$G$768))/(MAX(pima_data!$G$1:$G$768)-MIN(pima_data!$G$1:$G$768))</f>
        <v>0.228437233134073</v>
      </c>
      <c r="H294" s="5">
        <f>(pima_data!H294-MIN(pima_data!$H$1:$H$768))/(MAX(pima_data!$H$1:$H$768)-MIN(pima_data!$H$1:$H$768))</f>
        <v>0.05</v>
      </c>
    </row>
    <row r="295" spans="1:8">
      <c r="A295" s="5">
        <f>(pima_data!A295-MIN(pima_data!$A$1:$A$768))/(MAX(pima_data!$A$1:$A$768)-MIN(pima_data!$A$1:$A$768))</f>
        <v>0</v>
      </c>
      <c r="B295" s="5">
        <f>(pima_data!B295-MIN(pima_data!$B$1:$B$768))/(MAX(pima_data!$B$1:$B$768)-MIN(pima_data!$B$1:$B$768))</f>
        <v>0.809045226130653</v>
      </c>
      <c r="C295" s="5">
        <f>(pima_data!C295-MIN(pima_data!$C$1:$C$768))/(MAX(pima_data!$C$1:$C$768)-MIN(pima_data!$C$1:$C$768))</f>
        <v>0.409836065573771</v>
      </c>
      <c r="D295" s="5">
        <f>(pima_data!D295-MIN(pima_data!$D$1:$D$768))/(MAX(pima_data!$D$1:$D$768)-MIN(pima_data!$D$1:$D$768))</f>
        <v>0</v>
      </c>
      <c r="E295" s="5">
        <f>(pima_data!E295-MIN(pima_data!$E$1:$E$768))/(MAX(pima_data!$E$1:$E$768)-MIN(pima_data!$E$1:$E$768))</f>
        <v>0</v>
      </c>
      <c r="F295" s="5">
        <f>(pima_data!F295-MIN(pima_data!$F$1:$F$768))/(MAX(pima_data!$F$1:$F$768)-MIN(pima_data!$F$1:$F$768))</f>
        <v>0.326378539493294</v>
      </c>
      <c r="G295" s="5">
        <f>(pima_data!G295-MIN(pima_data!$G$1:$G$768))/(MAX(pima_data!$G$1:$G$768)-MIN(pima_data!$G$1:$G$768))</f>
        <v>0.0751494449188728</v>
      </c>
      <c r="H295" s="5">
        <f>(pima_data!H295-MIN(pima_data!$H$1:$H$768))/(MAX(pima_data!$H$1:$H$768)-MIN(pima_data!$H$1:$H$768))</f>
        <v>0.733333333333333</v>
      </c>
    </row>
    <row r="296" spans="1:8">
      <c r="A296" s="5">
        <f>(pima_data!A296-MIN(pima_data!$A$1:$A$768))/(MAX(pima_data!$A$1:$A$768)-MIN(pima_data!$A$1:$A$768))</f>
        <v>0.352941176470588</v>
      </c>
      <c r="B296" s="5">
        <f>(pima_data!B296-MIN(pima_data!$B$1:$B$768))/(MAX(pima_data!$B$1:$B$768)-MIN(pima_data!$B$1:$B$768))</f>
        <v>0.758793969849246</v>
      </c>
      <c r="C296" s="5">
        <f>(pima_data!C296-MIN(pima_data!$C$1:$C$768))/(MAX(pima_data!$C$1:$C$768)-MIN(pima_data!$C$1:$C$768))</f>
        <v>0.508196721311475</v>
      </c>
      <c r="D296" s="5">
        <f>(pima_data!D296-MIN(pima_data!$D$1:$D$768))/(MAX(pima_data!$D$1:$D$768)-MIN(pima_data!$D$1:$D$768))</f>
        <v>0.313131313131313</v>
      </c>
      <c r="E296" s="5">
        <f>(pima_data!E296-MIN(pima_data!$E$1:$E$768))/(MAX(pima_data!$E$1:$E$768)-MIN(pima_data!$E$1:$E$768))</f>
        <v>0.141843971631206</v>
      </c>
      <c r="F296" s="5">
        <f>(pima_data!F296-MIN(pima_data!$F$1:$F$768))/(MAX(pima_data!$F$1:$F$768)-MIN(pima_data!$F$1:$F$768))</f>
        <v>0.529061102831595</v>
      </c>
      <c r="G296" s="5">
        <f>(pima_data!G296-MIN(pima_data!$G$1:$G$768))/(MAX(pima_data!$G$1:$G$768)-MIN(pima_data!$G$1:$G$768))</f>
        <v>0.262169086251067</v>
      </c>
      <c r="H296" s="5">
        <f>(pima_data!H296-MIN(pima_data!$H$1:$H$768))/(MAX(pima_data!$H$1:$H$768)-MIN(pima_data!$H$1:$H$768))</f>
        <v>0.116666666666667</v>
      </c>
    </row>
    <row r="297" spans="1:8">
      <c r="A297" s="5">
        <f>(pima_data!A297-MIN(pima_data!$A$1:$A$768))/(MAX(pima_data!$A$1:$A$768)-MIN(pima_data!$A$1:$A$768))</f>
        <v>0.117647058823529</v>
      </c>
      <c r="B297" s="5">
        <f>(pima_data!B297-MIN(pima_data!$B$1:$B$768))/(MAX(pima_data!$B$1:$B$768)-MIN(pima_data!$B$1:$B$768))</f>
        <v>0.733668341708543</v>
      </c>
      <c r="C297" s="5">
        <f>(pima_data!C297-MIN(pima_data!$C$1:$C$768))/(MAX(pima_data!$C$1:$C$768)-MIN(pima_data!$C$1:$C$768))</f>
        <v>0.573770491803279</v>
      </c>
      <c r="D297" s="5">
        <f>(pima_data!D297-MIN(pima_data!$D$1:$D$768))/(MAX(pima_data!$D$1:$D$768)-MIN(pima_data!$D$1:$D$768))</f>
        <v>0.383838383838384</v>
      </c>
      <c r="E297" s="5">
        <f>(pima_data!E297-MIN(pima_data!$E$1:$E$768))/(MAX(pima_data!$E$1:$E$768)-MIN(pima_data!$E$1:$E$768))</f>
        <v>0.425531914893617</v>
      </c>
      <c r="F297" s="5">
        <f>(pima_data!F297-MIN(pima_data!$F$1:$F$768))/(MAX(pima_data!$F$1:$F$768)-MIN(pima_data!$F$1:$F$768))</f>
        <v>0.417287630402385</v>
      </c>
      <c r="G297" s="5">
        <f>(pima_data!G297-MIN(pima_data!$G$1:$G$768))/(MAX(pima_data!$G$1:$G$768)-MIN(pima_data!$G$1:$G$768))</f>
        <v>0.110589239965841</v>
      </c>
      <c r="H297" s="5">
        <f>(pima_data!H297-MIN(pima_data!$H$1:$H$768))/(MAX(pima_data!$H$1:$H$768)-MIN(pima_data!$H$1:$H$768))</f>
        <v>0.133333333333333</v>
      </c>
    </row>
    <row r="298" spans="1:8">
      <c r="A298" s="5">
        <f>(pima_data!A298-MIN(pima_data!$A$1:$A$768))/(MAX(pima_data!$A$1:$A$768)-MIN(pima_data!$A$1:$A$768))</f>
        <v>0</v>
      </c>
      <c r="B298" s="5">
        <f>(pima_data!B298-MIN(pima_data!$B$1:$B$768))/(MAX(pima_data!$B$1:$B$768)-MIN(pima_data!$B$1:$B$768))</f>
        <v>0.633165829145729</v>
      </c>
      <c r="C298" s="5">
        <f>(pima_data!C298-MIN(pima_data!$C$1:$C$768))/(MAX(pima_data!$C$1:$C$768)-MIN(pima_data!$C$1:$C$768))</f>
        <v>0.688524590163934</v>
      </c>
      <c r="D298" s="5">
        <f>(pima_data!D298-MIN(pima_data!$D$1:$D$768))/(MAX(pima_data!$D$1:$D$768)-MIN(pima_data!$D$1:$D$768))</f>
        <v>0.292929292929293</v>
      </c>
      <c r="E298" s="5">
        <f>(pima_data!E298-MIN(pima_data!$E$1:$E$768))/(MAX(pima_data!$E$1:$E$768)-MIN(pima_data!$E$1:$E$768))</f>
        <v>0.254137115839243</v>
      </c>
      <c r="F298" s="5">
        <f>(pima_data!F298-MIN(pima_data!$F$1:$F$768))/(MAX(pima_data!$F$1:$F$768)-MIN(pima_data!$F$1:$F$768))</f>
        <v>0.4575260804769</v>
      </c>
      <c r="G298" s="5">
        <f>(pima_data!G298-MIN(pima_data!$G$1:$G$768))/(MAX(pima_data!$G$1:$G$768)-MIN(pima_data!$G$1:$G$768))</f>
        <v>0.188727583262169</v>
      </c>
      <c r="H298" s="5">
        <f>(pima_data!H298-MIN(pima_data!$H$1:$H$768))/(MAX(pima_data!$H$1:$H$768)-MIN(pima_data!$H$1:$H$768))</f>
        <v>0.05</v>
      </c>
    </row>
    <row r="299" spans="1:8">
      <c r="A299" s="5">
        <f>(pima_data!A299-MIN(pima_data!$A$1:$A$768))/(MAX(pima_data!$A$1:$A$768)-MIN(pima_data!$A$1:$A$768))</f>
        <v>0.823529411764706</v>
      </c>
      <c r="B299" s="5">
        <f>(pima_data!B299-MIN(pima_data!$B$1:$B$768))/(MAX(pima_data!$B$1:$B$768)-MIN(pima_data!$B$1:$B$768))</f>
        <v>0.50251256281407</v>
      </c>
      <c r="C299" s="5">
        <f>(pima_data!C299-MIN(pima_data!$C$1:$C$768))/(MAX(pima_data!$C$1:$C$768)-MIN(pima_data!$C$1:$C$768))</f>
        <v>0.639344262295082</v>
      </c>
      <c r="D299" s="5">
        <f>(pima_data!D299-MIN(pima_data!$D$1:$D$768))/(MAX(pima_data!$D$1:$D$768)-MIN(pima_data!$D$1:$D$768))</f>
        <v>0.252525252525253</v>
      </c>
      <c r="E299" s="5">
        <f>(pima_data!E299-MIN(pima_data!$E$1:$E$768))/(MAX(pima_data!$E$1:$E$768)-MIN(pima_data!$E$1:$E$768))</f>
        <v>0.217494089834515</v>
      </c>
      <c r="F299" s="5">
        <f>(pima_data!F299-MIN(pima_data!$F$1:$F$768))/(MAX(pima_data!$F$1:$F$768)-MIN(pima_data!$F$1:$F$768))</f>
        <v>0.545454545454546</v>
      </c>
      <c r="G299" s="5">
        <f>(pima_data!G299-MIN(pima_data!$G$1:$G$768))/(MAX(pima_data!$G$1:$G$768)-MIN(pima_data!$G$1:$G$768))</f>
        <v>0.142613151152861</v>
      </c>
      <c r="H299" s="5">
        <f>(pima_data!H299-MIN(pima_data!$H$1:$H$768))/(MAX(pima_data!$H$1:$H$768)-MIN(pima_data!$H$1:$H$768))</f>
        <v>0.416666666666667</v>
      </c>
    </row>
    <row r="300" spans="1:8">
      <c r="A300" s="5">
        <f>(pima_data!A300-MIN(pima_data!$A$1:$A$768))/(MAX(pima_data!$A$1:$A$768)-MIN(pima_data!$A$1:$A$768))</f>
        <v>0.470588235294118</v>
      </c>
      <c r="B300" s="5">
        <f>(pima_data!B300-MIN(pima_data!$B$1:$B$768))/(MAX(pima_data!$B$1:$B$768)-MIN(pima_data!$B$1:$B$768))</f>
        <v>0.562814070351759</v>
      </c>
      <c r="C300" s="5">
        <f>(pima_data!C300-MIN(pima_data!$C$1:$C$768))/(MAX(pima_data!$C$1:$C$768)-MIN(pima_data!$C$1:$C$768))</f>
        <v>0.590163934426229</v>
      </c>
      <c r="D300" s="5">
        <f>(pima_data!D300-MIN(pima_data!$D$1:$D$768))/(MAX(pima_data!$D$1:$D$768)-MIN(pima_data!$D$1:$D$768))</f>
        <v>0</v>
      </c>
      <c r="E300" s="5">
        <f>(pima_data!E300-MIN(pima_data!$E$1:$E$768))/(MAX(pima_data!$E$1:$E$768)-MIN(pima_data!$E$1:$E$768))</f>
        <v>0</v>
      </c>
      <c r="F300" s="5">
        <f>(pima_data!F300-MIN(pima_data!$F$1:$F$768))/(MAX(pima_data!$F$1:$F$768)-MIN(pima_data!$F$1:$F$768))</f>
        <v>0.351713859910581</v>
      </c>
      <c r="G300" s="5">
        <f>(pima_data!G300-MIN(pima_data!$G$1:$G$768))/(MAX(pima_data!$G$1:$G$768)-MIN(pima_data!$G$1:$G$768))</f>
        <v>0.32536293766012</v>
      </c>
      <c r="H300" s="5">
        <f>(pima_data!H300-MIN(pima_data!$H$1:$H$768))/(MAX(pima_data!$H$1:$H$768)-MIN(pima_data!$H$1:$H$768))</f>
        <v>0.616666666666667</v>
      </c>
    </row>
    <row r="301" spans="1:8">
      <c r="A301" s="5">
        <f>(pima_data!A301-MIN(pima_data!$A$1:$A$768))/(MAX(pima_data!$A$1:$A$768)-MIN(pima_data!$A$1:$A$768))</f>
        <v>0</v>
      </c>
      <c r="B301" s="5">
        <f>(pima_data!B301-MIN(pima_data!$B$1:$B$768))/(MAX(pima_data!$B$1:$B$768)-MIN(pima_data!$B$1:$B$768))</f>
        <v>0.839195979899497</v>
      </c>
      <c r="C301" s="5">
        <f>(pima_data!C301-MIN(pima_data!$C$1:$C$768))/(MAX(pima_data!$C$1:$C$768)-MIN(pima_data!$C$1:$C$768))</f>
        <v>0</v>
      </c>
      <c r="D301" s="5">
        <f>(pima_data!D301-MIN(pima_data!$D$1:$D$768))/(MAX(pima_data!$D$1:$D$768)-MIN(pima_data!$D$1:$D$768))</f>
        <v>0</v>
      </c>
      <c r="E301" s="5">
        <f>(pima_data!E301-MIN(pima_data!$E$1:$E$768))/(MAX(pima_data!$E$1:$E$768)-MIN(pima_data!$E$1:$E$768))</f>
        <v>0</v>
      </c>
      <c r="F301" s="5">
        <f>(pima_data!F301-MIN(pima_data!$F$1:$F$768))/(MAX(pima_data!$F$1:$F$768)-MIN(pima_data!$F$1:$F$768))</f>
        <v>0.481371087928465</v>
      </c>
      <c r="G301" s="5">
        <f>(pima_data!G301-MIN(pima_data!$G$1:$G$768))/(MAX(pima_data!$G$1:$G$768)-MIN(pima_data!$G$1:$G$768))</f>
        <v>0.324935952177626</v>
      </c>
      <c r="H301" s="5">
        <f>(pima_data!H301-MIN(pima_data!$H$1:$H$768))/(MAX(pima_data!$H$1:$H$768)-MIN(pima_data!$H$1:$H$768))</f>
        <v>0.15</v>
      </c>
    </row>
    <row r="302" spans="1:8">
      <c r="A302" s="5">
        <f>(pima_data!A302-MIN(pima_data!$A$1:$A$768))/(MAX(pima_data!$A$1:$A$768)-MIN(pima_data!$A$1:$A$768))</f>
        <v>0.117647058823529</v>
      </c>
      <c r="B302" s="5">
        <f>(pima_data!B302-MIN(pima_data!$B$1:$B$768))/(MAX(pima_data!$B$1:$B$768)-MIN(pima_data!$B$1:$B$768))</f>
        <v>0.723618090452261</v>
      </c>
      <c r="C302" s="5">
        <f>(pima_data!C302-MIN(pima_data!$C$1:$C$768))/(MAX(pima_data!$C$1:$C$768)-MIN(pima_data!$C$1:$C$768))</f>
        <v>0.475409836065574</v>
      </c>
      <c r="D302" s="5">
        <f>(pima_data!D302-MIN(pima_data!$D$1:$D$768))/(MAX(pima_data!$D$1:$D$768)-MIN(pima_data!$D$1:$D$768))</f>
        <v>0.333333333333333</v>
      </c>
      <c r="E302" s="5">
        <f>(pima_data!E302-MIN(pima_data!$E$1:$E$768))/(MAX(pima_data!$E$1:$E$768)-MIN(pima_data!$E$1:$E$768))</f>
        <v>0.159574468085106</v>
      </c>
      <c r="F302" s="5">
        <f>(pima_data!F302-MIN(pima_data!$F$1:$F$768))/(MAX(pima_data!$F$1:$F$768)-MIN(pima_data!$F$1:$F$768))</f>
        <v>0.470938897168405</v>
      </c>
      <c r="G302" s="5">
        <f>(pima_data!G302-MIN(pima_data!$G$1:$G$768))/(MAX(pima_data!$G$1:$G$768)-MIN(pima_data!$G$1:$G$768))</f>
        <v>0.146883005977797</v>
      </c>
      <c r="H302" s="5">
        <f>(pima_data!H302-MIN(pima_data!$H$1:$H$768))/(MAX(pima_data!$H$1:$H$768)-MIN(pima_data!$H$1:$H$768))</f>
        <v>0.0666666666666667</v>
      </c>
    </row>
    <row r="303" spans="1:8">
      <c r="A303" s="5">
        <f>(pima_data!A303-MIN(pima_data!$A$1:$A$768))/(MAX(pima_data!$A$1:$A$768)-MIN(pima_data!$A$1:$A$768))</f>
        <v>0.294117647058824</v>
      </c>
      <c r="B303" s="5">
        <f>(pima_data!B303-MIN(pima_data!$B$1:$B$768))/(MAX(pima_data!$B$1:$B$768)-MIN(pima_data!$B$1:$B$768))</f>
        <v>0.386934673366834</v>
      </c>
      <c r="C303" s="5">
        <f>(pima_data!C303-MIN(pima_data!$C$1:$C$768))/(MAX(pima_data!$C$1:$C$768)-MIN(pima_data!$C$1:$C$768))</f>
        <v>0.672131147540984</v>
      </c>
      <c r="D303" s="5">
        <f>(pima_data!D303-MIN(pima_data!$D$1:$D$768))/(MAX(pima_data!$D$1:$D$768)-MIN(pima_data!$D$1:$D$768))</f>
        <v>0.414141414141414</v>
      </c>
      <c r="E303" s="5">
        <f>(pima_data!E303-MIN(pima_data!$E$1:$E$768))/(MAX(pima_data!$E$1:$E$768)-MIN(pima_data!$E$1:$E$768))</f>
        <v>0.049645390070922</v>
      </c>
      <c r="F303" s="5">
        <f>(pima_data!F303-MIN(pima_data!$F$1:$F$768))/(MAX(pima_data!$F$1:$F$768)-MIN(pima_data!$F$1:$F$768))</f>
        <v>0.533532041728763</v>
      </c>
      <c r="G303" s="5">
        <f>(pima_data!G303-MIN(pima_data!$G$1:$G$768))/(MAX(pima_data!$G$1:$G$768)-MIN(pima_data!$G$1:$G$768))</f>
        <v>0.0333048676345004</v>
      </c>
      <c r="H303" s="5">
        <f>(pima_data!H303-MIN(pima_data!$H$1:$H$768))/(MAX(pima_data!$H$1:$H$768)-MIN(pima_data!$H$1:$H$768))</f>
        <v>0.233333333333333</v>
      </c>
    </row>
    <row r="304" spans="1:8">
      <c r="A304" s="5">
        <f>(pima_data!A304-MIN(pima_data!$A$1:$A$768))/(MAX(pima_data!$A$1:$A$768)-MIN(pima_data!$A$1:$A$768))</f>
        <v>0.294117647058824</v>
      </c>
      <c r="B304" s="5">
        <f>(pima_data!B304-MIN(pima_data!$B$1:$B$768))/(MAX(pima_data!$B$1:$B$768)-MIN(pima_data!$B$1:$B$768))</f>
        <v>0.577889447236181</v>
      </c>
      <c r="C304" s="5">
        <f>(pima_data!C304-MIN(pima_data!$C$1:$C$768))/(MAX(pima_data!$C$1:$C$768)-MIN(pima_data!$C$1:$C$768))</f>
        <v>0.80327868852459</v>
      </c>
      <c r="D304" s="5">
        <f>(pima_data!D304-MIN(pima_data!$D$1:$D$768))/(MAX(pima_data!$D$1:$D$768)-MIN(pima_data!$D$1:$D$768))</f>
        <v>0</v>
      </c>
      <c r="E304" s="5">
        <f>(pima_data!E304-MIN(pima_data!$E$1:$E$768))/(MAX(pima_data!$E$1:$E$768)-MIN(pima_data!$E$1:$E$768))</f>
        <v>0</v>
      </c>
      <c r="F304" s="5">
        <f>(pima_data!F304-MIN(pima_data!$F$1:$F$768))/(MAX(pima_data!$F$1:$F$768)-MIN(pima_data!$F$1:$F$768))</f>
        <v>0.788375558867362</v>
      </c>
      <c r="G304" s="5">
        <f>(pima_data!G304-MIN(pima_data!$G$1:$G$768))/(MAX(pima_data!$G$1:$G$768)-MIN(pima_data!$G$1:$G$768))</f>
        <v>0.055935098206661</v>
      </c>
      <c r="H304" s="5">
        <f>(pima_data!H304-MIN(pima_data!$H$1:$H$768))/(MAX(pima_data!$H$1:$H$768)-MIN(pima_data!$H$1:$H$768))</f>
        <v>0.116666666666667</v>
      </c>
    </row>
    <row r="305" spans="1:8">
      <c r="A305" s="5">
        <f>(pima_data!A305-MIN(pima_data!$A$1:$A$768))/(MAX(pima_data!$A$1:$A$768)-MIN(pima_data!$A$1:$A$768))</f>
        <v>0.176470588235294</v>
      </c>
      <c r="B305" s="5">
        <f>(pima_data!B305-MIN(pima_data!$B$1:$B$768))/(MAX(pima_data!$B$1:$B$768)-MIN(pima_data!$B$1:$B$768))</f>
        <v>0.753768844221106</v>
      </c>
      <c r="C305" s="5">
        <f>(pima_data!C305-MIN(pima_data!$C$1:$C$768))/(MAX(pima_data!$C$1:$C$768)-MIN(pima_data!$C$1:$C$768))</f>
        <v>0.622950819672131</v>
      </c>
      <c r="D305" s="5">
        <f>(pima_data!D305-MIN(pima_data!$D$1:$D$768))/(MAX(pima_data!$D$1:$D$768)-MIN(pima_data!$D$1:$D$768))</f>
        <v>0</v>
      </c>
      <c r="E305" s="5">
        <f>(pima_data!E305-MIN(pima_data!$E$1:$E$768))/(MAX(pima_data!$E$1:$E$768)-MIN(pima_data!$E$1:$E$768))</f>
        <v>0</v>
      </c>
      <c r="F305" s="5">
        <f>(pima_data!F305-MIN(pima_data!$F$1:$F$768))/(MAX(pima_data!$F$1:$F$768)-MIN(pima_data!$F$1:$F$768))</f>
        <v>0.312965722801788</v>
      </c>
      <c r="G305" s="5">
        <f>(pima_data!G305-MIN(pima_data!$G$1:$G$768))/(MAX(pima_data!$G$1:$G$768)-MIN(pima_data!$G$1:$G$768))</f>
        <v>0.0550811272416738</v>
      </c>
      <c r="H305" s="5">
        <f>(pima_data!H305-MIN(pima_data!$H$1:$H$768))/(MAX(pima_data!$H$1:$H$768)-MIN(pima_data!$H$1:$H$768))</f>
        <v>0.266666666666667</v>
      </c>
    </row>
    <row r="306" spans="1:8">
      <c r="A306" s="5">
        <f>(pima_data!A306-MIN(pima_data!$A$1:$A$768))/(MAX(pima_data!$A$1:$A$768)-MIN(pima_data!$A$1:$A$768))</f>
        <v>0.117647058823529</v>
      </c>
      <c r="B306" s="5">
        <f>(pima_data!B306-MIN(pima_data!$B$1:$B$768))/(MAX(pima_data!$B$1:$B$768)-MIN(pima_data!$B$1:$B$768))</f>
        <v>0.603015075376884</v>
      </c>
      <c r="C306" s="5">
        <f>(pima_data!C306-MIN(pima_data!$C$1:$C$768))/(MAX(pima_data!$C$1:$C$768)-MIN(pima_data!$C$1:$C$768))</f>
        <v>0.622950819672131</v>
      </c>
      <c r="D306" s="5">
        <f>(pima_data!D306-MIN(pima_data!$D$1:$D$768))/(MAX(pima_data!$D$1:$D$768)-MIN(pima_data!$D$1:$D$768))</f>
        <v>0.373737373737374</v>
      </c>
      <c r="E306" s="5">
        <f>(pima_data!E306-MIN(pima_data!$E$1:$E$768))/(MAX(pima_data!$E$1:$E$768)-MIN(pima_data!$E$1:$E$768))</f>
        <v>0.124113475177305</v>
      </c>
      <c r="F306" s="5">
        <f>(pima_data!F306-MIN(pima_data!$F$1:$F$768))/(MAX(pima_data!$F$1:$F$768)-MIN(pima_data!$F$1:$F$768))</f>
        <v>0.591654247391952</v>
      </c>
      <c r="G306" s="5">
        <f>(pima_data!G306-MIN(pima_data!$G$1:$G$768))/(MAX(pima_data!$G$1:$G$768)-MIN(pima_data!$G$1:$G$768))</f>
        <v>0.0584970111016225</v>
      </c>
      <c r="H306" s="5">
        <f>(pima_data!H306-MIN(pima_data!$H$1:$H$768))/(MAX(pima_data!$H$1:$H$768)-MIN(pima_data!$H$1:$H$768))</f>
        <v>0.133333333333333</v>
      </c>
    </row>
    <row r="307" spans="1:8">
      <c r="A307" s="5">
        <f>(pima_data!A307-MIN(pima_data!$A$1:$A$768))/(MAX(pima_data!$A$1:$A$768)-MIN(pima_data!$A$1:$A$768))</f>
        <v>0.588235294117647</v>
      </c>
      <c r="B307" s="5">
        <f>(pima_data!B307-MIN(pima_data!$B$1:$B$768))/(MAX(pima_data!$B$1:$B$768)-MIN(pima_data!$B$1:$B$768))</f>
        <v>0.809045226130653</v>
      </c>
      <c r="C307" s="5">
        <f>(pima_data!C307-MIN(pima_data!$C$1:$C$768))/(MAX(pima_data!$C$1:$C$768)-MIN(pima_data!$C$1:$C$768))</f>
        <v>0.557377049180328</v>
      </c>
      <c r="D307" s="5">
        <f>(pima_data!D307-MIN(pima_data!$D$1:$D$768))/(MAX(pima_data!$D$1:$D$768)-MIN(pima_data!$D$1:$D$768))</f>
        <v>0.232323232323232</v>
      </c>
      <c r="E307" s="5">
        <f>(pima_data!E307-MIN(pima_data!$E$1:$E$768))/(MAX(pima_data!$E$1:$E$768)-MIN(pima_data!$E$1:$E$768))</f>
        <v>0.156028368794326</v>
      </c>
      <c r="F307" s="5">
        <f>(pima_data!F307-MIN(pima_data!$F$1:$F$768))/(MAX(pima_data!$F$1:$F$768)-MIN(pima_data!$F$1:$F$768))</f>
        <v>0.380029806259314</v>
      </c>
      <c r="G307" s="5">
        <f>(pima_data!G307-MIN(pima_data!$G$1:$G$768))/(MAX(pima_data!$G$1:$G$768)-MIN(pima_data!$G$1:$G$768))</f>
        <v>0.105892399658412</v>
      </c>
      <c r="H307" s="5">
        <f>(pima_data!H307-MIN(pima_data!$H$1:$H$768))/(MAX(pima_data!$H$1:$H$768)-MIN(pima_data!$H$1:$H$768))</f>
        <v>0.433333333333333</v>
      </c>
    </row>
    <row r="308" spans="1:8">
      <c r="A308" s="5">
        <f>(pima_data!A308-MIN(pima_data!$A$1:$A$768))/(MAX(pima_data!$A$1:$A$768)-MIN(pima_data!$A$1:$A$768))</f>
        <v>0</v>
      </c>
      <c r="B308" s="5">
        <f>(pima_data!B308-MIN(pima_data!$B$1:$B$768))/(MAX(pima_data!$B$1:$B$768)-MIN(pima_data!$B$1:$B$768))</f>
        <v>0.688442211055276</v>
      </c>
      <c r="C308" s="5">
        <f>(pima_data!C308-MIN(pima_data!$C$1:$C$768))/(MAX(pima_data!$C$1:$C$768)-MIN(pima_data!$C$1:$C$768))</f>
        <v>0.557377049180328</v>
      </c>
      <c r="D308" s="5">
        <f>(pima_data!D308-MIN(pima_data!$D$1:$D$768))/(MAX(pima_data!$D$1:$D$768)-MIN(pima_data!$D$1:$D$768))</f>
        <v>0.141414141414141</v>
      </c>
      <c r="E308" s="5">
        <f>(pima_data!E308-MIN(pima_data!$E$1:$E$768))/(MAX(pima_data!$E$1:$E$768)-MIN(pima_data!$E$1:$E$768))</f>
        <v>0.174940898345154</v>
      </c>
      <c r="F308" s="5">
        <f>(pima_data!F308-MIN(pima_data!$F$1:$F$768))/(MAX(pima_data!$F$1:$F$768)-MIN(pima_data!$F$1:$F$768))</f>
        <v>0.369597615499255</v>
      </c>
      <c r="G308" s="5">
        <f>(pima_data!G308-MIN(pima_data!$G$1:$G$768))/(MAX(pima_data!$G$1:$G$768)-MIN(pima_data!$G$1:$G$768))</f>
        <v>0.0277540563620837</v>
      </c>
      <c r="H308" s="5">
        <f>(pima_data!H308-MIN(pima_data!$H$1:$H$768))/(MAX(pima_data!$H$1:$H$768)-MIN(pima_data!$H$1:$H$768))</f>
        <v>0</v>
      </c>
    </row>
    <row r="309" spans="1:8">
      <c r="A309" s="5">
        <f>(pima_data!A309-MIN(pima_data!$A$1:$A$768))/(MAX(pima_data!$A$1:$A$768)-MIN(pima_data!$A$1:$A$768))</f>
        <v>0</v>
      </c>
      <c r="B309" s="5">
        <f>(pima_data!B309-MIN(pima_data!$B$1:$B$768))/(MAX(pima_data!$B$1:$B$768)-MIN(pima_data!$B$1:$B$768))</f>
        <v>0.64321608040201</v>
      </c>
      <c r="C309" s="5">
        <f>(pima_data!C309-MIN(pima_data!$C$1:$C$768))/(MAX(pima_data!$C$1:$C$768)-MIN(pima_data!$C$1:$C$768))</f>
        <v>0.557377049180328</v>
      </c>
      <c r="D309" s="5">
        <f>(pima_data!D309-MIN(pima_data!$D$1:$D$768))/(MAX(pima_data!$D$1:$D$768)-MIN(pima_data!$D$1:$D$768))</f>
        <v>0.191919191919192</v>
      </c>
      <c r="E309" s="5">
        <f>(pima_data!E309-MIN(pima_data!$E$1:$E$768))/(MAX(pima_data!$E$1:$E$768)-MIN(pima_data!$E$1:$E$768))</f>
        <v>0.212765957446809</v>
      </c>
      <c r="F309" s="5">
        <f>(pima_data!F309-MIN(pima_data!$F$1:$F$768))/(MAX(pima_data!$F$1:$F$768)-MIN(pima_data!$F$1:$F$768))</f>
        <v>0.454545454545455</v>
      </c>
      <c r="G309" s="5">
        <f>(pima_data!G309-MIN(pima_data!$G$1:$G$768))/(MAX(pima_data!$G$1:$G$768)-MIN(pima_data!$G$1:$G$768))</f>
        <v>0.56063193851409</v>
      </c>
      <c r="H309" s="5">
        <f>(pima_data!H309-MIN(pima_data!$H$1:$H$768))/(MAX(pima_data!$H$1:$H$768)-MIN(pima_data!$H$1:$H$768))</f>
        <v>0.0666666666666667</v>
      </c>
    </row>
    <row r="310" spans="1:8">
      <c r="A310" s="5">
        <f>(pima_data!A310-MIN(pima_data!$A$1:$A$768))/(MAX(pima_data!$A$1:$A$768)-MIN(pima_data!$A$1:$A$768))</f>
        <v>0.117647058823529</v>
      </c>
      <c r="B310" s="5">
        <f>(pima_data!B310-MIN(pima_data!$B$1:$B$768))/(MAX(pima_data!$B$1:$B$768)-MIN(pima_data!$B$1:$B$768))</f>
        <v>0.623115577889447</v>
      </c>
      <c r="C310" s="5">
        <f>(pima_data!C310-MIN(pima_data!$C$1:$C$768))/(MAX(pima_data!$C$1:$C$768)-MIN(pima_data!$C$1:$C$768))</f>
        <v>0.557377049180328</v>
      </c>
      <c r="D310" s="5">
        <f>(pima_data!D310-MIN(pima_data!$D$1:$D$768))/(MAX(pima_data!$D$1:$D$768)-MIN(pima_data!$D$1:$D$768))</f>
        <v>0.282828282828283</v>
      </c>
      <c r="E310" s="5">
        <f>(pima_data!E310-MIN(pima_data!$E$1:$E$768))/(MAX(pima_data!$E$1:$E$768)-MIN(pima_data!$E$1:$E$768))</f>
        <v>0.242316784869976</v>
      </c>
      <c r="F310" s="5">
        <f>(pima_data!F310-MIN(pima_data!$F$1:$F$768))/(MAX(pima_data!$F$1:$F$768)-MIN(pima_data!$F$1:$F$768))</f>
        <v>0.490312965722802</v>
      </c>
      <c r="G310" s="5">
        <f>(pima_data!G310-MIN(pima_data!$G$1:$G$768))/(MAX(pima_data!$G$1:$G$768)-MIN(pima_data!$G$1:$G$768))</f>
        <v>0.340307429547395</v>
      </c>
      <c r="H310" s="5">
        <f>(pima_data!H310-MIN(pima_data!$H$1:$H$768))/(MAX(pima_data!$H$1:$H$768)-MIN(pima_data!$H$1:$H$768))</f>
        <v>0.15</v>
      </c>
    </row>
    <row r="311" spans="1:8">
      <c r="A311" s="5">
        <f>(pima_data!A311-MIN(pima_data!$A$1:$A$768))/(MAX(pima_data!$A$1:$A$768)-MIN(pima_data!$A$1:$A$768))</f>
        <v>0.352941176470588</v>
      </c>
      <c r="B311" s="5">
        <f>(pima_data!B311-MIN(pima_data!$B$1:$B$768))/(MAX(pima_data!$B$1:$B$768)-MIN(pima_data!$B$1:$B$768))</f>
        <v>0.402010050251256</v>
      </c>
      <c r="C311" s="5">
        <f>(pima_data!C311-MIN(pima_data!$C$1:$C$768))/(MAX(pima_data!$C$1:$C$768)-MIN(pima_data!$C$1:$C$768))</f>
        <v>0.540983606557377</v>
      </c>
      <c r="D311" s="5">
        <f>(pima_data!D311-MIN(pima_data!$D$1:$D$768))/(MAX(pima_data!$D$1:$D$768)-MIN(pima_data!$D$1:$D$768))</f>
        <v>0.303030303030303</v>
      </c>
      <c r="E311" s="5">
        <f>(pima_data!E311-MIN(pima_data!$E$1:$E$768))/(MAX(pima_data!$E$1:$E$768)-MIN(pima_data!$E$1:$E$768))</f>
        <v>0</v>
      </c>
      <c r="F311" s="5">
        <f>(pima_data!F311-MIN(pima_data!$F$1:$F$768))/(MAX(pima_data!$F$1:$F$768)-MIN(pima_data!$F$1:$F$768))</f>
        <v>0.390461997019374</v>
      </c>
      <c r="G311" s="5">
        <f>(pima_data!G311-MIN(pima_data!$G$1:$G$768))/(MAX(pima_data!$G$1:$G$768)-MIN(pima_data!$G$1:$G$768))</f>
        <v>0.100341588385995</v>
      </c>
      <c r="H311" s="5">
        <f>(pima_data!H311-MIN(pima_data!$H$1:$H$768))/(MAX(pima_data!$H$1:$H$768)-MIN(pima_data!$H$1:$H$768))</f>
        <v>0.333333333333333</v>
      </c>
    </row>
    <row r="312" spans="1:8">
      <c r="A312" s="5">
        <f>(pima_data!A312-MIN(pima_data!$A$1:$A$768))/(MAX(pima_data!$A$1:$A$768)-MIN(pima_data!$A$1:$A$768))</f>
        <v>0</v>
      </c>
      <c r="B312" s="5">
        <f>(pima_data!B312-MIN(pima_data!$B$1:$B$768))/(MAX(pima_data!$B$1:$B$768)-MIN(pima_data!$B$1:$B$768))</f>
        <v>0.532663316582915</v>
      </c>
      <c r="C312" s="5">
        <f>(pima_data!C312-MIN(pima_data!$C$1:$C$768))/(MAX(pima_data!$C$1:$C$768)-MIN(pima_data!$C$1:$C$768))</f>
        <v>0.573770491803279</v>
      </c>
      <c r="D312" s="5">
        <f>(pima_data!D312-MIN(pima_data!$D$1:$D$768))/(MAX(pima_data!$D$1:$D$768)-MIN(pima_data!$D$1:$D$768))</f>
        <v>0.373737373737374</v>
      </c>
      <c r="E312" s="5">
        <f>(pima_data!E312-MIN(pima_data!$E$1:$E$768))/(MAX(pima_data!$E$1:$E$768)-MIN(pima_data!$E$1:$E$768))</f>
        <v>0.174940898345154</v>
      </c>
      <c r="F312" s="5">
        <f>(pima_data!F312-MIN(pima_data!$F$1:$F$768))/(MAX(pima_data!$F$1:$F$768)-MIN(pima_data!$F$1:$F$768))</f>
        <v>0.587183308494784</v>
      </c>
      <c r="G312" s="5">
        <f>(pima_data!G312-MIN(pima_data!$G$1:$G$768))/(MAX(pima_data!$G$1:$G$768)-MIN(pima_data!$G$1:$G$768))</f>
        <v>0.225021349274125</v>
      </c>
      <c r="H312" s="5">
        <f>(pima_data!H312-MIN(pima_data!$H$1:$H$768))/(MAX(pima_data!$H$1:$H$768)-MIN(pima_data!$H$1:$H$768))</f>
        <v>0.0166666666666667</v>
      </c>
    </row>
    <row r="313" spans="1:8">
      <c r="A313" s="5">
        <f>(pima_data!A313-MIN(pima_data!$A$1:$A$768))/(MAX(pima_data!$A$1:$A$768)-MIN(pima_data!$A$1:$A$768))</f>
        <v>0.117647058823529</v>
      </c>
      <c r="B313" s="5">
        <f>(pima_data!B313-MIN(pima_data!$B$1:$B$768))/(MAX(pima_data!$B$1:$B$768)-MIN(pima_data!$B$1:$B$768))</f>
        <v>0.778894472361809</v>
      </c>
      <c r="C313" s="5">
        <f>(pima_data!C313-MIN(pima_data!$C$1:$C$768))/(MAX(pima_data!$C$1:$C$768)-MIN(pima_data!$C$1:$C$768))</f>
        <v>0.60655737704918</v>
      </c>
      <c r="D313" s="5">
        <f>(pima_data!D313-MIN(pima_data!$D$1:$D$768))/(MAX(pima_data!$D$1:$D$768)-MIN(pima_data!$D$1:$D$768))</f>
        <v>0.171717171717172</v>
      </c>
      <c r="E313" s="5">
        <f>(pima_data!E313-MIN(pima_data!$E$1:$E$768))/(MAX(pima_data!$E$1:$E$768)-MIN(pima_data!$E$1:$E$768))</f>
        <v>0.113475177304965</v>
      </c>
      <c r="F313" s="5">
        <f>(pima_data!F313-MIN(pima_data!$F$1:$F$768))/(MAX(pima_data!$F$1:$F$768)-MIN(pima_data!$F$1:$F$768))</f>
        <v>0.396423248882265</v>
      </c>
      <c r="G313" s="5">
        <f>(pima_data!G313-MIN(pima_data!$G$1:$G$768))/(MAX(pima_data!$G$1:$G$768)-MIN(pima_data!$G$1:$G$768))</f>
        <v>0.151579846285226</v>
      </c>
      <c r="H313" s="5">
        <f>(pima_data!H313-MIN(pima_data!$H$1:$H$768))/(MAX(pima_data!$H$1:$H$768)-MIN(pima_data!$H$1:$H$768))</f>
        <v>0.1</v>
      </c>
    </row>
    <row r="314" spans="1:8">
      <c r="A314" s="5">
        <f>(pima_data!A314-MIN(pima_data!$A$1:$A$768))/(MAX(pima_data!$A$1:$A$768)-MIN(pima_data!$A$1:$A$768))</f>
        <v>0.176470588235294</v>
      </c>
      <c r="B314" s="5">
        <f>(pima_data!B314-MIN(pima_data!$B$1:$B$768))/(MAX(pima_data!$B$1:$B$768)-MIN(pima_data!$B$1:$B$768))</f>
        <v>0.5678391959799</v>
      </c>
      <c r="C314" s="5">
        <f>(pima_data!C314-MIN(pima_data!$C$1:$C$768))/(MAX(pima_data!$C$1:$C$768)-MIN(pima_data!$C$1:$C$768))</f>
        <v>0.409836065573771</v>
      </c>
      <c r="D314" s="5">
        <f>(pima_data!D314-MIN(pima_data!$D$1:$D$768))/(MAX(pima_data!$D$1:$D$768)-MIN(pima_data!$D$1:$D$768))</f>
        <v>0.101010101010101</v>
      </c>
      <c r="E314" s="5">
        <f>(pima_data!E314-MIN(pima_data!$E$1:$E$768))/(MAX(pima_data!$E$1:$E$768)-MIN(pima_data!$E$1:$E$768))</f>
        <v>0.100472813238771</v>
      </c>
      <c r="F314" s="5">
        <f>(pima_data!F314-MIN(pima_data!$F$1:$F$768))/(MAX(pima_data!$F$1:$F$768)-MIN(pima_data!$F$1:$F$768))</f>
        <v>0.439642324888227</v>
      </c>
      <c r="G314" s="5">
        <f>(pima_data!G314-MIN(pima_data!$G$1:$G$768))/(MAX(pima_data!$G$1:$G$768)-MIN(pima_data!$G$1:$G$768))</f>
        <v>0.23398804440649</v>
      </c>
      <c r="H314" s="5">
        <f>(pima_data!H314-MIN(pima_data!$H$1:$H$768))/(MAX(pima_data!$H$1:$H$768)-MIN(pima_data!$H$1:$H$768))</f>
        <v>0.0666666666666667</v>
      </c>
    </row>
    <row r="315" spans="1:8">
      <c r="A315" s="5">
        <f>(pima_data!A315-MIN(pima_data!$A$1:$A$768))/(MAX(pima_data!$A$1:$A$768)-MIN(pima_data!$A$1:$A$768))</f>
        <v>0.411764705882353</v>
      </c>
      <c r="B315" s="5">
        <f>(pima_data!B315-MIN(pima_data!$B$1:$B$768))/(MAX(pima_data!$B$1:$B$768)-MIN(pima_data!$B$1:$B$768))</f>
        <v>0.547738693467337</v>
      </c>
      <c r="C315" s="5">
        <f>(pima_data!C315-MIN(pima_data!$C$1:$C$768))/(MAX(pima_data!$C$1:$C$768)-MIN(pima_data!$C$1:$C$768))</f>
        <v>0.655737704918033</v>
      </c>
      <c r="D315" s="5">
        <f>(pima_data!D315-MIN(pima_data!$D$1:$D$768))/(MAX(pima_data!$D$1:$D$768)-MIN(pima_data!$D$1:$D$768))</f>
        <v>0.313131313131313</v>
      </c>
      <c r="E315" s="5">
        <f>(pima_data!E315-MIN(pima_data!$E$1:$E$768))/(MAX(pima_data!$E$1:$E$768)-MIN(pima_data!$E$1:$E$768))</f>
        <v>0</v>
      </c>
      <c r="F315" s="5">
        <f>(pima_data!F315-MIN(pima_data!$F$1:$F$768))/(MAX(pima_data!$F$1:$F$768)-MIN(pima_data!$F$1:$F$768))</f>
        <v>0.535022354694486</v>
      </c>
      <c r="G315" s="5">
        <f>(pima_data!G315-MIN(pima_data!$G$1:$G$768))/(MAX(pima_data!$G$1:$G$768)-MIN(pima_data!$G$1:$G$768))</f>
        <v>0.447907771135781</v>
      </c>
      <c r="H315" s="5">
        <f>(pima_data!H315-MIN(pima_data!$H$1:$H$768))/(MAX(pima_data!$H$1:$H$768)-MIN(pima_data!$H$1:$H$768))</f>
        <v>0.366666666666667</v>
      </c>
    </row>
    <row r="316" spans="1:8">
      <c r="A316" s="5">
        <f>(pima_data!A316-MIN(pima_data!$A$1:$A$768))/(MAX(pima_data!$A$1:$A$768)-MIN(pima_data!$A$1:$A$768))</f>
        <v>0.117647058823529</v>
      </c>
      <c r="B316" s="5">
        <f>(pima_data!B316-MIN(pima_data!$B$1:$B$768))/(MAX(pima_data!$B$1:$B$768)-MIN(pima_data!$B$1:$B$768))</f>
        <v>0.562814070351759</v>
      </c>
      <c r="C316" s="5">
        <f>(pima_data!C316-MIN(pima_data!$C$1:$C$768))/(MAX(pima_data!$C$1:$C$768)-MIN(pima_data!$C$1:$C$768))</f>
        <v>0.557377049180328</v>
      </c>
      <c r="D316" s="5">
        <f>(pima_data!D316-MIN(pima_data!$D$1:$D$768))/(MAX(pima_data!$D$1:$D$768)-MIN(pima_data!$D$1:$D$768))</f>
        <v>0.222222222222222</v>
      </c>
      <c r="E316" s="5">
        <f>(pima_data!E316-MIN(pima_data!$E$1:$E$768))/(MAX(pima_data!$E$1:$E$768)-MIN(pima_data!$E$1:$E$768))</f>
        <v>0.111111111111111</v>
      </c>
      <c r="F316" s="5">
        <f>(pima_data!F316-MIN(pima_data!$F$1:$F$768))/(MAX(pima_data!$F$1:$F$768)-MIN(pima_data!$F$1:$F$768))</f>
        <v>0.508196721311475</v>
      </c>
      <c r="G316" s="5">
        <f>(pima_data!G316-MIN(pima_data!$G$1:$G$768))/(MAX(pima_data!$G$1:$G$768)-MIN(pima_data!$G$1:$G$768))</f>
        <v>0.101195559350982</v>
      </c>
      <c r="H316" s="5">
        <f>(pima_data!H316-MIN(pima_data!$H$1:$H$768))/(MAX(pima_data!$H$1:$H$768)-MIN(pima_data!$H$1:$H$768))</f>
        <v>0.0833333333333333</v>
      </c>
    </row>
    <row r="317" spans="1:8">
      <c r="A317" s="5">
        <f>(pima_data!A317-MIN(pima_data!$A$1:$A$768))/(MAX(pima_data!$A$1:$A$768)-MIN(pima_data!$A$1:$A$768))</f>
        <v>0.176470588235294</v>
      </c>
      <c r="B317" s="5">
        <f>(pima_data!B317-MIN(pima_data!$B$1:$B$768))/(MAX(pima_data!$B$1:$B$768)-MIN(pima_data!$B$1:$B$768))</f>
        <v>0.49748743718593</v>
      </c>
      <c r="C317" s="5">
        <f>(pima_data!C317-MIN(pima_data!$C$1:$C$768))/(MAX(pima_data!$C$1:$C$768)-MIN(pima_data!$C$1:$C$768))</f>
        <v>0.655737704918033</v>
      </c>
      <c r="D317" s="5">
        <f>(pima_data!D317-MIN(pima_data!$D$1:$D$768))/(MAX(pima_data!$D$1:$D$768)-MIN(pima_data!$D$1:$D$768))</f>
        <v>0.111111111111111</v>
      </c>
      <c r="E317" s="5">
        <f>(pima_data!E317-MIN(pima_data!$E$1:$E$768))/(MAX(pima_data!$E$1:$E$768)-MIN(pima_data!$E$1:$E$768))</f>
        <v>0.0756501182033097</v>
      </c>
      <c r="F317" s="5">
        <f>(pima_data!F317-MIN(pima_data!$F$1:$F$768))/(MAX(pima_data!$F$1:$F$768)-MIN(pima_data!$F$1:$F$768))</f>
        <v>0.287630402384501</v>
      </c>
      <c r="G317" s="5">
        <f>(pima_data!G317-MIN(pima_data!$G$1:$G$768))/(MAX(pima_data!$G$1:$G$768)-MIN(pima_data!$G$1:$G$768))</f>
        <v>0.0879590093936806</v>
      </c>
      <c r="H317" s="5">
        <f>(pima_data!H317-MIN(pima_data!$H$1:$H$768))/(MAX(pima_data!$H$1:$H$768)-MIN(pima_data!$H$1:$H$768))</f>
        <v>0.15</v>
      </c>
    </row>
    <row r="318" spans="1:8">
      <c r="A318" s="5">
        <f>(pima_data!A318-MIN(pima_data!$A$1:$A$768))/(MAX(pima_data!$A$1:$A$768)-MIN(pima_data!$A$1:$A$768))</f>
        <v>0.176470588235294</v>
      </c>
      <c r="B318" s="5">
        <f>(pima_data!B318-MIN(pima_data!$B$1:$B$768))/(MAX(pima_data!$B$1:$B$768)-MIN(pima_data!$B$1:$B$768))</f>
        <v>0.914572864321608</v>
      </c>
      <c r="C318" s="5">
        <f>(pima_data!C318-MIN(pima_data!$C$1:$C$768))/(MAX(pima_data!$C$1:$C$768)-MIN(pima_data!$C$1:$C$768))</f>
        <v>0.60655737704918</v>
      </c>
      <c r="D318" s="5">
        <f>(pima_data!D318-MIN(pima_data!$D$1:$D$768))/(MAX(pima_data!$D$1:$D$768)-MIN(pima_data!$D$1:$D$768))</f>
        <v>0</v>
      </c>
      <c r="E318" s="5">
        <f>(pima_data!E318-MIN(pima_data!$E$1:$E$768))/(MAX(pima_data!$E$1:$E$768)-MIN(pima_data!$E$1:$E$768))</f>
        <v>0</v>
      </c>
      <c r="F318" s="5">
        <f>(pima_data!F318-MIN(pima_data!$F$1:$F$768))/(MAX(pima_data!$F$1:$F$768)-MIN(pima_data!$F$1:$F$768))</f>
        <v>0.454545454545455</v>
      </c>
      <c r="G318" s="5">
        <f>(pima_data!G318-MIN(pima_data!$G$1:$G$768))/(MAX(pima_data!$G$1:$G$768)-MIN(pima_data!$G$1:$G$768))</f>
        <v>0.11400512382579</v>
      </c>
      <c r="H318" s="5">
        <f>(pima_data!H318-MIN(pima_data!$H$1:$H$768))/(MAX(pima_data!$H$1:$H$768)-MIN(pima_data!$H$1:$H$768))</f>
        <v>0.133333333333333</v>
      </c>
    </row>
    <row r="319" spans="1:8">
      <c r="A319" s="5">
        <f>(pima_data!A319-MIN(pima_data!$A$1:$A$768))/(MAX(pima_data!$A$1:$A$768)-MIN(pima_data!$A$1:$A$768))</f>
        <v>0.176470588235294</v>
      </c>
      <c r="B319" s="5">
        <f>(pima_data!B319-MIN(pima_data!$B$1:$B$768))/(MAX(pima_data!$B$1:$B$768)-MIN(pima_data!$B$1:$B$768))</f>
        <v>0.577889447236181</v>
      </c>
      <c r="C319" s="5">
        <f>(pima_data!C319-MIN(pima_data!$C$1:$C$768))/(MAX(pima_data!$C$1:$C$768)-MIN(pima_data!$C$1:$C$768))</f>
        <v>0.540983606557377</v>
      </c>
      <c r="D319" s="5">
        <f>(pima_data!D319-MIN(pima_data!$D$1:$D$768))/(MAX(pima_data!$D$1:$D$768)-MIN(pima_data!$D$1:$D$768))</f>
        <v>0.393939393939394</v>
      </c>
      <c r="E319" s="5">
        <f>(pima_data!E319-MIN(pima_data!$E$1:$E$768))/(MAX(pima_data!$E$1:$E$768)-MIN(pima_data!$E$1:$E$768))</f>
        <v>0.16548463356974</v>
      </c>
      <c r="F319" s="5">
        <f>(pima_data!F319-MIN(pima_data!$F$1:$F$768))/(MAX(pima_data!$F$1:$F$768)-MIN(pima_data!$F$1:$F$768))</f>
        <v>0.567809239940388</v>
      </c>
      <c r="G319" s="5">
        <f>(pima_data!G319-MIN(pima_data!$G$1:$G$768))/(MAX(pima_data!$G$1:$G$768)-MIN(pima_data!$G$1:$G$768))</f>
        <v>0.0307429547395389</v>
      </c>
      <c r="H319" s="5">
        <f>(pima_data!H319-MIN(pima_data!$H$1:$H$768))/(MAX(pima_data!$H$1:$H$768)-MIN(pima_data!$H$1:$H$768))</f>
        <v>0.116666666666667</v>
      </c>
    </row>
    <row r="320" spans="1:8">
      <c r="A320" s="5">
        <f>(pima_data!A320-MIN(pima_data!$A$1:$A$768))/(MAX(pima_data!$A$1:$A$768)-MIN(pima_data!$A$1:$A$768))</f>
        <v>0.352941176470588</v>
      </c>
      <c r="B320" s="5">
        <f>(pima_data!B320-MIN(pima_data!$B$1:$B$768))/(MAX(pima_data!$B$1:$B$768)-MIN(pima_data!$B$1:$B$768))</f>
        <v>0.974874371859296</v>
      </c>
      <c r="C320" s="5">
        <f>(pima_data!C320-MIN(pima_data!$C$1:$C$768))/(MAX(pima_data!$C$1:$C$768)-MIN(pima_data!$C$1:$C$768))</f>
        <v>0.639344262295082</v>
      </c>
      <c r="D320" s="5">
        <f>(pima_data!D320-MIN(pima_data!$D$1:$D$768))/(MAX(pima_data!$D$1:$D$768)-MIN(pima_data!$D$1:$D$768))</f>
        <v>0</v>
      </c>
      <c r="E320" s="5">
        <f>(pima_data!E320-MIN(pima_data!$E$1:$E$768))/(MAX(pima_data!$E$1:$E$768)-MIN(pima_data!$E$1:$E$768))</f>
        <v>0</v>
      </c>
      <c r="F320" s="5">
        <f>(pima_data!F320-MIN(pima_data!$F$1:$F$768))/(MAX(pima_data!$F$1:$F$768)-MIN(pima_data!$F$1:$F$768))</f>
        <v>0.350223546944858</v>
      </c>
      <c r="G320" s="5">
        <f>(pima_data!G320-MIN(pima_data!$G$1:$G$768))/(MAX(pima_data!$G$1:$G$768)-MIN(pima_data!$G$1:$G$768))</f>
        <v>0.0217762596071734</v>
      </c>
      <c r="H320" s="5">
        <f>(pima_data!H320-MIN(pima_data!$H$1:$H$768))/(MAX(pima_data!$H$1:$H$768)-MIN(pima_data!$H$1:$H$768))</f>
        <v>0.633333333333333</v>
      </c>
    </row>
    <row r="321" spans="1:8">
      <c r="A321" s="5">
        <f>(pima_data!A321-MIN(pima_data!$A$1:$A$768))/(MAX(pima_data!$A$1:$A$768)-MIN(pima_data!$A$1:$A$768))</f>
        <v>0.235294117647059</v>
      </c>
      <c r="B321" s="5">
        <f>(pima_data!B321-MIN(pima_data!$B$1:$B$768))/(MAX(pima_data!$B$1:$B$768)-MIN(pima_data!$B$1:$B$768))</f>
        <v>0.648241206030151</v>
      </c>
      <c r="C321" s="5">
        <f>(pima_data!C321-MIN(pima_data!$C$1:$C$768))/(MAX(pima_data!$C$1:$C$768)-MIN(pima_data!$C$1:$C$768))</f>
        <v>0.491803278688525</v>
      </c>
      <c r="D321" s="5">
        <f>(pima_data!D321-MIN(pima_data!$D$1:$D$768))/(MAX(pima_data!$D$1:$D$768)-MIN(pima_data!$D$1:$D$768))</f>
        <v>0.121212121212121</v>
      </c>
      <c r="E321" s="5">
        <f>(pima_data!E321-MIN(pima_data!$E$1:$E$768))/(MAX(pima_data!$E$1:$E$768)-MIN(pima_data!$E$1:$E$768))</f>
        <v>0.273049645390071</v>
      </c>
      <c r="F321" s="5">
        <f>(pima_data!F321-MIN(pima_data!$F$1:$F$768))/(MAX(pima_data!$F$1:$F$768)-MIN(pima_data!$F$1:$F$768))</f>
        <v>0.409836065573771</v>
      </c>
      <c r="G321" s="5">
        <f>(pima_data!G321-MIN(pima_data!$G$1:$G$768))/(MAX(pima_data!$G$1:$G$768)-MIN(pima_data!$G$1:$G$768))</f>
        <v>0.191716481639624</v>
      </c>
      <c r="H321" s="5">
        <f>(pima_data!H321-MIN(pima_data!$H$1:$H$768))/(MAX(pima_data!$H$1:$H$768)-MIN(pima_data!$H$1:$H$768))</f>
        <v>0.166666666666667</v>
      </c>
    </row>
    <row r="322" spans="1:8">
      <c r="A322" s="5">
        <f>(pima_data!A322-MIN(pima_data!$A$1:$A$768))/(MAX(pima_data!$A$1:$A$768)-MIN(pima_data!$A$1:$A$768))</f>
        <v>0.176470588235294</v>
      </c>
      <c r="B322" s="5">
        <f>(pima_data!B322-MIN(pima_data!$B$1:$B$768))/(MAX(pima_data!$B$1:$B$768)-MIN(pima_data!$B$1:$B$768))</f>
        <v>0.562814070351759</v>
      </c>
      <c r="C322" s="5">
        <f>(pima_data!C322-MIN(pima_data!$C$1:$C$768))/(MAX(pima_data!$C$1:$C$768)-MIN(pima_data!$C$1:$C$768))</f>
        <v>0.60655737704918</v>
      </c>
      <c r="D322" s="5">
        <f>(pima_data!D322-MIN(pima_data!$D$1:$D$768))/(MAX(pima_data!$D$1:$D$768)-MIN(pima_data!$D$1:$D$768))</f>
        <v>0.303030303030303</v>
      </c>
      <c r="E322" s="5">
        <f>(pima_data!E322-MIN(pima_data!$E$1:$E$768))/(MAX(pima_data!$E$1:$E$768)-MIN(pima_data!$E$1:$E$768))</f>
        <v>0</v>
      </c>
      <c r="F322" s="5">
        <f>(pima_data!F322-MIN(pima_data!$F$1:$F$768))/(MAX(pima_data!$F$1:$F$768)-MIN(pima_data!$F$1:$F$768))</f>
        <v>0.470938897168405</v>
      </c>
      <c r="G322" s="5">
        <f>(pima_data!G322-MIN(pima_data!$G$1:$G$768))/(MAX(pima_data!$G$1:$G$768)-MIN(pima_data!$G$1:$G$768))</f>
        <v>0.0508112724167378</v>
      </c>
      <c r="H322" s="5">
        <f>(pima_data!H322-MIN(pima_data!$H$1:$H$768))/(MAX(pima_data!$H$1:$H$768)-MIN(pima_data!$H$1:$H$768))</f>
        <v>0.0666666666666667</v>
      </c>
    </row>
    <row r="323" spans="1:8">
      <c r="A323" s="5">
        <f>(pima_data!A323-MIN(pima_data!$A$1:$A$768))/(MAX(pima_data!$A$1:$A$768)-MIN(pima_data!$A$1:$A$768))</f>
        <v>0</v>
      </c>
      <c r="B323" s="5">
        <f>(pima_data!B323-MIN(pima_data!$B$1:$B$768))/(MAX(pima_data!$B$1:$B$768)-MIN(pima_data!$B$1:$B$768))</f>
        <v>0.623115577889447</v>
      </c>
      <c r="C323" s="5">
        <f>(pima_data!C323-MIN(pima_data!$C$1:$C$768))/(MAX(pima_data!$C$1:$C$768)-MIN(pima_data!$C$1:$C$768))</f>
        <v>0.573770491803279</v>
      </c>
      <c r="D323" s="5">
        <f>(pima_data!D323-MIN(pima_data!$D$1:$D$768))/(MAX(pima_data!$D$1:$D$768)-MIN(pima_data!$D$1:$D$768))</f>
        <v>0.202020202020202</v>
      </c>
      <c r="E323" s="5">
        <f>(pima_data!E323-MIN(pima_data!$E$1:$E$768))/(MAX(pima_data!$E$1:$E$768)-MIN(pima_data!$E$1:$E$768))</f>
        <v>0</v>
      </c>
      <c r="F323" s="5">
        <f>(pima_data!F323-MIN(pima_data!$F$1:$F$768))/(MAX(pima_data!$F$1:$F$768)-MIN(pima_data!$F$1:$F$768))</f>
        <v>0.408345752608048</v>
      </c>
      <c r="G323" s="5">
        <f>(pima_data!G323-MIN(pima_data!$G$1:$G$768))/(MAX(pima_data!$G$1:$G$768)-MIN(pima_data!$G$1:$G$768))</f>
        <v>0.0751494449188728</v>
      </c>
      <c r="H323" s="5">
        <f>(pima_data!H323-MIN(pima_data!$H$1:$H$768))/(MAX(pima_data!$H$1:$H$768)-MIN(pima_data!$H$1:$H$768))</f>
        <v>0.25</v>
      </c>
    </row>
    <row r="324" spans="1:8">
      <c r="A324" s="5">
        <f>(pima_data!A324-MIN(pima_data!$A$1:$A$768))/(MAX(pima_data!$A$1:$A$768)-MIN(pima_data!$A$1:$A$768))</f>
        <v>0.764705882352941</v>
      </c>
      <c r="B324" s="5">
        <f>(pima_data!B324-MIN(pima_data!$B$1:$B$768))/(MAX(pima_data!$B$1:$B$768)-MIN(pima_data!$B$1:$B$768))</f>
        <v>0.763819095477387</v>
      </c>
      <c r="C324" s="5">
        <f>(pima_data!C324-MIN(pima_data!$C$1:$C$768))/(MAX(pima_data!$C$1:$C$768)-MIN(pima_data!$C$1:$C$768))</f>
        <v>0.737704918032787</v>
      </c>
      <c r="D324" s="5">
        <f>(pima_data!D324-MIN(pima_data!$D$1:$D$768))/(MAX(pima_data!$D$1:$D$768)-MIN(pima_data!$D$1:$D$768))</f>
        <v>0.333333333333333</v>
      </c>
      <c r="E324" s="5">
        <f>(pima_data!E324-MIN(pima_data!$E$1:$E$768))/(MAX(pima_data!$E$1:$E$768)-MIN(pima_data!$E$1:$E$768))</f>
        <v>0.0342789598108747</v>
      </c>
      <c r="F324" s="5">
        <f>(pima_data!F324-MIN(pima_data!$F$1:$F$768))/(MAX(pima_data!$F$1:$F$768)-MIN(pima_data!$F$1:$F$768))</f>
        <v>0.399403874813711</v>
      </c>
      <c r="G324" s="5">
        <f>(pima_data!G324-MIN(pima_data!$G$1:$G$768))/(MAX(pima_data!$G$1:$G$768)-MIN(pima_data!$G$1:$G$768))</f>
        <v>0.278821520068318</v>
      </c>
      <c r="H324" s="5">
        <f>(pima_data!H324-MIN(pima_data!$H$1:$H$768))/(MAX(pima_data!$H$1:$H$768)-MIN(pima_data!$H$1:$H$768))</f>
        <v>0.366666666666667</v>
      </c>
    </row>
    <row r="325" spans="1:8">
      <c r="A325" s="5">
        <f>(pima_data!A325-MIN(pima_data!$A$1:$A$768))/(MAX(pima_data!$A$1:$A$768)-MIN(pima_data!$A$1:$A$768))</f>
        <v>0.117647058823529</v>
      </c>
      <c r="B325" s="5">
        <f>(pima_data!B325-MIN(pima_data!$B$1:$B$768))/(MAX(pima_data!$B$1:$B$768)-MIN(pima_data!$B$1:$B$768))</f>
        <v>0.562814070351759</v>
      </c>
      <c r="C325" s="5">
        <f>(pima_data!C325-MIN(pima_data!$C$1:$C$768))/(MAX(pima_data!$C$1:$C$768)-MIN(pima_data!$C$1:$C$768))</f>
        <v>0.614754098360656</v>
      </c>
      <c r="D325" s="5">
        <f>(pima_data!D325-MIN(pima_data!$D$1:$D$768))/(MAX(pima_data!$D$1:$D$768)-MIN(pima_data!$D$1:$D$768))</f>
        <v>0.323232323232323</v>
      </c>
      <c r="E325" s="5">
        <f>(pima_data!E325-MIN(pima_data!$E$1:$E$768))/(MAX(pima_data!$E$1:$E$768)-MIN(pima_data!$E$1:$E$768))</f>
        <v>0</v>
      </c>
      <c r="F325" s="5">
        <f>(pima_data!F325-MIN(pima_data!$F$1:$F$768))/(MAX(pima_data!$F$1:$F$768)-MIN(pima_data!$F$1:$F$768))</f>
        <v>0.53204172876304</v>
      </c>
      <c r="G325" s="5">
        <f>(pima_data!G325-MIN(pima_data!$G$1:$G$768))/(MAX(pima_data!$G$1:$G$768)-MIN(pima_data!$G$1:$G$768))</f>
        <v>0.0298889837745517</v>
      </c>
      <c r="H325" s="5">
        <f>(pima_data!H325-MIN(pima_data!$H$1:$H$768))/(MAX(pima_data!$H$1:$H$768)-MIN(pima_data!$H$1:$H$768))</f>
        <v>0</v>
      </c>
    </row>
    <row r="326" spans="1:8">
      <c r="A326" s="5">
        <f>(pima_data!A326-MIN(pima_data!$A$1:$A$768))/(MAX(pima_data!$A$1:$A$768)-MIN(pima_data!$A$1:$A$768))</f>
        <v>0.0588235294117647</v>
      </c>
      <c r="B326" s="5">
        <f>(pima_data!B326-MIN(pima_data!$B$1:$B$768))/(MAX(pima_data!$B$1:$B$768)-MIN(pima_data!$B$1:$B$768))</f>
        <v>0.78894472361809</v>
      </c>
      <c r="C326" s="5">
        <f>(pima_data!C326-MIN(pima_data!$C$1:$C$768))/(MAX(pima_data!$C$1:$C$768)-MIN(pima_data!$C$1:$C$768))</f>
        <v>0.590163934426229</v>
      </c>
      <c r="D326" s="5">
        <f>(pima_data!D326-MIN(pima_data!$D$1:$D$768))/(MAX(pima_data!$D$1:$D$768)-MIN(pima_data!$D$1:$D$768))</f>
        <v>0.212121212121212</v>
      </c>
      <c r="E326" s="5">
        <f>(pima_data!E326-MIN(pima_data!$E$1:$E$768))/(MAX(pima_data!$E$1:$E$768)-MIN(pima_data!$E$1:$E$768))</f>
        <v>0.198581560283688</v>
      </c>
      <c r="F326" s="5">
        <f>(pima_data!F326-MIN(pima_data!$F$1:$F$768))/(MAX(pima_data!$F$1:$F$768)-MIN(pima_data!$F$1:$F$768))</f>
        <v>0.381520119225037</v>
      </c>
      <c r="G326" s="5">
        <f>(pima_data!G326-MIN(pima_data!$G$1:$G$768))/(MAX(pima_data!$G$1:$G$768)-MIN(pima_data!$G$1:$G$768))</f>
        <v>0.0192143467122118</v>
      </c>
      <c r="H326" s="5">
        <f>(pima_data!H326-MIN(pima_data!$H$1:$H$768))/(MAX(pima_data!$H$1:$H$768)-MIN(pima_data!$H$1:$H$768))</f>
        <v>0.05</v>
      </c>
    </row>
    <row r="327" spans="1:8">
      <c r="A327" s="5">
        <f>(pima_data!A327-MIN(pima_data!$A$1:$A$768))/(MAX(pima_data!$A$1:$A$768)-MIN(pima_data!$A$1:$A$768))</f>
        <v>0.0588235294117647</v>
      </c>
      <c r="B327" s="5">
        <f>(pima_data!B327-MIN(pima_data!$B$1:$B$768))/(MAX(pima_data!$B$1:$B$768)-MIN(pima_data!$B$1:$B$768))</f>
        <v>0.613065326633166</v>
      </c>
      <c r="C327" s="5">
        <f>(pima_data!C327-MIN(pima_data!$C$1:$C$768))/(MAX(pima_data!$C$1:$C$768)-MIN(pima_data!$C$1:$C$768))</f>
        <v>0.524590163934426</v>
      </c>
      <c r="D327" s="5">
        <f>(pima_data!D327-MIN(pima_data!$D$1:$D$768))/(MAX(pima_data!$D$1:$D$768)-MIN(pima_data!$D$1:$D$768))</f>
        <v>0.323232323232323</v>
      </c>
      <c r="E327" s="5">
        <f>(pima_data!E327-MIN(pima_data!$E$1:$E$768))/(MAX(pima_data!$E$1:$E$768)-MIN(pima_data!$E$1:$E$768))</f>
        <v>0.184397163120567</v>
      </c>
      <c r="F327" s="5">
        <f>(pima_data!F327-MIN(pima_data!$F$1:$F$768))/(MAX(pima_data!$F$1:$F$768)-MIN(pima_data!$F$1:$F$768))</f>
        <v>0.523099850968703</v>
      </c>
      <c r="G327" s="5">
        <f>(pima_data!G327-MIN(pima_data!$G$1:$G$768))/(MAX(pima_data!$G$1:$G$768)-MIN(pima_data!$G$1:$G$768))</f>
        <v>0.262169086251067</v>
      </c>
      <c r="H327" s="5">
        <f>(pima_data!H327-MIN(pima_data!$H$1:$H$768))/(MAX(pima_data!$H$1:$H$768)-MIN(pima_data!$H$1:$H$768))</f>
        <v>0.15</v>
      </c>
    </row>
    <row r="328" spans="1:8">
      <c r="A328" s="5">
        <f>(pima_data!A328-MIN(pima_data!$A$1:$A$768))/(MAX(pima_data!$A$1:$A$768)-MIN(pima_data!$A$1:$A$768))</f>
        <v>0.588235294117647</v>
      </c>
      <c r="B328" s="5">
        <f>(pima_data!B328-MIN(pima_data!$B$1:$B$768))/(MAX(pima_data!$B$1:$B$768)-MIN(pima_data!$B$1:$B$768))</f>
        <v>0.899497487437186</v>
      </c>
      <c r="C328" s="5">
        <f>(pima_data!C328-MIN(pima_data!$C$1:$C$768))/(MAX(pima_data!$C$1:$C$768)-MIN(pima_data!$C$1:$C$768))</f>
        <v>0.573770491803279</v>
      </c>
      <c r="D328" s="5">
        <f>(pima_data!D328-MIN(pima_data!$D$1:$D$768))/(MAX(pima_data!$D$1:$D$768)-MIN(pima_data!$D$1:$D$768))</f>
        <v>0</v>
      </c>
      <c r="E328" s="5">
        <f>(pima_data!E328-MIN(pima_data!$E$1:$E$768))/(MAX(pima_data!$E$1:$E$768)-MIN(pima_data!$E$1:$E$768))</f>
        <v>0</v>
      </c>
      <c r="F328" s="5">
        <f>(pima_data!F328-MIN(pima_data!$F$1:$F$768))/(MAX(pima_data!$F$1:$F$768)-MIN(pima_data!$F$1:$F$768))</f>
        <v>0.523099850968703</v>
      </c>
      <c r="G328" s="5">
        <f>(pima_data!G328-MIN(pima_data!$G$1:$G$768))/(MAX(pima_data!$G$1:$G$768)-MIN(pima_data!$G$1:$G$768))</f>
        <v>0.0520922288642186</v>
      </c>
      <c r="H328" s="5">
        <f>(pima_data!H328-MIN(pima_data!$H$1:$H$768))/(MAX(pima_data!$H$1:$H$768)-MIN(pima_data!$H$1:$H$768))</f>
        <v>0.266666666666667</v>
      </c>
    </row>
    <row r="329" spans="1:8">
      <c r="A329" s="5">
        <f>(pima_data!A329-MIN(pima_data!$A$1:$A$768))/(MAX(pima_data!$A$1:$A$768)-MIN(pima_data!$A$1:$A$768))</f>
        <v>0.117647058823529</v>
      </c>
      <c r="B329" s="5">
        <f>(pima_data!B329-MIN(pima_data!$B$1:$B$768))/(MAX(pima_data!$B$1:$B$768)-MIN(pima_data!$B$1:$B$768))</f>
        <v>0.512562814070352</v>
      </c>
      <c r="C329" s="5">
        <f>(pima_data!C329-MIN(pima_data!$C$1:$C$768))/(MAX(pima_data!$C$1:$C$768)-MIN(pima_data!$C$1:$C$768))</f>
        <v>0.704918032786885</v>
      </c>
      <c r="D329" s="5">
        <f>(pima_data!D329-MIN(pima_data!$D$1:$D$768))/(MAX(pima_data!$D$1:$D$768)-MIN(pima_data!$D$1:$D$768))</f>
        <v>0.363636363636364</v>
      </c>
      <c r="E329" s="5">
        <f>(pima_data!E329-MIN(pima_data!$E$1:$E$768))/(MAX(pima_data!$E$1:$E$768)-MIN(pima_data!$E$1:$E$768))</f>
        <v>0.141843971631206</v>
      </c>
      <c r="F329" s="5">
        <f>(pima_data!F329-MIN(pima_data!$F$1:$F$768))/(MAX(pima_data!$F$1:$F$768)-MIN(pima_data!$F$1:$F$768))</f>
        <v>0.678092399403875</v>
      </c>
      <c r="G329" s="5">
        <f>(pima_data!G329-MIN(pima_data!$G$1:$G$768))/(MAX(pima_data!$G$1:$G$768)-MIN(pima_data!$G$1:$G$768))</f>
        <v>0.0209222886421862</v>
      </c>
      <c r="H329" s="5">
        <f>(pima_data!H329-MIN(pima_data!$H$1:$H$768))/(MAX(pima_data!$H$1:$H$768)-MIN(pima_data!$H$1:$H$768))</f>
        <v>0.0333333333333333</v>
      </c>
    </row>
    <row r="330" spans="1:8">
      <c r="A330" s="5">
        <f>(pima_data!A330-MIN(pima_data!$A$1:$A$768))/(MAX(pima_data!$A$1:$A$768)-MIN(pima_data!$A$1:$A$768))</f>
        <v>0.352941176470588</v>
      </c>
      <c r="B330" s="5">
        <f>(pima_data!B330-MIN(pima_data!$B$1:$B$768))/(MAX(pima_data!$B$1:$B$768)-MIN(pima_data!$B$1:$B$768))</f>
        <v>0.527638190954774</v>
      </c>
      <c r="C330" s="5">
        <f>(pima_data!C330-MIN(pima_data!$C$1:$C$768))/(MAX(pima_data!$C$1:$C$768)-MIN(pima_data!$C$1:$C$768))</f>
        <v>0.573770491803279</v>
      </c>
      <c r="D330" s="5">
        <f>(pima_data!D330-MIN(pima_data!$D$1:$D$768))/(MAX(pima_data!$D$1:$D$768)-MIN(pima_data!$D$1:$D$768))</f>
        <v>0.323232323232323</v>
      </c>
      <c r="E330" s="5">
        <f>(pima_data!E330-MIN(pima_data!$E$1:$E$768))/(MAX(pima_data!$E$1:$E$768)-MIN(pima_data!$E$1:$E$768))</f>
        <v>0.0803782505910166</v>
      </c>
      <c r="F330" s="5">
        <f>(pima_data!F330-MIN(pima_data!$F$1:$F$768))/(MAX(pima_data!$F$1:$F$768)-MIN(pima_data!$F$1:$F$768))</f>
        <v>0.459016393442623</v>
      </c>
      <c r="G330" s="5">
        <f>(pima_data!G330-MIN(pima_data!$G$1:$G$768))/(MAX(pima_data!$G$1:$G$768)-MIN(pima_data!$G$1:$G$768))</f>
        <v>0.0187873612297182</v>
      </c>
      <c r="H330" s="5">
        <f>(pima_data!H330-MIN(pima_data!$H$1:$H$768))/(MAX(pima_data!$H$1:$H$768)-MIN(pima_data!$H$1:$H$768))</f>
        <v>0.266666666666667</v>
      </c>
    </row>
    <row r="331" spans="1:8">
      <c r="A331" s="5">
        <f>(pima_data!A331-MIN(pima_data!$A$1:$A$768))/(MAX(pima_data!$A$1:$A$768)-MIN(pima_data!$A$1:$A$768))</f>
        <v>0.470588235294118</v>
      </c>
      <c r="B331" s="5">
        <f>(pima_data!B331-MIN(pima_data!$B$1:$B$768))/(MAX(pima_data!$B$1:$B$768)-MIN(pima_data!$B$1:$B$768))</f>
        <v>0.592964824120603</v>
      </c>
      <c r="C331" s="5">
        <f>(pima_data!C331-MIN(pima_data!$C$1:$C$768))/(MAX(pima_data!$C$1:$C$768)-MIN(pima_data!$C$1:$C$768))</f>
        <v>0.590163934426229</v>
      </c>
      <c r="D331" s="5">
        <f>(pima_data!D331-MIN(pima_data!$D$1:$D$768))/(MAX(pima_data!$D$1:$D$768)-MIN(pima_data!$D$1:$D$768))</f>
        <v>0.191919191919192</v>
      </c>
      <c r="E331" s="5">
        <f>(pima_data!E331-MIN(pima_data!$E$1:$E$768))/(MAX(pima_data!$E$1:$E$768)-MIN(pima_data!$E$1:$E$768))</f>
        <v>0</v>
      </c>
      <c r="F331" s="5">
        <f>(pima_data!F331-MIN(pima_data!$F$1:$F$768))/(MAX(pima_data!$F$1:$F$768)-MIN(pima_data!$F$1:$F$768))</f>
        <v>0.344262295081967</v>
      </c>
      <c r="G331" s="5">
        <f>(pima_data!G331-MIN(pima_data!$G$1:$G$768))/(MAX(pima_data!$G$1:$G$768)-MIN(pima_data!$G$1:$G$768))</f>
        <v>0.596925704526046</v>
      </c>
      <c r="H331" s="5">
        <f>(pima_data!H331-MIN(pima_data!$H$1:$H$768))/(MAX(pima_data!$H$1:$H$768)-MIN(pima_data!$H$1:$H$768))</f>
        <v>0.416666666666667</v>
      </c>
    </row>
    <row r="332" spans="1:8">
      <c r="A332" s="5">
        <f>(pima_data!A332-MIN(pima_data!$A$1:$A$768))/(MAX(pima_data!$A$1:$A$768)-MIN(pima_data!$A$1:$A$768))</f>
        <v>0.117647058823529</v>
      </c>
      <c r="B332" s="5">
        <f>(pima_data!B332-MIN(pima_data!$B$1:$B$768))/(MAX(pima_data!$B$1:$B$768)-MIN(pima_data!$B$1:$B$768))</f>
        <v>0.437185929648241</v>
      </c>
      <c r="C332" s="5">
        <f>(pima_data!C332-MIN(pima_data!$C$1:$C$768))/(MAX(pima_data!$C$1:$C$768)-MIN(pima_data!$C$1:$C$768))</f>
        <v>0.475409836065574</v>
      </c>
      <c r="D332" s="5">
        <f>(pima_data!D332-MIN(pima_data!$D$1:$D$768))/(MAX(pima_data!$D$1:$D$768)-MIN(pima_data!$D$1:$D$768))</f>
        <v>0.161616161616162</v>
      </c>
      <c r="E332" s="5">
        <f>(pima_data!E332-MIN(pima_data!$E$1:$E$768))/(MAX(pima_data!$E$1:$E$768)-MIN(pima_data!$E$1:$E$768))</f>
        <v>0.0614657210401891</v>
      </c>
      <c r="F332" s="5">
        <f>(pima_data!F332-MIN(pima_data!$F$1:$F$768))/(MAX(pima_data!$F$1:$F$768)-MIN(pima_data!$F$1:$F$768))</f>
        <v>0.487332339791356</v>
      </c>
      <c r="G332" s="5">
        <f>(pima_data!G332-MIN(pima_data!$G$1:$G$768))/(MAX(pima_data!$G$1:$G$768)-MIN(pima_data!$G$1:$G$768))</f>
        <v>0.0375747224594364</v>
      </c>
      <c r="H332" s="5">
        <f>(pima_data!H332-MIN(pima_data!$H$1:$H$768))/(MAX(pima_data!$H$1:$H$768)-MIN(pima_data!$H$1:$H$768))</f>
        <v>0.0666666666666667</v>
      </c>
    </row>
    <row r="333" spans="1:8">
      <c r="A333" s="5">
        <f>(pima_data!A333-MIN(pima_data!$A$1:$A$768))/(MAX(pima_data!$A$1:$A$768)-MIN(pima_data!$A$1:$A$768))</f>
        <v>0.0588235294117647</v>
      </c>
      <c r="B333" s="5">
        <f>(pima_data!B333-MIN(pima_data!$B$1:$B$768))/(MAX(pima_data!$B$1:$B$768)-MIN(pima_data!$B$1:$B$768))</f>
        <v>0.904522613065327</v>
      </c>
      <c r="C333" s="5">
        <f>(pima_data!C333-MIN(pima_data!$C$1:$C$768))/(MAX(pima_data!$C$1:$C$768)-MIN(pima_data!$C$1:$C$768))</f>
        <v>0</v>
      </c>
      <c r="D333" s="5">
        <f>(pima_data!D333-MIN(pima_data!$D$1:$D$768))/(MAX(pima_data!$D$1:$D$768)-MIN(pima_data!$D$1:$D$768))</f>
        <v>0</v>
      </c>
      <c r="E333" s="5">
        <f>(pima_data!E333-MIN(pima_data!$E$1:$E$768))/(MAX(pima_data!$E$1:$E$768)-MIN(pima_data!$E$1:$E$768))</f>
        <v>0</v>
      </c>
      <c r="F333" s="5">
        <f>(pima_data!F333-MIN(pima_data!$F$1:$F$768))/(MAX(pima_data!$F$1:$F$768)-MIN(pima_data!$F$1:$F$768))</f>
        <v>0.645305514157973</v>
      </c>
      <c r="G333" s="5">
        <f>(pima_data!G333-MIN(pima_data!$G$1:$G$768))/(MAX(pima_data!$G$1:$G$768)-MIN(pima_data!$G$1:$G$768))</f>
        <v>0.0871050384286934</v>
      </c>
      <c r="H333" s="5">
        <f>(pima_data!H333-MIN(pima_data!$H$1:$H$768))/(MAX(pima_data!$H$1:$H$768)-MIN(pima_data!$H$1:$H$768))</f>
        <v>0.333333333333333</v>
      </c>
    </row>
    <row r="334" spans="1:8">
      <c r="A334" s="5">
        <f>(pima_data!A334-MIN(pima_data!$A$1:$A$768))/(MAX(pima_data!$A$1:$A$768)-MIN(pima_data!$A$1:$A$768))</f>
        <v>0.705882352941177</v>
      </c>
      <c r="B334" s="5">
        <f>(pima_data!B334-MIN(pima_data!$B$1:$B$768))/(MAX(pima_data!$B$1:$B$768)-MIN(pima_data!$B$1:$B$768))</f>
        <v>0.532663316582915</v>
      </c>
      <c r="C334" s="5">
        <f>(pima_data!C334-MIN(pima_data!$C$1:$C$768))/(MAX(pima_data!$C$1:$C$768)-MIN(pima_data!$C$1:$C$768))</f>
        <v>0.655737704918033</v>
      </c>
      <c r="D334" s="5">
        <f>(pima_data!D334-MIN(pima_data!$D$1:$D$768))/(MAX(pima_data!$D$1:$D$768)-MIN(pima_data!$D$1:$D$768))</f>
        <v>0</v>
      </c>
      <c r="E334" s="5">
        <f>(pima_data!E334-MIN(pima_data!$E$1:$E$768))/(MAX(pima_data!$E$1:$E$768)-MIN(pima_data!$E$1:$E$768))</f>
        <v>0</v>
      </c>
      <c r="F334" s="5">
        <f>(pima_data!F334-MIN(pima_data!$F$1:$F$768))/(MAX(pima_data!$F$1:$F$768)-MIN(pima_data!$F$1:$F$768))</f>
        <v>0.351713859910581</v>
      </c>
      <c r="G334" s="5">
        <f>(pima_data!G334-MIN(pima_data!$G$1:$G$768))/(MAX(pima_data!$G$1:$G$768)-MIN(pima_data!$G$1:$G$768))</f>
        <v>0.0251921434671221</v>
      </c>
      <c r="H334" s="5">
        <f>(pima_data!H334-MIN(pima_data!$H$1:$H$768))/(MAX(pima_data!$H$1:$H$768)-MIN(pima_data!$H$1:$H$768))</f>
        <v>0.383333333333333</v>
      </c>
    </row>
    <row r="335" spans="1:8">
      <c r="A335" s="5">
        <f>(pima_data!A335-MIN(pima_data!$A$1:$A$768))/(MAX(pima_data!$A$1:$A$768)-MIN(pima_data!$A$1:$A$768))</f>
        <v>0.0588235294117647</v>
      </c>
      <c r="B335" s="5">
        <f>(pima_data!B335-MIN(pima_data!$B$1:$B$768))/(MAX(pima_data!$B$1:$B$768)-MIN(pima_data!$B$1:$B$768))</f>
        <v>0.477386934673367</v>
      </c>
      <c r="C335" s="5">
        <f>(pima_data!C335-MIN(pima_data!$C$1:$C$768))/(MAX(pima_data!$C$1:$C$768)-MIN(pima_data!$C$1:$C$768))</f>
        <v>0.491803278688525</v>
      </c>
      <c r="D335" s="5">
        <f>(pima_data!D335-MIN(pima_data!$D$1:$D$768))/(MAX(pima_data!$D$1:$D$768)-MIN(pima_data!$D$1:$D$768))</f>
        <v>0.181818181818182</v>
      </c>
      <c r="E335" s="5">
        <f>(pima_data!E335-MIN(pima_data!$E$1:$E$768))/(MAX(pima_data!$E$1:$E$768)-MIN(pima_data!$E$1:$E$768))</f>
        <v>0.0685579196217494</v>
      </c>
      <c r="F335" s="5">
        <f>(pima_data!F335-MIN(pima_data!$F$1:$F$768))/(MAX(pima_data!$F$1:$F$768)-MIN(pima_data!$F$1:$F$768))</f>
        <v>0.35618479880775</v>
      </c>
      <c r="G335" s="5">
        <f>(pima_data!G335-MIN(pima_data!$G$1:$G$768))/(MAX(pima_data!$G$1:$G$768)-MIN(pima_data!$G$1:$G$768))</f>
        <v>0.0777113578138343</v>
      </c>
      <c r="H335" s="5">
        <f>(pima_data!H335-MIN(pima_data!$H$1:$H$768))/(MAX(pima_data!$H$1:$H$768)-MIN(pima_data!$H$1:$H$768))</f>
        <v>0.0166666666666667</v>
      </c>
    </row>
    <row r="336" spans="1:8">
      <c r="A336" s="5">
        <f>(pima_data!A336-MIN(pima_data!$A$1:$A$768))/(MAX(pima_data!$A$1:$A$768)-MIN(pima_data!$A$1:$A$768))</f>
        <v>0</v>
      </c>
      <c r="B336" s="5">
        <f>(pima_data!B336-MIN(pima_data!$B$1:$B$768))/(MAX(pima_data!$B$1:$B$768)-MIN(pima_data!$B$1:$B$768))</f>
        <v>0.829145728643216</v>
      </c>
      <c r="C336" s="5">
        <f>(pima_data!C336-MIN(pima_data!$C$1:$C$768))/(MAX(pima_data!$C$1:$C$768)-MIN(pima_data!$C$1:$C$768))</f>
        <v>0.622950819672131</v>
      </c>
      <c r="D336" s="5">
        <f>(pima_data!D336-MIN(pima_data!$D$1:$D$768))/(MAX(pima_data!$D$1:$D$768)-MIN(pima_data!$D$1:$D$768))</f>
        <v>0.434343434343434</v>
      </c>
      <c r="E336" s="5">
        <f>(pima_data!E336-MIN(pima_data!$E$1:$E$768))/(MAX(pima_data!$E$1:$E$768)-MIN(pima_data!$E$1:$E$768))</f>
        <v>0.301418439716312</v>
      </c>
      <c r="F336" s="5">
        <f>(pima_data!F336-MIN(pima_data!$F$1:$F$768))/(MAX(pima_data!$F$1:$F$768)-MIN(pima_data!$F$1:$F$768))</f>
        <v>0.713859910581222</v>
      </c>
      <c r="G336" s="5">
        <f>(pima_data!G336-MIN(pima_data!$G$1:$G$768))/(MAX(pima_data!$G$1:$G$768)-MIN(pima_data!$G$1:$G$768))</f>
        <v>0.0772843723313407</v>
      </c>
      <c r="H336" s="5">
        <f>(pima_data!H336-MIN(pima_data!$H$1:$H$768))/(MAX(pima_data!$H$1:$H$768)-MIN(pima_data!$H$1:$H$768))</f>
        <v>0.0833333333333333</v>
      </c>
    </row>
    <row r="337" spans="1:8">
      <c r="A337" s="5">
        <f>(pima_data!A337-MIN(pima_data!$A$1:$A$768))/(MAX(pima_data!$A$1:$A$768)-MIN(pima_data!$A$1:$A$768))</f>
        <v>0</v>
      </c>
      <c r="B337" s="5">
        <f>(pima_data!B337-MIN(pima_data!$B$1:$B$768))/(MAX(pima_data!$B$1:$B$768)-MIN(pima_data!$B$1:$B$768))</f>
        <v>0.587939698492462</v>
      </c>
      <c r="C337" s="5">
        <f>(pima_data!C337-MIN(pima_data!$C$1:$C$768))/(MAX(pima_data!$C$1:$C$768)-MIN(pima_data!$C$1:$C$768))</f>
        <v>0</v>
      </c>
      <c r="D337" s="5">
        <f>(pima_data!D337-MIN(pima_data!$D$1:$D$768))/(MAX(pima_data!$D$1:$D$768)-MIN(pima_data!$D$1:$D$768))</f>
        <v>0</v>
      </c>
      <c r="E337" s="5">
        <f>(pima_data!E337-MIN(pima_data!$E$1:$E$768))/(MAX(pima_data!$E$1:$E$768)-MIN(pima_data!$E$1:$E$768))</f>
        <v>0</v>
      </c>
      <c r="F337" s="5">
        <f>(pima_data!F337-MIN(pima_data!$F$1:$F$768))/(MAX(pima_data!$F$1:$F$768)-MIN(pima_data!$F$1:$F$768))</f>
        <v>0.503725782414307</v>
      </c>
      <c r="G337" s="5">
        <f>(pima_data!G337-MIN(pima_data!$G$1:$G$768))/(MAX(pima_data!$G$1:$G$768)-MIN(pima_data!$G$1:$G$768))</f>
        <v>0.36464560204953</v>
      </c>
      <c r="H337" s="5">
        <f>(pima_data!H337-MIN(pima_data!$H$1:$H$768))/(MAX(pima_data!$H$1:$H$768)-MIN(pima_data!$H$1:$H$768))</f>
        <v>0.383333333333333</v>
      </c>
    </row>
    <row r="338" spans="1:8">
      <c r="A338" s="5">
        <f>(pima_data!A338-MIN(pima_data!$A$1:$A$768))/(MAX(pima_data!$A$1:$A$768)-MIN(pima_data!$A$1:$A$768))</f>
        <v>0.294117647058824</v>
      </c>
      <c r="B338" s="5">
        <f>(pima_data!B338-MIN(pima_data!$B$1:$B$768))/(MAX(pima_data!$B$1:$B$768)-MIN(pima_data!$B$1:$B$768))</f>
        <v>0.577889447236181</v>
      </c>
      <c r="C338" s="5">
        <f>(pima_data!C338-MIN(pima_data!$C$1:$C$768))/(MAX(pima_data!$C$1:$C$768)-MIN(pima_data!$C$1:$C$768))</f>
        <v>0.622950819672131</v>
      </c>
      <c r="D338" s="5">
        <f>(pima_data!D338-MIN(pima_data!$D$1:$D$768))/(MAX(pima_data!$D$1:$D$768)-MIN(pima_data!$D$1:$D$768))</f>
        <v>0</v>
      </c>
      <c r="E338" s="5">
        <f>(pima_data!E338-MIN(pima_data!$E$1:$E$768))/(MAX(pima_data!$E$1:$E$768)-MIN(pima_data!$E$1:$E$768))</f>
        <v>0</v>
      </c>
      <c r="F338" s="5">
        <f>(pima_data!F338-MIN(pima_data!$F$1:$F$768))/(MAX(pima_data!$F$1:$F$768)-MIN(pima_data!$F$1:$F$768))</f>
        <v>0.464977645305514</v>
      </c>
      <c r="G338" s="5">
        <f>(pima_data!G338-MIN(pima_data!$G$1:$G$768))/(MAX(pima_data!$G$1:$G$768)-MIN(pima_data!$G$1:$G$768))</f>
        <v>0.113151152860803</v>
      </c>
      <c r="H338" s="5">
        <f>(pima_data!H338-MIN(pima_data!$H$1:$H$768))/(MAX(pima_data!$H$1:$H$768)-MIN(pima_data!$H$1:$H$768))</f>
        <v>0.383333333333333</v>
      </c>
    </row>
    <row r="339" spans="1:8">
      <c r="A339" s="5">
        <f>(pima_data!A339-MIN(pima_data!$A$1:$A$768))/(MAX(pima_data!$A$1:$A$768)-MIN(pima_data!$A$1:$A$768))</f>
        <v>0.529411764705882</v>
      </c>
      <c r="B339" s="5">
        <f>(pima_data!B339-MIN(pima_data!$B$1:$B$768))/(MAX(pima_data!$B$1:$B$768)-MIN(pima_data!$B$1:$B$768))</f>
        <v>0.763819095477387</v>
      </c>
      <c r="C339" s="5">
        <f>(pima_data!C339-MIN(pima_data!$C$1:$C$768))/(MAX(pima_data!$C$1:$C$768)-MIN(pima_data!$C$1:$C$768))</f>
        <v>0.639344262295082</v>
      </c>
      <c r="D339" s="5">
        <f>(pima_data!D339-MIN(pima_data!$D$1:$D$768))/(MAX(pima_data!$D$1:$D$768)-MIN(pima_data!$D$1:$D$768))</f>
        <v>0.343434343434343</v>
      </c>
      <c r="E339" s="5">
        <f>(pima_data!E339-MIN(pima_data!$E$1:$E$768))/(MAX(pima_data!$E$1:$E$768)-MIN(pima_data!$E$1:$E$768))</f>
        <v>0.202127659574468</v>
      </c>
      <c r="F339" s="5">
        <f>(pima_data!F339-MIN(pima_data!$F$1:$F$768))/(MAX(pima_data!$F$1:$F$768)-MIN(pima_data!$F$1:$F$768))</f>
        <v>0.509687034277198</v>
      </c>
      <c r="G339" s="5">
        <f>(pima_data!G339-MIN(pima_data!$G$1:$G$768))/(MAX(pima_data!$G$1:$G$768)-MIN(pima_data!$G$1:$G$768))</f>
        <v>0.34799316823228</v>
      </c>
      <c r="H339" s="5">
        <f>(pima_data!H339-MIN(pima_data!$H$1:$H$768))/(MAX(pima_data!$H$1:$H$768)-MIN(pima_data!$H$1:$H$768))</f>
        <v>0.2</v>
      </c>
    </row>
    <row r="340" spans="1:8">
      <c r="A340" s="5">
        <f>(pima_data!A340-MIN(pima_data!$A$1:$A$768))/(MAX(pima_data!$A$1:$A$768)-MIN(pima_data!$A$1:$A$768))</f>
        <v>0.411764705882353</v>
      </c>
      <c r="B340" s="5">
        <f>(pima_data!B340-MIN(pima_data!$B$1:$B$768))/(MAX(pima_data!$B$1:$B$768)-MIN(pima_data!$B$1:$B$768))</f>
        <v>0.894472361809045</v>
      </c>
      <c r="C340" s="5">
        <f>(pima_data!C340-MIN(pima_data!$C$1:$C$768))/(MAX(pima_data!$C$1:$C$768)-MIN(pima_data!$C$1:$C$768))</f>
        <v>0.688524590163934</v>
      </c>
      <c r="D340" s="5">
        <f>(pima_data!D340-MIN(pima_data!$D$1:$D$768))/(MAX(pima_data!$D$1:$D$768)-MIN(pima_data!$D$1:$D$768))</f>
        <v>0</v>
      </c>
      <c r="E340" s="5">
        <f>(pima_data!E340-MIN(pima_data!$E$1:$E$768))/(MAX(pima_data!$E$1:$E$768)-MIN(pima_data!$E$1:$E$768))</f>
        <v>0</v>
      </c>
      <c r="F340" s="5">
        <f>(pima_data!F340-MIN(pima_data!$F$1:$F$768))/(MAX(pima_data!$F$1:$F$768)-MIN(pima_data!$F$1:$F$768))</f>
        <v>0.594634873323398</v>
      </c>
      <c r="G340" s="5">
        <f>(pima_data!G340-MIN(pima_data!$G$1:$G$768))/(MAX(pima_data!$G$1:$G$768)-MIN(pima_data!$G$1:$G$768))</f>
        <v>0.10802732707088</v>
      </c>
      <c r="H340" s="5">
        <f>(pima_data!H340-MIN(pima_data!$H$1:$H$768))/(MAX(pima_data!$H$1:$H$768)-MIN(pima_data!$H$1:$H$768))</f>
        <v>0.333333333333333</v>
      </c>
    </row>
    <row r="341" spans="1:8">
      <c r="A341" s="5">
        <f>(pima_data!A341-MIN(pima_data!$A$1:$A$768))/(MAX(pima_data!$A$1:$A$768)-MIN(pima_data!$A$1:$A$768))</f>
        <v>0.0588235294117647</v>
      </c>
      <c r="B341" s="5">
        <f>(pima_data!B341-MIN(pima_data!$B$1:$B$768))/(MAX(pima_data!$B$1:$B$768)-MIN(pima_data!$B$1:$B$768))</f>
        <v>0.653266331658292</v>
      </c>
      <c r="C341" s="5">
        <f>(pima_data!C341-MIN(pima_data!$C$1:$C$768))/(MAX(pima_data!$C$1:$C$768)-MIN(pima_data!$C$1:$C$768))</f>
        <v>0.573770491803279</v>
      </c>
      <c r="D341" s="5">
        <f>(pima_data!D341-MIN(pima_data!$D$1:$D$768))/(MAX(pima_data!$D$1:$D$768)-MIN(pima_data!$D$1:$D$768))</f>
        <v>0.131313131313131</v>
      </c>
      <c r="E341" s="5">
        <f>(pima_data!E341-MIN(pima_data!$E$1:$E$768))/(MAX(pima_data!$E$1:$E$768)-MIN(pima_data!$E$1:$E$768))</f>
        <v>0.124113475177305</v>
      </c>
      <c r="F341" s="5">
        <f>(pima_data!F341-MIN(pima_data!$F$1:$F$768))/(MAX(pima_data!$F$1:$F$768)-MIN(pima_data!$F$1:$F$768))</f>
        <v>0.385991058122206</v>
      </c>
      <c r="G341" s="5">
        <f>(pima_data!G341-MIN(pima_data!$G$1:$G$768))/(MAX(pima_data!$G$1:$G$768)-MIN(pima_data!$G$1:$G$768))</f>
        <v>0.168232280102476</v>
      </c>
      <c r="H341" s="5">
        <f>(pima_data!H341-MIN(pima_data!$H$1:$H$768))/(MAX(pima_data!$H$1:$H$768)-MIN(pima_data!$H$1:$H$768))</f>
        <v>0.0166666666666667</v>
      </c>
    </row>
    <row r="342" spans="1:8">
      <c r="A342" s="5">
        <f>(pima_data!A342-MIN(pima_data!$A$1:$A$768))/(MAX(pima_data!$A$1:$A$768)-MIN(pima_data!$A$1:$A$768))</f>
        <v>0.0588235294117647</v>
      </c>
      <c r="B342" s="5">
        <f>(pima_data!B342-MIN(pima_data!$B$1:$B$768))/(MAX(pima_data!$B$1:$B$768)-MIN(pima_data!$B$1:$B$768))</f>
        <v>0.477386934673367</v>
      </c>
      <c r="C342" s="5">
        <f>(pima_data!C342-MIN(pima_data!$C$1:$C$768))/(MAX(pima_data!$C$1:$C$768)-MIN(pima_data!$C$1:$C$768))</f>
        <v>0.60655737704918</v>
      </c>
      <c r="D342" s="5">
        <f>(pima_data!D342-MIN(pima_data!$D$1:$D$768))/(MAX(pima_data!$D$1:$D$768)-MIN(pima_data!$D$1:$D$768))</f>
        <v>0.212121212121212</v>
      </c>
      <c r="E342" s="5">
        <f>(pima_data!E342-MIN(pima_data!$E$1:$E$768))/(MAX(pima_data!$E$1:$E$768)-MIN(pima_data!$E$1:$E$768))</f>
        <v>0.0862884160756501</v>
      </c>
      <c r="F342" s="5">
        <f>(pima_data!F342-MIN(pima_data!$F$1:$F$768))/(MAX(pima_data!$F$1:$F$768)-MIN(pima_data!$F$1:$F$768))</f>
        <v>0.385991058122206</v>
      </c>
      <c r="G342" s="5">
        <f>(pima_data!G342-MIN(pima_data!$G$1:$G$768))/(MAX(pima_data!$G$1:$G$768)-MIN(pima_data!$G$1:$G$768))</f>
        <v>0.254056362083689</v>
      </c>
      <c r="H342" s="5">
        <f>(pima_data!H342-MIN(pima_data!$H$1:$H$768))/(MAX(pima_data!$H$1:$H$768)-MIN(pima_data!$H$1:$H$768))</f>
        <v>0.25</v>
      </c>
    </row>
    <row r="343" spans="1:8">
      <c r="A343" s="5">
        <f>(pima_data!A343-MIN(pima_data!$A$1:$A$768))/(MAX(pima_data!$A$1:$A$768)-MIN(pima_data!$A$1:$A$768))</f>
        <v>0.0588235294117647</v>
      </c>
      <c r="B343" s="5">
        <f>(pima_data!B343-MIN(pima_data!$B$1:$B$768))/(MAX(pima_data!$B$1:$B$768)-MIN(pima_data!$B$1:$B$768))</f>
        <v>0</v>
      </c>
      <c r="C343" s="5">
        <f>(pima_data!C343-MIN(pima_data!$C$1:$C$768))/(MAX(pima_data!$C$1:$C$768)-MIN(pima_data!$C$1:$C$768))</f>
        <v>0.557377049180328</v>
      </c>
      <c r="D343" s="5">
        <f>(pima_data!D343-MIN(pima_data!$D$1:$D$768))/(MAX(pima_data!$D$1:$D$768)-MIN(pima_data!$D$1:$D$768))</f>
        <v>0.353535353535354</v>
      </c>
      <c r="E343" s="5">
        <f>(pima_data!E343-MIN(pima_data!$E$1:$E$768))/(MAX(pima_data!$E$1:$E$768)-MIN(pima_data!$E$1:$E$768))</f>
        <v>0</v>
      </c>
      <c r="F343" s="5">
        <f>(pima_data!F343-MIN(pima_data!$F$1:$F$768))/(MAX(pima_data!$F$1:$F$768)-MIN(pima_data!$F$1:$F$768))</f>
        <v>0.476900149031297</v>
      </c>
      <c r="G343" s="5">
        <f>(pima_data!G343-MIN(pima_data!$G$1:$G$768))/(MAX(pima_data!$G$1:$G$768)-MIN(pima_data!$G$1:$G$768))</f>
        <v>0.132792485055508</v>
      </c>
      <c r="H343" s="5">
        <f>(pima_data!H343-MIN(pima_data!$H$1:$H$768))/(MAX(pima_data!$H$1:$H$768)-MIN(pima_data!$H$1:$H$768))</f>
        <v>0.0166666666666667</v>
      </c>
    </row>
    <row r="344" spans="1:8">
      <c r="A344" s="5">
        <f>(pima_data!A344-MIN(pima_data!$A$1:$A$768))/(MAX(pima_data!$A$1:$A$768)-MIN(pima_data!$A$1:$A$768))</f>
        <v>0.294117647058824</v>
      </c>
      <c r="B344" s="5">
        <f>(pima_data!B344-MIN(pima_data!$B$1:$B$768))/(MAX(pima_data!$B$1:$B$768)-MIN(pima_data!$B$1:$B$768))</f>
        <v>0.613065326633166</v>
      </c>
      <c r="C344" s="5">
        <f>(pima_data!C344-MIN(pima_data!$C$1:$C$768))/(MAX(pima_data!$C$1:$C$768)-MIN(pima_data!$C$1:$C$768))</f>
        <v>0.704918032786885</v>
      </c>
      <c r="D344" s="5">
        <f>(pima_data!D344-MIN(pima_data!$D$1:$D$768))/(MAX(pima_data!$D$1:$D$768)-MIN(pima_data!$D$1:$D$768))</f>
        <v>0</v>
      </c>
      <c r="E344" s="5">
        <f>(pima_data!E344-MIN(pima_data!$E$1:$E$768))/(MAX(pima_data!$E$1:$E$768)-MIN(pima_data!$E$1:$E$768))</f>
        <v>0</v>
      </c>
      <c r="F344" s="5">
        <f>(pima_data!F344-MIN(pima_data!$F$1:$F$768))/(MAX(pima_data!$F$1:$F$768)-MIN(pima_data!$F$1:$F$768))</f>
        <v>0.517138599105812</v>
      </c>
      <c r="G344" s="5">
        <f>(pima_data!G344-MIN(pima_data!$G$1:$G$768))/(MAX(pima_data!$G$1:$G$768)-MIN(pima_data!$G$1:$G$768))</f>
        <v>0.0905209222886422</v>
      </c>
      <c r="H344" s="5">
        <f>(pima_data!H344-MIN(pima_data!$H$1:$H$768))/(MAX(pima_data!$H$1:$H$768)-MIN(pima_data!$H$1:$H$768))</f>
        <v>0.2</v>
      </c>
    </row>
    <row r="345" spans="1:8">
      <c r="A345" s="5">
        <f>(pima_data!A345-MIN(pima_data!$A$1:$A$768))/(MAX(pima_data!$A$1:$A$768)-MIN(pima_data!$A$1:$A$768))</f>
        <v>0.470588235294118</v>
      </c>
      <c r="B345" s="5">
        <f>(pima_data!B345-MIN(pima_data!$B$1:$B$768))/(MAX(pima_data!$B$1:$B$768)-MIN(pima_data!$B$1:$B$768))</f>
        <v>0.477386934673367</v>
      </c>
      <c r="C345" s="5">
        <f>(pima_data!C345-MIN(pima_data!$C$1:$C$768))/(MAX(pima_data!$C$1:$C$768)-MIN(pima_data!$C$1:$C$768))</f>
        <v>0.590163934426229</v>
      </c>
      <c r="D345" s="5">
        <f>(pima_data!D345-MIN(pima_data!$D$1:$D$768))/(MAX(pima_data!$D$1:$D$768)-MIN(pima_data!$D$1:$D$768))</f>
        <v>0</v>
      </c>
      <c r="E345" s="5">
        <f>(pima_data!E345-MIN(pima_data!$E$1:$E$768))/(MAX(pima_data!$E$1:$E$768)-MIN(pima_data!$E$1:$E$768))</f>
        <v>0</v>
      </c>
      <c r="F345" s="5">
        <f>(pima_data!F345-MIN(pima_data!$F$1:$F$768))/(MAX(pima_data!$F$1:$F$768)-MIN(pima_data!$F$1:$F$768))</f>
        <v>0.548435171385991</v>
      </c>
      <c r="G345" s="5">
        <f>(pima_data!G345-MIN(pima_data!$G$1:$G$768))/(MAX(pima_data!$G$1:$G$768)-MIN(pima_data!$G$1:$G$768))</f>
        <v>0.173783091374893</v>
      </c>
      <c r="H345" s="5">
        <f>(pima_data!H345-MIN(pima_data!$H$1:$H$768))/(MAX(pima_data!$H$1:$H$768)-MIN(pima_data!$H$1:$H$768))</f>
        <v>0.6</v>
      </c>
    </row>
    <row r="346" spans="1:8">
      <c r="A346" s="5">
        <f>(pima_data!A346-MIN(pima_data!$A$1:$A$768))/(MAX(pima_data!$A$1:$A$768)-MIN(pima_data!$A$1:$A$768))</f>
        <v>0.470588235294118</v>
      </c>
      <c r="B346" s="5">
        <f>(pima_data!B346-MIN(pima_data!$B$1:$B$768))/(MAX(pima_data!$B$1:$B$768)-MIN(pima_data!$B$1:$B$768))</f>
        <v>0.633165829145729</v>
      </c>
      <c r="C346" s="5">
        <f>(pima_data!C346-MIN(pima_data!$C$1:$C$768))/(MAX(pima_data!$C$1:$C$768)-MIN(pima_data!$C$1:$C$768))</f>
        <v>0.721311475409836</v>
      </c>
      <c r="D346" s="5">
        <f>(pima_data!D346-MIN(pima_data!$D$1:$D$768))/(MAX(pima_data!$D$1:$D$768)-MIN(pima_data!$D$1:$D$768))</f>
        <v>0.363636363636364</v>
      </c>
      <c r="E346" s="5">
        <f>(pima_data!E346-MIN(pima_data!$E$1:$E$768))/(MAX(pima_data!$E$1:$E$768)-MIN(pima_data!$E$1:$E$768))</f>
        <v>0.127659574468085</v>
      </c>
      <c r="F346" s="5">
        <f>(pima_data!F346-MIN(pima_data!$F$1:$F$768))/(MAX(pima_data!$F$1:$F$768)-MIN(pima_data!$F$1:$F$768))</f>
        <v>0.573770491803279</v>
      </c>
      <c r="G346" s="5">
        <f>(pima_data!G346-MIN(pima_data!$G$1:$G$768))/(MAX(pima_data!$G$1:$G$768)-MIN(pima_data!$G$1:$G$768))</f>
        <v>0.115713065755764</v>
      </c>
      <c r="H346" s="5">
        <f>(pima_data!H346-MIN(pima_data!$H$1:$H$768))/(MAX(pima_data!$H$1:$H$768)-MIN(pima_data!$H$1:$H$768))</f>
        <v>0.466666666666667</v>
      </c>
    </row>
    <row r="347" spans="1:8">
      <c r="A347" s="5">
        <f>(pima_data!A347-MIN(pima_data!$A$1:$A$768))/(MAX(pima_data!$A$1:$A$768)-MIN(pima_data!$A$1:$A$768))</f>
        <v>0.0588235294117647</v>
      </c>
      <c r="B347" s="5">
        <f>(pima_data!B347-MIN(pima_data!$B$1:$B$768))/(MAX(pima_data!$B$1:$B$768)-MIN(pima_data!$B$1:$B$768))</f>
        <v>0.698492462311558</v>
      </c>
      <c r="C347" s="5">
        <f>(pima_data!C347-MIN(pima_data!$C$1:$C$768))/(MAX(pima_data!$C$1:$C$768)-MIN(pima_data!$C$1:$C$768))</f>
        <v>0.377049180327869</v>
      </c>
      <c r="D347" s="5">
        <f>(pima_data!D347-MIN(pima_data!$D$1:$D$768))/(MAX(pima_data!$D$1:$D$768)-MIN(pima_data!$D$1:$D$768))</f>
        <v>0.191919191919192</v>
      </c>
      <c r="E347" s="5">
        <f>(pima_data!E347-MIN(pima_data!$E$1:$E$768))/(MAX(pima_data!$E$1:$E$768)-MIN(pima_data!$E$1:$E$768))</f>
        <v>0.0981087470449173</v>
      </c>
      <c r="F347" s="5">
        <f>(pima_data!F347-MIN(pima_data!$F$1:$F$768))/(MAX(pima_data!$F$1:$F$768)-MIN(pima_data!$F$1:$F$768))</f>
        <v>0.427719821162444</v>
      </c>
      <c r="G347" s="5">
        <f>(pima_data!G347-MIN(pima_data!$G$1:$G$768))/(MAX(pima_data!$G$1:$G$768)-MIN(pima_data!$G$1:$G$768))</f>
        <v>0.245943637916311</v>
      </c>
      <c r="H347" s="5">
        <f>(pima_data!H347-MIN(pima_data!$H$1:$H$768))/(MAX(pima_data!$H$1:$H$768)-MIN(pima_data!$H$1:$H$768))</f>
        <v>0.0166666666666667</v>
      </c>
    </row>
    <row r="348" spans="1:8">
      <c r="A348" s="5">
        <f>(pima_data!A348-MIN(pima_data!$A$1:$A$768))/(MAX(pima_data!$A$1:$A$768)-MIN(pima_data!$A$1:$A$768))</f>
        <v>0.176470588235294</v>
      </c>
      <c r="B348" s="5">
        <f>(pima_data!B348-MIN(pima_data!$B$1:$B$768))/(MAX(pima_data!$B$1:$B$768)-MIN(pima_data!$B$1:$B$768))</f>
        <v>0.582914572864322</v>
      </c>
      <c r="C348" s="5">
        <f>(pima_data!C348-MIN(pima_data!$C$1:$C$768))/(MAX(pima_data!$C$1:$C$768)-MIN(pima_data!$C$1:$C$768))</f>
        <v>0</v>
      </c>
      <c r="D348" s="5">
        <f>(pima_data!D348-MIN(pima_data!$D$1:$D$768))/(MAX(pima_data!$D$1:$D$768)-MIN(pima_data!$D$1:$D$768))</f>
        <v>0</v>
      </c>
      <c r="E348" s="5">
        <f>(pima_data!E348-MIN(pima_data!$E$1:$E$768))/(MAX(pima_data!$E$1:$E$768)-MIN(pima_data!$E$1:$E$768))</f>
        <v>0</v>
      </c>
      <c r="F348" s="5">
        <f>(pima_data!F348-MIN(pima_data!$F$1:$F$768))/(MAX(pima_data!$F$1:$F$768)-MIN(pima_data!$F$1:$F$768))</f>
        <v>0.350223546944858</v>
      </c>
      <c r="G348" s="5">
        <f>(pima_data!G348-MIN(pima_data!$G$1:$G$768))/(MAX(pima_data!$G$1:$G$768)-MIN(pima_data!$G$1:$G$768))</f>
        <v>0.0465414175918019</v>
      </c>
      <c r="H348" s="5">
        <f>(pima_data!H348-MIN(pima_data!$H$1:$H$768))/(MAX(pima_data!$H$1:$H$768)-MIN(pima_data!$H$1:$H$768))</f>
        <v>0.0333333333333333</v>
      </c>
    </row>
    <row r="349" spans="1:8">
      <c r="A349" s="5">
        <f>(pima_data!A349-MIN(pima_data!$A$1:$A$768))/(MAX(pima_data!$A$1:$A$768)-MIN(pima_data!$A$1:$A$768))</f>
        <v>0.176470588235294</v>
      </c>
      <c r="B349" s="5">
        <f>(pima_data!B349-MIN(pima_data!$B$1:$B$768))/(MAX(pima_data!$B$1:$B$768)-MIN(pima_data!$B$1:$B$768))</f>
        <v>0.49748743718593</v>
      </c>
      <c r="C349" s="5">
        <f>(pima_data!C349-MIN(pima_data!$C$1:$C$768))/(MAX(pima_data!$C$1:$C$768)-MIN(pima_data!$C$1:$C$768))</f>
        <v>0.508196721311475</v>
      </c>
      <c r="D349" s="5">
        <f>(pima_data!D349-MIN(pima_data!$D$1:$D$768))/(MAX(pima_data!$D$1:$D$768)-MIN(pima_data!$D$1:$D$768))</f>
        <v>0.191919191919192</v>
      </c>
      <c r="E349" s="5">
        <f>(pima_data!E349-MIN(pima_data!$E$1:$E$768))/(MAX(pima_data!$E$1:$E$768)-MIN(pima_data!$E$1:$E$768))</f>
        <v>0.0874704491725768</v>
      </c>
      <c r="F349" s="5">
        <f>(pima_data!F349-MIN(pima_data!$F$1:$F$768))/(MAX(pima_data!$F$1:$F$768)-MIN(pima_data!$F$1:$F$768))</f>
        <v>0.324888226527571</v>
      </c>
      <c r="G349" s="5">
        <f>(pima_data!G349-MIN(pima_data!$G$1:$G$768))/(MAX(pima_data!$G$1:$G$768)-MIN(pima_data!$G$1:$G$768))</f>
        <v>0.0858240819812126</v>
      </c>
      <c r="H349" s="5">
        <f>(pima_data!H349-MIN(pima_data!$H$1:$H$768))/(MAX(pima_data!$H$1:$H$768)-MIN(pima_data!$H$1:$H$768))</f>
        <v>0.0833333333333333</v>
      </c>
    </row>
    <row r="350" spans="1:8">
      <c r="A350" s="5">
        <f>(pima_data!A350-MIN(pima_data!$A$1:$A$768))/(MAX(pima_data!$A$1:$A$768)-MIN(pima_data!$A$1:$A$768))</f>
        <v>0.294117647058824</v>
      </c>
      <c r="B350" s="5">
        <f>(pima_data!B350-MIN(pima_data!$B$1:$B$768))/(MAX(pima_data!$B$1:$B$768)-MIN(pima_data!$B$1:$B$768))</f>
        <v>0</v>
      </c>
      <c r="C350" s="5">
        <f>(pima_data!C350-MIN(pima_data!$C$1:$C$768))/(MAX(pima_data!$C$1:$C$768)-MIN(pima_data!$C$1:$C$768))</f>
        <v>0.655737704918033</v>
      </c>
      <c r="D350" s="5">
        <f>(pima_data!D350-MIN(pima_data!$D$1:$D$768))/(MAX(pima_data!$D$1:$D$768)-MIN(pima_data!$D$1:$D$768))</f>
        <v>0.323232323232323</v>
      </c>
      <c r="E350" s="5">
        <f>(pima_data!E350-MIN(pima_data!$E$1:$E$768))/(MAX(pima_data!$E$1:$E$768)-MIN(pima_data!$E$1:$E$768))</f>
        <v>0</v>
      </c>
      <c r="F350" s="5">
        <f>(pima_data!F350-MIN(pima_data!$F$1:$F$768))/(MAX(pima_data!$F$1:$F$768)-MIN(pima_data!$F$1:$F$768))</f>
        <v>0.611028315946349</v>
      </c>
      <c r="G350" s="5">
        <f>(pima_data!G350-MIN(pima_data!$G$1:$G$768))/(MAX(pima_data!$G$1:$G$768)-MIN(pima_data!$G$1:$G$768))</f>
        <v>0.114432109308283</v>
      </c>
      <c r="H350" s="5">
        <f>(pima_data!H350-MIN(pima_data!$H$1:$H$768))/(MAX(pima_data!$H$1:$H$768)-MIN(pima_data!$H$1:$H$768))</f>
        <v>0.266666666666667</v>
      </c>
    </row>
    <row r="351" spans="1:8">
      <c r="A351" s="5">
        <f>(pima_data!A351-MIN(pima_data!$A$1:$A$768))/(MAX(pima_data!$A$1:$A$768)-MIN(pima_data!$A$1:$A$768))</f>
        <v>0.235294117647059</v>
      </c>
      <c r="B351" s="5">
        <f>(pima_data!B351-MIN(pima_data!$B$1:$B$768))/(MAX(pima_data!$B$1:$B$768)-MIN(pima_data!$B$1:$B$768))</f>
        <v>0.462311557788945</v>
      </c>
      <c r="C351" s="5">
        <f>(pima_data!C351-MIN(pima_data!$C$1:$C$768))/(MAX(pima_data!$C$1:$C$768)-MIN(pima_data!$C$1:$C$768))</f>
        <v>0.655737704918033</v>
      </c>
      <c r="D351" s="5">
        <f>(pima_data!D351-MIN(pima_data!$D$1:$D$768))/(MAX(pima_data!$D$1:$D$768)-MIN(pima_data!$D$1:$D$768))</f>
        <v>0</v>
      </c>
      <c r="E351" s="5">
        <f>(pima_data!E351-MIN(pima_data!$E$1:$E$768))/(MAX(pima_data!$E$1:$E$768)-MIN(pima_data!$E$1:$E$768))</f>
        <v>0</v>
      </c>
      <c r="F351" s="5">
        <f>(pima_data!F351-MIN(pima_data!$F$1:$F$768))/(MAX(pima_data!$F$1:$F$768)-MIN(pima_data!$F$1:$F$768))</f>
        <v>0.628912071535022</v>
      </c>
      <c r="G351" s="5">
        <f>(pima_data!G351-MIN(pima_data!$G$1:$G$768))/(MAX(pima_data!$G$1:$G$768)-MIN(pima_data!$G$1:$G$768))</f>
        <v>0.0678906917164816</v>
      </c>
      <c r="H351" s="5">
        <f>(pima_data!H351-MIN(pima_data!$H$1:$H$768))/(MAX(pima_data!$H$1:$H$768)-MIN(pima_data!$H$1:$H$768))</f>
        <v>0.133333333333333</v>
      </c>
    </row>
    <row r="352" spans="1:8">
      <c r="A352" s="5">
        <f>(pima_data!A352-MIN(pima_data!$A$1:$A$768))/(MAX(pima_data!$A$1:$A$768)-MIN(pima_data!$A$1:$A$768))</f>
        <v>0.235294117647059</v>
      </c>
      <c r="B352" s="5">
        <f>(pima_data!B352-MIN(pima_data!$B$1:$B$768))/(MAX(pima_data!$B$1:$B$768)-MIN(pima_data!$B$1:$B$768))</f>
        <v>0.688442211055276</v>
      </c>
      <c r="C352" s="5">
        <f>(pima_data!C352-MIN(pima_data!$C$1:$C$768))/(MAX(pima_data!$C$1:$C$768)-MIN(pima_data!$C$1:$C$768))</f>
        <v>0.688524590163934</v>
      </c>
      <c r="D352" s="5">
        <f>(pima_data!D352-MIN(pima_data!$D$1:$D$768))/(MAX(pima_data!$D$1:$D$768)-MIN(pima_data!$D$1:$D$768))</f>
        <v>0</v>
      </c>
      <c r="E352" s="5">
        <f>(pima_data!E352-MIN(pima_data!$E$1:$E$768))/(MAX(pima_data!$E$1:$E$768)-MIN(pima_data!$E$1:$E$768))</f>
        <v>0</v>
      </c>
      <c r="F352" s="5">
        <f>(pima_data!F352-MIN(pima_data!$F$1:$F$768))/(MAX(pima_data!$F$1:$F$768)-MIN(pima_data!$F$1:$F$768))</f>
        <v>0.464977645305514</v>
      </c>
      <c r="G352" s="5">
        <f>(pima_data!G352-MIN(pima_data!$G$1:$G$768))/(MAX(pima_data!$G$1:$G$768)-MIN(pima_data!$G$1:$G$768))</f>
        <v>0.0742954739538856</v>
      </c>
      <c r="H352" s="5">
        <f>(pima_data!H352-MIN(pima_data!$H$1:$H$768))/(MAX(pima_data!$H$1:$H$768)-MIN(pima_data!$H$1:$H$768))</f>
        <v>0.15</v>
      </c>
    </row>
    <row r="353" spans="1:8">
      <c r="A353" s="5">
        <f>(pima_data!A353-MIN(pima_data!$A$1:$A$768))/(MAX(pima_data!$A$1:$A$768)-MIN(pima_data!$A$1:$A$768))</f>
        <v>0.176470588235294</v>
      </c>
      <c r="B353" s="5">
        <f>(pima_data!B353-MIN(pima_data!$B$1:$B$768))/(MAX(pima_data!$B$1:$B$768)-MIN(pima_data!$B$1:$B$768))</f>
        <v>0.306532663316583</v>
      </c>
      <c r="C353" s="5">
        <f>(pima_data!C353-MIN(pima_data!$C$1:$C$768))/(MAX(pima_data!$C$1:$C$768)-MIN(pima_data!$C$1:$C$768))</f>
        <v>0.672131147540984</v>
      </c>
      <c r="D353" s="5">
        <f>(pima_data!D353-MIN(pima_data!$D$1:$D$768))/(MAX(pima_data!$D$1:$D$768)-MIN(pima_data!$D$1:$D$768))</f>
        <v>0.282828282828283</v>
      </c>
      <c r="E353" s="5">
        <f>(pima_data!E353-MIN(pima_data!$E$1:$E$768))/(MAX(pima_data!$E$1:$E$768)-MIN(pima_data!$E$1:$E$768))</f>
        <v>0</v>
      </c>
      <c r="F353" s="5">
        <f>(pima_data!F353-MIN(pima_data!$F$1:$F$768))/(MAX(pima_data!$F$1:$F$768)-MIN(pima_data!$F$1:$F$768))</f>
        <v>0.512667660208644</v>
      </c>
      <c r="G353" s="5">
        <f>(pima_data!G353-MIN(pima_data!$G$1:$G$768))/(MAX(pima_data!$G$1:$G$768)-MIN(pima_data!$G$1:$G$768))</f>
        <v>0.0704526046114432</v>
      </c>
      <c r="H353" s="5">
        <f>(pima_data!H353-MIN(pima_data!$H$1:$H$768))/(MAX(pima_data!$H$1:$H$768)-MIN(pima_data!$H$1:$H$768))</f>
        <v>0.416666666666667</v>
      </c>
    </row>
    <row r="354" spans="1:8">
      <c r="A354" s="5">
        <f>(pima_data!A354-MIN(pima_data!$A$1:$A$768))/(MAX(pima_data!$A$1:$A$768)-MIN(pima_data!$A$1:$A$768))</f>
        <v>0.0588235294117647</v>
      </c>
      <c r="B354" s="5">
        <f>(pima_data!B354-MIN(pima_data!$B$1:$B$768))/(MAX(pima_data!$B$1:$B$768)-MIN(pima_data!$B$1:$B$768))</f>
        <v>0.452261306532663</v>
      </c>
      <c r="C354" s="5">
        <f>(pima_data!C354-MIN(pima_data!$C$1:$C$768))/(MAX(pima_data!$C$1:$C$768)-MIN(pima_data!$C$1:$C$768))</f>
        <v>0.508196721311475</v>
      </c>
      <c r="D354" s="5">
        <f>(pima_data!D354-MIN(pima_data!$D$1:$D$768))/(MAX(pima_data!$D$1:$D$768)-MIN(pima_data!$D$1:$D$768))</f>
        <v>0.121212121212121</v>
      </c>
      <c r="E354" s="5">
        <f>(pima_data!E354-MIN(pima_data!$E$1:$E$768))/(MAX(pima_data!$E$1:$E$768)-MIN(pima_data!$E$1:$E$768))</f>
        <v>0.0508274231678487</v>
      </c>
      <c r="F354" s="5">
        <f>(pima_data!F354-MIN(pima_data!$F$1:$F$768))/(MAX(pima_data!$F$1:$F$768)-MIN(pima_data!$F$1:$F$768))</f>
        <v>0.405365126676602</v>
      </c>
      <c r="G354" s="5">
        <f>(pima_data!G354-MIN(pima_data!$G$1:$G$768))/(MAX(pima_data!$G$1:$G$768)-MIN(pima_data!$G$1:$G$768))</f>
        <v>0.214346712211785</v>
      </c>
      <c r="H354" s="5">
        <f>(pima_data!H354-MIN(pima_data!$H$1:$H$768))/(MAX(pima_data!$H$1:$H$768)-MIN(pima_data!$H$1:$H$768))</f>
        <v>0.05</v>
      </c>
    </row>
    <row r="355" spans="1:8">
      <c r="A355" s="5">
        <f>(pima_data!A355-MIN(pima_data!$A$1:$A$768))/(MAX(pima_data!$A$1:$A$768)-MIN(pima_data!$A$1:$A$768))</f>
        <v>0.176470588235294</v>
      </c>
      <c r="B355" s="5">
        <f>(pima_data!B355-MIN(pima_data!$B$1:$B$768))/(MAX(pima_data!$B$1:$B$768)-MIN(pima_data!$B$1:$B$768))</f>
        <v>0.452261306532663</v>
      </c>
      <c r="C355" s="5">
        <f>(pima_data!C355-MIN(pima_data!$C$1:$C$768))/(MAX(pima_data!$C$1:$C$768)-MIN(pima_data!$C$1:$C$768))</f>
        <v>0.639344262295082</v>
      </c>
      <c r="D355" s="5">
        <f>(pima_data!D355-MIN(pima_data!$D$1:$D$768))/(MAX(pima_data!$D$1:$D$768)-MIN(pima_data!$D$1:$D$768))</f>
        <v>0</v>
      </c>
      <c r="E355" s="5">
        <f>(pima_data!E355-MIN(pima_data!$E$1:$E$768))/(MAX(pima_data!$E$1:$E$768)-MIN(pima_data!$E$1:$E$768))</f>
        <v>0</v>
      </c>
      <c r="F355" s="5">
        <f>(pima_data!F355-MIN(pima_data!$F$1:$F$768))/(MAX(pima_data!$F$1:$F$768)-MIN(pima_data!$F$1:$F$768))</f>
        <v>0.636363636363636</v>
      </c>
      <c r="G355" s="5">
        <f>(pima_data!G355-MIN(pima_data!$G$1:$G$768))/(MAX(pima_data!$G$1:$G$768)-MIN(pima_data!$G$1:$G$768))</f>
        <v>0.205380017079419</v>
      </c>
      <c r="H355" s="5">
        <f>(pima_data!H355-MIN(pima_data!$H$1:$H$768))/(MAX(pima_data!$H$1:$H$768)-MIN(pima_data!$H$1:$H$768))</f>
        <v>0</v>
      </c>
    </row>
    <row r="356" spans="1:8">
      <c r="A356" s="5">
        <f>(pima_data!A356-MIN(pima_data!$A$1:$A$768))/(MAX(pima_data!$A$1:$A$768)-MIN(pima_data!$A$1:$A$768))</f>
        <v>0.529411764705882</v>
      </c>
      <c r="B356" s="5">
        <f>(pima_data!B356-MIN(pima_data!$B$1:$B$768))/(MAX(pima_data!$B$1:$B$768)-MIN(pima_data!$B$1:$B$768))</f>
        <v>0.829145728643216</v>
      </c>
      <c r="C356" s="5">
        <f>(pima_data!C356-MIN(pima_data!$C$1:$C$768))/(MAX(pima_data!$C$1:$C$768)-MIN(pima_data!$C$1:$C$768))</f>
        <v>0.721311475409836</v>
      </c>
      <c r="D356" s="5">
        <f>(pima_data!D356-MIN(pima_data!$D$1:$D$768))/(MAX(pima_data!$D$1:$D$768)-MIN(pima_data!$D$1:$D$768))</f>
        <v>0</v>
      </c>
      <c r="E356" s="5">
        <f>(pima_data!E356-MIN(pima_data!$E$1:$E$768))/(MAX(pima_data!$E$1:$E$768)-MIN(pima_data!$E$1:$E$768))</f>
        <v>0</v>
      </c>
      <c r="F356" s="5">
        <f>(pima_data!F356-MIN(pima_data!$F$1:$F$768))/(MAX(pima_data!$F$1:$F$768)-MIN(pima_data!$F$1:$F$768))</f>
        <v>0.453055141579732</v>
      </c>
      <c r="G356" s="5">
        <f>(pima_data!G356-MIN(pima_data!$G$1:$G$768))/(MAX(pima_data!$G$1:$G$768)-MIN(pima_data!$G$1:$G$768))</f>
        <v>0.0956447480785653</v>
      </c>
      <c r="H356" s="5">
        <f>(pima_data!H356-MIN(pima_data!$H$1:$H$768))/(MAX(pima_data!$H$1:$H$768)-MIN(pima_data!$H$1:$H$768))</f>
        <v>0.466666666666667</v>
      </c>
    </row>
    <row r="357" spans="1:8">
      <c r="A357" s="5">
        <f>(pima_data!A357-MIN(pima_data!$A$1:$A$768))/(MAX(pima_data!$A$1:$A$768)-MIN(pima_data!$A$1:$A$768))</f>
        <v>0.0588235294117647</v>
      </c>
      <c r="B357" s="5">
        <f>(pima_data!B357-MIN(pima_data!$B$1:$B$768))/(MAX(pima_data!$B$1:$B$768)-MIN(pima_data!$B$1:$B$768))</f>
        <v>0.628140703517588</v>
      </c>
      <c r="C357" s="5">
        <f>(pima_data!C357-MIN(pima_data!$C$1:$C$768))/(MAX(pima_data!$C$1:$C$768)-MIN(pima_data!$C$1:$C$768))</f>
        <v>0.409836065573771</v>
      </c>
      <c r="D357" s="5">
        <f>(pima_data!D357-MIN(pima_data!$D$1:$D$768))/(MAX(pima_data!$D$1:$D$768)-MIN(pima_data!$D$1:$D$768))</f>
        <v>0.404040404040404</v>
      </c>
      <c r="E357" s="5">
        <f>(pima_data!E357-MIN(pima_data!$E$1:$E$768))/(MAX(pima_data!$E$1:$E$768)-MIN(pima_data!$E$1:$E$768))</f>
        <v>0.197399527186761</v>
      </c>
      <c r="F357" s="5">
        <f>(pima_data!F357-MIN(pima_data!$F$1:$F$768))/(MAX(pima_data!$F$1:$F$768)-MIN(pima_data!$F$1:$F$768))</f>
        <v>0.496274217585693</v>
      </c>
      <c r="G357" s="5">
        <f>(pima_data!G357-MIN(pima_data!$G$1:$G$768))/(MAX(pima_data!$G$1:$G$768)-MIN(pima_data!$G$1:$G$768))</f>
        <v>0.377455166524338</v>
      </c>
      <c r="H357" s="5">
        <f>(pima_data!H357-MIN(pima_data!$H$1:$H$768))/(MAX(pima_data!$H$1:$H$768)-MIN(pima_data!$H$1:$H$768))</f>
        <v>0.116666666666667</v>
      </c>
    </row>
    <row r="358" spans="1:8">
      <c r="A358" s="5">
        <f>(pima_data!A358-MIN(pima_data!$A$1:$A$768))/(MAX(pima_data!$A$1:$A$768)-MIN(pima_data!$A$1:$A$768))</f>
        <v>0.764705882352941</v>
      </c>
      <c r="B358" s="5">
        <f>(pima_data!B358-MIN(pima_data!$B$1:$B$768))/(MAX(pima_data!$B$1:$B$768)-MIN(pima_data!$B$1:$B$768))</f>
        <v>0.648241206030151</v>
      </c>
      <c r="C358" s="5">
        <f>(pima_data!C358-MIN(pima_data!$C$1:$C$768))/(MAX(pima_data!$C$1:$C$768)-MIN(pima_data!$C$1:$C$768))</f>
        <v>0</v>
      </c>
      <c r="D358" s="5">
        <f>(pima_data!D358-MIN(pima_data!$D$1:$D$768))/(MAX(pima_data!$D$1:$D$768)-MIN(pima_data!$D$1:$D$768))</f>
        <v>0.303030303030303</v>
      </c>
      <c r="E358" s="5">
        <f>(pima_data!E358-MIN(pima_data!$E$1:$E$768))/(MAX(pima_data!$E$1:$E$768)-MIN(pima_data!$E$1:$E$768))</f>
        <v>0</v>
      </c>
      <c r="F358" s="5">
        <f>(pima_data!F358-MIN(pima_data!$F$1:$F$768))/(MAX(pima_data!$F$1:$F$768)-MIN(pima_data!$F$1:$F$768))</f>
        <v>0.594634873323398</v>
      </c>
      <c r="G358" s="5">
        <f>(pima_data!G358-MIN(pima_data!$G$1:$G$768))/(MAX(pima_data!$G$1:$G$768)-MIN(pima_data!$G$1:$G$768))</f>
        <v>0.209649871904355</v>
      </c>
      <c r="H358" s="5">
        <f>(pima_data!H358-MIN(pima_data!$H$1:$H$768))/(MAX(pima_data!$H$1:$H$768)-MIN(pima_data!$H$1:$H$768))</f>
        <v>0.383333333333333</v>
      </c>
    </row>
    <row r="359" spans="1:8">
      <c r="A359" s="5">
        <f>(pima_data!A359-MIN(pima_data!$A$1:$A$768))/(MAX(pima_data!$A$1:$A$768)-MIN(pima_data!$A$1:$A$768))</f>
        <v>0.705882352941177</v>
      </c>
      <c r="B359" s="5">
        <f>(pima_data!B359-MIN(pima_data!$B$1:$B$768))/(MAX(pima_data!$B$1:$B$768)-MIN(pima_data!$B$1:$B$768))</f>
        <v>0.442211055276382</v>
      </c>
      <c r="C359" s="5">
        <f>(pima_data!C359-MIN(pima_data!$C$1:$C$768))/(MAX(pima_data!$C$1:$C$768)-MIN(pima_data!$C$1:$C$768))</f>
        <v>0.60655737704918</v>
      </c>
      <c r="D359" s="5">
        <f>(pima_data!D359-MIN(pima_data!$D$1:$D$768))/(MAX(pima_data!$D$1:$D$768)-MIN(pima_data!$D$1:$D$768))</f>
        <v>0.404040404040404</v>
      </c>
      <c r="E359" s="5">
        <f>(pima_data!E359-MIN(pima_data!$E$1:$E$768))/(MAX(pima_data!$E$1:$E$768)-MIN(pima_data!$E$1:$E$768))</f>
        <v>0.0638297872340425</v>
      </c>
      <c r="F359" s="5">
        <f>(pima_data!F359-MIN(pima_data!$F$1:$F$768))/(MAX(pima_data!$F$1:$F$768)-MIN(pima_data!$F$1:$F$768))</f>
        <v>0.526080476900149</v>
      </c>
      <c r="G359" s="5">
        <f>(pima_data!G359-MIN(pima_data!$G$1:$G$768))/(MAX(pima_data!$G$1:$G$768)-MIN(pima_data!$G$1:$G$768))</f>
        <v>0.128095644748079</v>
      </c>
      <c r="H359" s="5">
        <f>(pima_data!H359-MIN(pima_data!$H$1:$H$768))/(MAX(pima_data!$H$1:$H$768)-MIN(pima_data!$H$1:$H$768))</f>
        <v>0.45</v>
      </c>
    </row>
    <row r="360" spans="1:8">
      <c r="A360" s="5">
        <f>(pima_data!A360-MIN(pima_data!$A$1:$A$768))/(MAX(pima_data!$A$1:$A$768)-MIN(pima_data!$A$1:$A$768))</f>
        <v>0.0588235294117647</v>
      </c>
      <c r="B360" s="5">
        <f>(pima_data!B360-MIN(pima_data!$B$1:$B$768))/(MAX(pima_data!$B$1:$B$768)-MIN(pima_data!$B$1:$B$768))</f>
        <v>0.984924623115578</v>
      </c>
      <c r="C360" s="5">
        <f>(pima_data!C360-MIN(pima_data!$C$1:$C$768))/(MAX(pima_data!$C$1:$C$768)-MIN(pima_data!$C$1:$C$768))</f>
        <v>0.622950819672131</v>
      </c>
      <c r="D360" s="5">
        <f>(pima_data!D360-MIN(pima_data!$D$1:$D$768))/(MAX(pima_data!$D$1:$D$768)-MIN(pima_data!$D$1:$D$768))</f>
        <v>0.363636363636364</v>
      </c>
      <c r="E360" s="5">
        <f>(pima_data!E360-MIN(pima_data!$E$1:$E$768))/(MAX(pima_data!$E$1:$E$768)-MIN(pima_data!$E$1:$E$768))</f>
        <v>0.294326241134752</v>
      </c>
      <c r="F360" s="5">
        <f>(pima_data!F360-MIN(pima_data!$F$1:$F$768))/(MAX(pima_data!$F$1:$F$768)-MIN(pima_data!$F$1:$F$768))</f>
        <v>0.543964232488823</v>
      </c>
      <c r="G360" s="5">
        <f>(pima_data!G360-MIN(pima_data!$G$1:$G$768))/(MAX(pima_data!$G$1:$G$768)-MIN(pima_data!$G$1:$G$768))</f>
        <v>0.340307429547395</v>
      </c>
      <c r="H360" s="5">
        <f>(pima_data!H360-MIN(pima_data!$H$1:$H$768))/(MAX(pima_data!$H$1:$H$768)-MIN(pima_data!$H$1:$H$768))</f>
        <v>0.133333333333333</v>
      </c>
    </row>
    <row r="361" spans="1:8">
      <c r="A361" s="5">
        <f>(pima_data!A361-MIN(pima_data!$A$1:$A$768))/(MAX(pima_data!$A$1:$A$768)-MIN(pima_data!$A$1:$A$768))</f>
        <v>0.294117647058824</v>
      </c>
      <c r="B361" s="5">
        <f>(pima_data!B361-MIN(pima_data!$B$1:$B$768))/(MAX(pima_data!$B$1:$B$768)-MIN(pima_data!$B$1:$B$768))</f>
        <v>0.949748743718593</v>
      </c>
      <c r="C361" s="5">
        <f>(pima_data!C361-MIN(pima_data!$C$1:$C$768))/(MAX(pima_data!$C$1:$C$768)-MIN(pima_data!$C$1:$C$768))</f>
        <v>0.524590163934426</v>
      </c>
      <c r="D361" s="5">
        <f>(pima_data!D361-MIN(pima_data!$D$1:$D$768))/(MAX(pima_data!$D$1:$D$768)-MIN(pima_data!$D$1:$D$768))</f>
        <v>0.333333333333333</v>
      </c>
      <c r="E361" s="5">
        <f>(pima_data!E361-MIN(pima_data!$E$1:$E$768))/(MAX(pima_data!$E$1:$E$768)-MIN(pima_data!$E$1:$E$768))</f>
        <v>0.384160756501182</v>
      </c>
      <c r="F361" s="5">
        <f>(pima_data!F361-MIN(pima_data!$F$1:$F$768))/(MAX(pima_data!$F$1:$F$768)-MIN(pima_data!$F$1:$F$768))</f>
        <v>0.464977645305514</v>
      </c>
      <c r="G361" s="5">
        <f>(pima_data!G361-MIN(pima_data!$G$1:$G$768))/(MAX(pima_data!$G$1:$G$768)-MIN(pima_data!$G$1:$G$768))</f>
        <v>0.215627668659266</v>
      </c>
      <c r="H361" s="5">
        <f>(pima_data!H361-MIN(pima_data!$H$1:$H$768))/(MAX(pima_data!$H$1:$H$768)-MIN(pima_data!$H$1:$H$768))</f>
        <v>0.133333333333333</v>
      </c>
    </row>
    <row r="362" spans="1:8">
      <c r="A362" s="5">
        <f>(pima_data!A362-MIN(pima_data!$A$1:$A$768))/(MAX(pima_data!$A$1:$A$768)-MIN(pima_data!$A$1:$A$768))</f>
        <v>0.294117647058824</v>
      </c>
      <c r="B362" s="5">
        <f>(pima_data!B362-MIN(pima_data!$B$1:$B$768))/(MAX(pima_data!$B$1:$B$768)-MIN(pima_data!$B$1:$B$768))</f>
        <v>0.793969849246231</v>
      </c>
      <c r="C362" s="5">
        <f>(pima_data!C362-MIN(pima_data!$C$1:$C$768))/(MAX(pima_data!$C$1:$C$768)-MIN(pima_data!$C$1:$C$768))</f>
        <v>0.573770491803279</v>
      </c>
      <c r="D362" s="5">
        <f>(pima_data!D362-MIN(pima_data!$D$1:$D$768))/(MAX(pima_data!$D$1:$D$768)-MIN(pima_data!$D$1:$D$768))</f>
        <v>0</v>
      </c>
      <c r="E362" s="5">
        <f>(pima_data!E362-MIN(pima_data!$E$1:$E$768))/(MAX(pima_data!$E$1:$E$768)-MIN(pima_data!$E$1:$E$768))</f>
        <v>0</v>
      </c>
      <c r="F362" s="5">
        <f>(pima_data!F362-MIN(pima_data!$F$1:$F$768))/(MAX(pima_data!$F$1:$F$768)-MIN(pima_data!$F$1:$F$768))</f>
        <v>0.444113263785395</v>
      </c>
      <c r="G362" s="5">
        <f>(pima_data!G362-MIN(pima_data!$G$1:$G$768))/(MAX(pima_data!$G$1:$G$768)-MIN(pima_data!$G$1:$G$768))</f>
        <v>0.0550811272416738</v>
      </c>
      <c r="H362" s="5">
        <f>(pima_data!H362-MIN(pima_data!$H$1:$H$768))/(MAX(pima_data!$H$1:$H$768)-MIN(pima_data!$H$1:$H$768))</f>
        <v>0.7</v>
      </c>
    </row>
    <row r="363" spans="1:8">
      <c r="A363" s="5">
        <f>(pima_data!A363-MIN(pima_data!$A$1:$A$768))/(MAX(pima_data!$A$1:$A$768)-MIN(pima_data!$A$1:$A$768))</f>
        <v>0.294117647058824</v>
      </c>
      <c r="B363" s="5">
        <f>(pima_data!B363-MIN(pima_data!$B$1:$B$768))/(MAX(pima_data!$B$1:$B$768)-MIN(pima_data!$B$1:$B$768))</f>
        <v>0.517587939698492</v>
      </c>
      <c r="C363" s="5">
        <f>(pima_data!C363-MIN(pima_data!$C$1:$C$768))/(MAX(pima_data!$C$1:$C$768)-MIN(pima_data!$C$1:$C$768))</f>
        <v>0.885245901639344</v>
      </c>
      <c r="D363" s="5">
        <f>(pima_data!D363-MIN(pima_data!$D$1:$D$768))/(MAX(pima_data!$D$1:$D$768)-MIN(pima_data!$D$1:$D$768))</f>
        <v>0.373737373737374</v>
      </c>
      <c r="E363" s="5">
        <f>(pima_data!E363-MIN(pima_data!$E$1:$E$768))/(MAX(pima_data!$E$1:$E$768)-MIN(pima_data!$E$1:$E$768))</f>
        <v>0</v>
      </c>
      <c r="F363" s="5">
        <f>(pima_data!F363-MIN(pima_data!$F$1:$F$768))/(MAX(pima_data!$F$1:$F$768)-MIN(pima_data!$F$1:$F$768))</f>
        <v>0.584202682563338</v>
      </c>
      <c r="G363" s="5">
        <f>(pima_data!G363-MIN(pima_data!$G$1:$G$768))/(MAX(pima_data!$G$1:$G$768)-MIN(pima_data!$G$1:$G$768))</f>
        <v>0.0969257045260461</v>
      </c>
      <c r="H363" s="5">
        <f>(pima_data!H363-MIN(pima_data!$H$1:$H$768))/(MAX(pima_data!$H$1:$H$768)-MIN(pima_data!$H$1:$H$768))</f>
        <v>0.733333333333333</v>
      </c>
    </row>
    <row r="364" spans="1:8">
      <c r="A364" s="5">
        <f>(pima_data!A364-MIN(pima_data!$A$1:$A$768))/(MAX(pima_data!$A$1:$A$768)-MIN(pima_data!$A$1:$A$768))</f>
        <v>0.235294117647059</v>
      </c>
      <c r="B364" s="5">
        <f>(pima_data!B364-MIN(pima_data!$B$1:$B$768))/(MAX(pima_data!$B$1:$B$768)-MIN(pima_data!$B$1:$B$768))</f>
        <v>0.733668341708543</v>
      </c>
      <c r="C364" s="5">
        <f>(pima_data!C364-MIN(pima_data!$C$1:$C$768))/(MAX(pima_data!$C$1:$C$768)-MIN(pima_data!$C$1:$C$768))</f>
        <v>0.639344262295082</v>
      </c>
      <c r="D364" s="5">
        <f>(pima_data!D364-MIN(pima_data!$D$1:$D$768))/(MAX(pima_data!$D$1:$D$768)-MIN(pima_data!$D$1:$D$768))</f>
        <v>0</v>
      </c>
      <c r="E364" s="5">
        <f>(pima_data!E364-MIN(pima_data!$E$1:$E$768))/(MAX(pima_data!$E$1:$E$768)-MIN(pima_data!$E$1:$E$768))</f>
        <v>0</v>
      </c>
      <c r="F364" s="5">
        <f>(pima_data!F364-MIN(pima_data!$F$1:$F$768))/(MAX(pima_data!$F$1:$F$768)-MIN(pima_data!$F$1:$F$768))</f>
        <v>0.573770491803279</v>
      </c>
      <c r="G364" s="5">
        <f>(pima_data!G364-MIN(pima_data!$G$1:$G$768))/(MAX(pima_data!$G$1:$G$768)-MIN(pima_data!$G$1:$G$768))</f>
        <v>0.188727583262169</v>
      </c>
      <c r="H364" s="5">
        <f>(pima_data!H364-MIN(pima_data!$H$1:$H$768))/(MAX(pima_data!$H$1:$H$768)-MIN(pima_data!$H$1:$H$768))</f>
        <v>0.766666666666667</v>
      </c>
    </row>
    <row r="365" spans="1:8">
      <c r="A365" s="5">
        <f>(pima_data!A365-MIN(pima_data!$A$1:$A$768))/(MAX(pima_data!$A$1:$A$768)-MIN(pima_data!$A$1:$A$768))</f>
        <v>0.235294117647059</v>
      </c>
      <c r="B365" s="5">
        <f>(pima_data!B365-MIN(pima_data!$B$1:$B$768))/(MAX(pima_data!$B$1:$B$768)-MIN(pima_data!$B$1:$B$768))</f>
        <v>0.738693467336683</v>
      </c>
      <c r="C365" s="5">
        <f>(pima_data!C365-MIN(pima_data!$C$1:$C$768))/(MAX(pima_data!$C$1:$C$768)-MIN(pima_data!$C$1:$C$768))</f>
        <v>0.60655737704918</v>
      </c>
      <c r="D365" s="5">
        <f>(pima_data!D365-MIN(pima_data!$D$1:$D$768))/(MAX(pima_data!$D$1:$D$768)-MIN(pima_data!$D$1:$D$768))</f>
        <v>0.252525252525253</v>
      </c>
      <c r="E365" s="5">
        <f>(pima_data!E365-MIN(pima_data!$E$1:$E$768))/(MAX(pima_data!$E$1:$E$768)-MIN(pima_data!$E$1:$E$768))</f>
        <v>0.346335697399527</v>
      </c>
      <c r="F365" s="5">
        <f>(pima_data!F365-MIN(pima_data!$F$1:$F$768))/(MAX(pima_data!$F$1:$F$768)-MIN(pima_data!$F$1:$F$768))</f>
        <v>0.520119225037258</v>
      </c>
      <c r="G365" s="5">
        <f>(pima_data!G365-MIN(pima_data!$G$1:$G$768))/(MAX(pima_data!$G$1:$G$768)-MIN(pima_data!$G$1:$G$768))</f>
        <v>0.131084543125534</v>
      </c>
      <c r="H365" s="5">
        <f>(pima_data!H365-MIN(pima_data!$H$1:$H$768))/(MAX(pima_data!$H$1:$H$768)-MIN(pima_data!$H$1:$H$768))</f>
        <v>0.15</v>
      </c>
    </row>
    <row r="366" spans="1:8">
      <c r="A366" s="5">
        <f>(pima_data!A366-MIN(pima_data!$A$1:$A$768))/(MAX(pima_data!$A$1:$A$768)-MIN(pima_data!$A$1:$A$768))</f>
        <v>0.294117647058824</v>
      </c>
      <c r="B366" s="5">
        <f>(pima_data!B366-MIN(pima_data!$B$1:$B$768))/(MAX(pima_data!$B$1:$B$768)-MIN(pima_data!$B$1:$B$768))</f>
        <v>0.49748743718593</v>
      </c>
      <c r="C366" s="5">
        <f>(pima_data!C366-MIN(pima_data!$C$1:$C$768))/(MAX(pima_data!$C$1:$C$768)-MIN(pima_data!$C$1:$C$768))</f>
        <v>0.442622950819672</v>
      </c>
      <c r="D366" s="5">
        <f>(pima_data!D366-MIN(pima_data!$D$1:$D$768))/(MAX(pima_data!$D$1:$D$768)-MIN(pima_data!$D$1:$D$768))</f>
        <v>0.282828282828283</v>
      </c>
      <c r="E366" s="5">
        <f>(pima_data!E366-MIN(pima_data!$E$1:$E$768))/(MAX(pima_data!$E$1:$E$768)-MIN(pima_data!$E$1:$E$768))</f>
        <v>0.0981087470449173</v>
      </c>
      <c r="F366" s="5">
        <f>(pima_data!F366-MIN(pima_data!$F$1:$F$768))/(MAX(pima_data!$F$1:$F$768)-MIN(pima_data!$F$1:$F$768))</f>
        <v>0.506706408345753</v>
      </c>
      <c r="G366" s="5">
        <f>(pima_data!G366-MIN(pima_data!$G$1:$G$768))/(MAX(pima_data!$G$1:$G$768)-MIN(pima_data!$G$1:$G$768))</f>
        <v>0.179760888129804</v>
      </c>
      <c r="H366" s="5">
        <f>(pima_data!H366-MIN(pima_data!$H$1:$H$768))/(MAX(pima_data!$H$1:$H$768)-MIN(pima_data!$H$1:$H$768))</f>
        <v>0.15</v>
      </c>
    </row>
    <row r="367" spans="1:8">
      <c r="A367" s="5">
        <f>(pima_data!A367-MIN(pima_data!$A$1:$A$768))/(MAX(pima_data!$A$1:$A$768)-MIN(pima_data!$A$1:$A$768))</f>
        <v>0.352941176470588</v>
      </c>
      <c r="B367" s="5">
        <f>(pima_data!B367-MIN(pima_data!$B$1:$B$768))/(MAX(pima_data!$B$1:$B$768)-MIN(pima_data!$B$1:$B$768))</f>
        <v>0.623115577889447</v>
      </c>
      <c r="C367" s="5">
        <f>(pima_data!C367-MIN(pima_data!$C$1:$C$768))/(MAX(pima_data!$C$1:$C$768)-MIN(pima_data!$C$1:$C$768))</f>
        <v>0.590163934426229</v>
      </c>
      <c r="D367" s="5">
        <f>(pima_data!D367-MIN(pima_data!$D$1:$D$768))/(MAX(pima_data!$D$1:$D$768)-MIN(pima_data!$D$1:$D$768))</f>
        <v>0</v>
      </c>
      <c r="E367" s="5">
        <f>(pima_data!E367-MIN(pima_data!$E$1:$E$768))/(MAX(pima_data!$E$1:$E$768)-MIN(pima_data!$E$1:$E$768))</f>
        <v>0</v>
      </c>
      <c r="F367" s="5">
        <f>(pima_data!F367-MIN(pima_data!$F$1:$F$768))/(MAX(pima_data!$F$1:$F$768)-MIN(pima_data!$F$1:$F$768))</f>
        <v>0.411326378539493</v>
      </c>
      <c r="G367" s="5">
        <f>(pima_data!G367-MIN(pima_data!$G$1:$G$768))/(MAX(pima_data!$G$1:$G$768)-MIN(pima_data!$G$1:$G$768))</f>
        <v>0.123825789923143</v>
      </c>
      <c r="H367" s="5">
        <f>(pima_data!H367-MIN(pima_data!$H$1:$H$768))/(MAX(pima_data!$H$1:$H$768)-MIN(pima_data!$H$1:$H$768))</f>
        <v>0.133333333333333</v>
      </c>
    </row>
    <row r="368" spans="1:8">
      <c r="A368" s="5">
        <f>(pima_data!A368-MIN(pima_data!$A$1:$A$768))/(MAX(pima_data!$A$1:$A$768)-MIN(pima_data!$A$1:$A$768))</f>
        <v>0</v>
      </c>
      <c r="B368" s="5">
        <f>(pima_data!B368-MIN(pima_data!$B$1:$B$768))/(MAX(pima_data!$B$1:$B$768)-MIN(pima_data!$B$1:$B$768))</f>
        <v>0.507537688442211</v>
      </c>
      <c r="C368" s="5">
        <f>(pima_data!C368-MIN(pima_data!$C$1:$C$768))/(MAX(pima_data!$C$1:$C$768)-MIN(pima_data!$C$1:$C$768))</f>
        <v>0.524590163934426</v>
      </c>
      <c r="D368" s="5">
        <f>(pima_data!D368-MIN(pima_data!$D$1:$D$768))/(MAX(pima_data!$D$1:$D$768)-MIN(pima_data!$D$1:$D$768))</f>
        <v>0.171717171717172</v>
      </c>
      <c r="E368" s="5">
        <f>(pima_data!E368-MIN(pima_data!$E$1:$E$768))/(MAX(pima_data!$E$1:$E$768)-MIN(pima_data!$E$1:$E$768))</f>
        <v>0</v>
      </c>
      <c r="F368" s="5">
        <f>(pima_data!F368-MIN(pima_data!$F$1:$F$768))/(MAX(pima_data!$F$1:$F$768)-MIN(pima_data!$F$1:$F$768))</f>
        <v>0.312965722801788</v>
      </c>
      <c r="G368" s="5">
        <f>(pima_data!G368-MIN(pima_data!$G$1:$G$768))/(MAX(pima_data!$G$1:$G$768)-MIN(pima_data!$G$1:$G$768))</f>
        <v>0.0742954739538856</v>
      </c>
      <c r="H368" s="5">
        <f>(pima_data!H368-MIN(pima_data!$H$1:$H$768))/(MAX(pima_data!$H$1:$H$768)-MIN(pima_data!$H$1:$H$768))</f>
        <v>0</v>
      </c>
    </row>
    <row r="369" spans="1:8">
      <c r="A369" s="5">
        <f>(pima_data!A369-MIN(pima_data!$A$1:$A$768))/(MAX(pima_data!$A$1:$A$768)-MIN(pima_data!$A$1:$A$768))</f>
        <v>0.176470588235294</v>
      </c>
      <c r="B369" s="5">
        <f>(pima_data!B369-MIN(pima_data!$B$1:$B$768))/(MAX(pima_data!$B$1:$B$768)-MIN(pima_data!$B$1:$B$768))</f>
        <v>0.407035175879397</v>
      </c>
      <c r="C369" s="5">
        <f>(pima_data!C369-MIN(pima_data!$C$1:$C$768))/(MAX(pima_data!$C$1:$C$768)-MIN(pima_data!$C$1:$C$768))</f>
        <v>0.704918032786885</v>
      </c>
      <c r="D369" s="5">
        <f>(pima_data!D369-MIN(pima_data!$D$1:$D$768))/(MAX(pima_data!$D$1:$D$768)-MIN(pima_data!$D$1:$D$768))</f>
        <v>0.161616161616162</v>
      </c>
      <c r="E369" s="5">
        <f>(pima_data!E369-MIN(pima_data!$E$1:$E$768))/(MAX(pima_data!$E$1:$E$768)-MIN(pima_data!$E$1:$E$768))</f>
        <v>0.0780141843971631</v>
      </c>
      <c r="F369" s="5">
        <f>(pima_data!F369-MIN(pima_data!$F$1:$F$768))/(MAX(pima_data!$F$1:$F$768)-MIN(pima_data!$F$1:$F$768))</f>
        <v>0.409836065573771</v>
      </c>
      <c r="G369" s="5">
        <f>(pima_data!G369-MIN(pima_data!$G$1:$G$768))/(MAX(pima_data!$G$1:$G$768)-MIN(pima_data!$G$1:$G$768))</f>
        <v>0.0973526900085397</v>
      </c>
      <c r="H369" s="5">
        <f>(pima_data!H369-MIN(pima_data!$H$1:$H$768))/(MAX(pima_data!$H$1:$H$768)-MIN(pima_data!$H$1:$H$768))</f>
        <v>0.0166666666666667</v>
      </c>
    </row>
    <row r="370" spans="1:8">
      <c r="A370" s="5">
        <f>(pima_data!A370-MIN(pima_data!$A$1:$A$768))/(MAX(pima_data!$A$1:$A$768)-MIN(pima_data!$A$1:$A$768))</f>
        <v>0.0588235294117647</v>
      </c>
      <c r="B370" s="5">
        <f>(pima_data!B370-MIN(pima_data!$B$1:$B$768))/(MAX(pima_data!$B$1:$B$768)-MIN(pima_data!$B$1:$B$768))</f>
        <v>0.668341708542714</v>
      </c>
      <c r="C370" s="5">
        <f>(pima_data!C370-MIN(pima_data!$C$1:$C$768))/(MAX(pima_data!$C$1:$C$768)-MIN(pima_data!$C$1:$C$768))</f>
        <v>0.836065573770492</v>
      </c>
      <c r="D370" s="5">
        <f>(pima_data!D370-MIN(pima_data!$D$1:$D$768))/(MAX(pima_data!$D$1:$D$768)-MIN(pima_data!$D$1:$D$768))</f>
        <v>0.282828282828283</v>
      </c>
      <c r="E370" s="5">
        <f>(pima_data!E370-MIN(pima_data!$E$1:$E$768))/(MAX(pima_data!$E$1:$E$768)-MIN(pima_data!$E$1:$E$768))</f>
        <v>0.16548463356974</v>
      </c>
      <c r="F370" s="5">
        <f>(pima_data!F370-MIN(pima_data!$F$1:$F$768))/(MAX(pima_data!$F$1:$F$768)-MIN(pima_data!$F$1:$F$768))</f>
        <v>0.488822652757079</v>
      </c>
      <c r="G370" s="5">
        <f>(pima_data!G370-MIN(pima_data!$G$1:$G$768))/(MAX(pima_data!$G$1:$G$768)-MIN(pima_data!$G$1:$G$768))</f>
        <v>0.0666097352690009</v>
      </c>
      <c r="H370" s="5">
        <f>(pima_data!H370-MIN(pima_data!$H$1:$H$768))/(MAX(pima_data!$H$1:$H$768)-MIN(pima_data!$H$1:$H$768))</f>
        <v>0.4</v>
      </c>
    </row>
    <row r="371" spans="1:8">
      <c r="A371" s="5">
        <f>(pima_data!A371-MIN(pima_data!$A$1:$A$768))/(MAX(pima_data!$A$1:$A$768)-MIN(pima_data!$A$1:$A$768))</f>
        <v>0.176470588235294</v>
      </c>
      <c r="B371" s="5">
        <f>(pima_data!B371-MIN(pima_data!$B$1:$B$768))/(MAX(pima_data!$B$1:$B$768)-MIN(pima_data!$B$1:$B$768))</f>
        <v>0.869346733668342</v>
      </c>
      <c r="C371" s="5">
        <f>(pima_data!C371-MIN(pima_data!$C$1:$C$768))/(MAX(pima_data!$C$1:$C$768)-MIN(pima_data!$C$1:$C$768))</f>
        <v>0.672131147540984</v>
      </c>
      <c r="D371" s="5">
        <f>(pima_data!D371-MIN(pima_data!$D$1:$D$768))/(MAX(pima_data!$D$1:$D$768)-MIN(pima_data!$D$1:$D$768))</f>
        <v>0.484848484848485</v>
      </c>
      <c r="E371" s="5">
        <f>(pima_data!E371-MIN(pima_data!$E$1:$E$768))/(MAX(pima_data!$E$1:$E$768)-MIN(pima_data!$E$1:$E$768))</f>
        <v>0.549645390070922</v>
      </c>
      <c r="F371" s="5">
        <f>(pima_data!F371-MIN(pima_data!$F$1:$F$768))/(MAX(pima_data!$F$1:$F$768)-MIN(pima_data!$F$1:$F$768))</f>
        <v>0.572280178837556</v>
      </c>
      <c r="G371" s="5">
        <f>(pima_data!G371-MIN(pima_data!$G$1:$G$768))/(MAX(pima_data!$G$1:$G$768)-MIN(pima_data!$G$1:$G$768))</f>
        <v>0.879163108454313</v>
      </c>
      <c r="H371" s="5">
        <f>(pima_data!H371-MIN(pima_data!$H$1:$H$768))/(MAX(pima_data!$H$1:$H$768)-MIN(pima_data!$H$1:$H$768))</f>
        <v>0.0666666666666667</v>
      </c>
    </row>
    <row r="372" spans="1:8">
      <c r="A372" s="5">
        <f>(pima_data!A372-MIN(pima_data!$A$1:$A$768))/(MAX(pima_data!$A$1:$A$768)-MIN(pima_data!$A$1:$A$768))</f>
        <v>0</v>
      </c>
      <c r="B372" s="5">
        <f>(pima_data!B372-MIN(pima_data!$B$1:$B$768))/(MAX(pima_data!$B$1:$B$768)-MIN(pima_data!$B$1:$B$768))</f>
        <v>0.592964824120603</v>
      </c>
      <c r="C372" s="5">
        <f>(pima_data!C372-MIN(pima_data!$C$1:$C$768))/(MAX(pima_data!$C$1:$C$768)-MIN(pima_data!$C$1:$C$768))</f>
        <v>0.524590163934426</v>
      </c>
      <c r="D372" s="5">
        <f>(pima_data!D372-MIN(pima_data!$D$1:$D$768))/(MAX(pima_data!$D$1:$D$768)-MIN(pima_data!$D$1:$D$768))</f>
        <v>0.232323232323232</v>
      </c>
      <c r="E372" s="5">
        <f>(pima_data!E372-MIN(pima_data!$E$1:$E$768))/(MAX(pima_data!$E$1:$E$768)-MIN(pima_data!$E$1:$E$768))</f>
        <v>0.105200945626478</v>
      </c>
      <c r="F372" s="5">
        <f>(pima_data!F372-MIN(pima_data!$F$1:$F$768))/(MAX(pima_data!$F$1:$F$768)-MIN(pima_data!$F$1:$F$768))</f>
        <v>0</v>
      </c>
      <c r="G372" s="5">
        <f>(pima_data!G372-MIN(pima_data!$G$1:$G$768))/(MAX(pima_data!$G$1:$G$768)-MIN(pima_data!$G$1:$G$768))</f>
        <v>0.705807002561913</v>
      </c>
      <c r="H372" s="5">
        <f>(pima_data!H372-MIN(pima_data!$H$1:$H$768))/(MAX(pima_data!$H$1:$H$768)-MIN(pima_data!$H$1:$H$768))</f>
        <v>0</v>
      </c>
    </row>
    <row r="373" spans="1:8">
      <c r="A373" s="5">
        <f>(pima_data!A373-MIN(pima_data!$A$1:$A$768))/(MAX(pima_data!$A$1:$A$768)-MIN(pima_data!$A$1:$A$768))</f>
        <v>0</v>
      </c>
      <c r="B373" s="5">
        <f>(pima_data!B373-MIN(pima_data!$B$1:$B$768))/(MAX(pima_data!$B$1:$B$768)-MIN(pima_data!$B$1:$B$768))</f>
        <v>0.422110552763819</v>
      </c>
      <c r="C373" s="5">
        <f>(pima_data!C373-MIN(pima_data!$C$1:$C$768))/(MAX(pima_data!$C$1:$C$768)-MIN(pima_data!$C$1:$C$768))</f>
        <v>0.524590163934426</v>
      </c>
      <c r="D373" s="5">
        <f>(pima_data!D373-MIN(pima_data!$D$1:$D$768))/(MAX(pima_data!$D$1:$D$768)-MIN(pima_data!$D$1:$D$768))</f>
        <v>0.222222222222222</v>
      </c>
      <c r="E373" s="5">
        <f>(pima_data!E373-MIN(pima_data!$E$1:$E$768))/(MAX(pima_data!$E$1:$E$768)-MIN(pima_data!$E$1:$E$768))</f>
        <v>0.0780141843971631</v>
      </c>
      <c r="F373" s="5">
        <f>(pima_data!F373-MIN(pima_data!$F$1:$F$768))/(MAX(pima_data!$F$1:$F$768)-MIN(pima_data!$F$1:$F$768))</f>
        <v>0.533532041728763</v>
      </c>
      <c r="G373" s="5">
        <f>(pima_data!G373-MIN(pima_data!$G$1:$G$768))/(MAX(pima_data!$G$1:$G$768)-MIN(pima_data!$G$1:$G$768))</f>
        <v>0.199402220324509</v>
      </c>
      <c r="H373" s="5">
        <f>(pima_data!H373-MIN(pima_data!$H$1:$H$768))/(MAX(pima_data!$H$1:$H$768)-MIN(pima_data!$H$1:$H$768))</f>
        <v>0</v>
      </c>
    </row>
    <row r="374" spans="1:8">
      <c r="A374" s="5">
        <f>(pima_data!A374-MIN(pima_data!$A$1:$A$768))/(MAX(pima_data!$A$1:$A$768)-MIN(pima_data!$A$1:$A$768))</f>
        <v>0.117647058823529</v>
      </c>
      <c r="B374" s="5">
        <f>(pima_data!B374-MIN(pima_data!$B$1:$B$768))/(MAX(pima_data!$B$1:$B$768)-MIN(pima_data!$B$1:$B$768))</f>
        <v>0.527638190954774</v>
      </c>
      <c r="C374" s="5">
        <f>(pima_data!C374-MIN(pima_data!$C$1:$C$768))/(MAX(pima_data!$C$1:$C$768)-MIN(pima_data!$C$1:$C$768))</f>
        <v>0.475409836065574</v>
      </c>
      <c r="D374" s="5">
        <f>(pima_data!D374-MIN(pima_data!$D$1:$D$768))/(MAX(pima_data!$D$1:$D$768)-MIN(pima_data!$D$1:$D$768))</f>
        <v>0.404040404040404</v>
      </c>
      <c r="E374" s="5">
        <f>(pima_data!E374-MIN(pima_data!$E$1:$E$768))/(MAX(pima_data!$E$1:$E$768)-MIN(pima_data!$E$1:$E$768))</f>
        <v>0.111111111111111</v>
      </c>
      <c r="F374" s="5">
        <f>(pima_data!F374-MIN(pima_data!$F$1:$F$768))/(MAX(pima_data!$F$1:$F$768)-MIN(pima_data!$F$1:$F$768))</f>
        <v>0.520119225037258</v>
      </c>
      <c r="G374" s="5">
        <f>(pima_data!G374-MIN(pima_data!$G$1:$G$768))/(MAX(pima_data!$G$1:$G$768)-MIN(pima_data!$G$1:$G$768))</f>
        <v>0.0627668659265585</v>
      </c>
      <c r="H374" s="5">
        <f>(pima_data!H374-MIN(pima_data!$H$1:$H$768))/(MAX(pima_data!$H$1:$H$768)-MIN(pima_data!$H$1:$H$768))</f>
        <v>0.0666666666666667</v>
      </c>
    </row>
    <row r="375" spans="1:8">
      <c r="A375" s="5">
        <f>(pima_data!A375-MIN(pima_data!$A$1:$A$768))/(MAX(pima_data!$A$1:$A$768)-MIN(pima_data!$A$1:$A$768))</f>
        <v>0.117647058823529</v>
      </c>
      <c r="B375" s="5">
        <f>(pima_data!B375-MIN(pima_data!$B$1:$B$768))/(MAX(pima_data!$B$1:$B$768)-MIN(pima_data!$B$1:$B$768))</f>
        <v>0.613065326633166</v>
      </c>
      <c r="C375" s="5">
        <f>(pima_data!C375-MIN(pima_data!$C$1:$C$768))/(MAX(pima_data!$C$1:$C$768)-MIN(pima_data!$C$1:$C$768))</f>
        <v>0.426229508196721</v>
      </c>
      <c r="D375" s="5">
        <f>(pima_data!D375-MIN(pima_data!$D$1:$D$768))/(MAX(pima_data!$D$1:$D$768)-MIN(pima_data!$D$1:$D$768))</f>
        <v>0.434343434343434</v>
      </c>
      <c r="E375" s="5">
        <f>(pima_data!E375-MIN(pima_data!$E$1:$E$768))/(MAX(pima_data!$E$1:$E$768)-MIN(pima_data!$E$1:$E$768))</f>
        <v>0.186761229314421</v>
      </c>
      <c r="F375" s="5">
        <f>(pima_data!F375-MIN(pima_data!$F$1:$F$768))/(MAX(pima_data!$F$1:$F$768)-MIN(pima_data!$F$1:$F$768))</f>
        <v>0.539493293591654</v>
      </c>
      <c r="G375" s="5">
        <f>(pima_data!G375-MIN(pima_data!$G$1:$G$768))/(MAX(pima_data!$G$1:$G$768)-MIN(pima_data!$G$1:$G$768))</f>
        <v>0.315115286080273</v>
      </c>
      <c r="H375" s="5">
        <f>(pima_data!H375-MIN(pima_data!$H$1:$H$768))/(MAX(pima_data!$H$1:$H$768)-MIN(pima_data!$H$1:$H$768))</f>
        <v>0.116666666666667</v>
      </c>
    </row>
    <row r="376" spans="1:8">
      <c r="A376" s="5">
        <f>(pima_data!A376-MIN(pima_data!$A$1:$A$768))/(MAX(pima_data!$A$1:$A$768)-MIN(pima_data!$A$1:$A$768))</f>
        <v>0.705882352941177</v>
      </c>
      <c r="B376" s="5">
        <f>(pima_data!B376-MIN(pima_data!$B$1:$B$768))/(MAX(pima_data!$B$1:$B$768)-MIN(pima_data!$B$1:$B$768))</f>
        <v>0.703517587939699</v>
      </c>
      <c r="C376" s="5">
        <f>(pima_data!C376-MIN(pima_data!$C$1:$C$768))/(MAX(pima_data!$C$1:$C$768)-MIN(pima_data!$C$1:$C$768))</f>
        <v>0.672131147540984</v>
      </c>
      <c r="D376" s="5">
        <f>(pima_data!D376-MIN(pima_data!$D$1:$D$768))/(MAX(pima_data!$D$1:$D$768)-MIN(pima_data!$D$1:$D$768))</f>
        <v>0.434343434343434</v>
      </c>
      <c r="E376" s="5">
        <f>(pima_data!E376-MIN(pima_data!$E$1:$E$768))/(MAX(pima_data!$E$1:$E$768)-MIN(pima_data!$E$1:$E$768))</f>
        <v>0.384160756501182</v>
      </c>
      <c r="F376" s="5">
        <f>(pima_data!F376-MIN(pima_data!$F$1:$F$768))/(MAX(pima_data!$F$1:$F$768)-MIN(pima_data!$F$1:$F$768))</f>
        <v>0.584202682563338</v>
      </c>
      <c r="G376" s="5">
        <f>(pima_data!G376-MIN(pima_data!$G$1:$G$768))/(MAX(pima_data!$G$1:$G$768)-MIN(pima_data!$G$1:$G$768))</f>
        <v>0.192143467122118</v>
      </c>
      <c r="H376" s="5">
        <f>(pima_data!H376-MIN(pima_data!$H$1:$H$768))/(MAX(pima_data!$H$1:$H$768)-MIN(pima_data!$H$1:$H$768))</f>
        <v>0.616666666666667</v>
      </c>
    </row>
    <row r="377" spans="1:8">
      <c r="A377" s="5">
        <f>(pima_data!A377-MIN(pima_data!$A$1:$A$768))/(MAX(pima_data!$A$1:$A$768)-MIN(pima_data!$A$1:$A$768))</f>
        <v>0</v>
      </c>
      <c r="B377" s="5">
        <f>(pima_data!B377-MIN(pima_data!$B$1:$B$768))/(MAX(pima_data!$B$1:$B$768)-MIN(pima_data!$B$1:$B$768))</f>
        <v>0.492462311557789</v>
      </c>
      <c r="C377" s="5">
        <f>(pima_data!C377-MIN(pima_data!$C$1:$C$768))/(MAX(pima_data!$C$1:$C$768)-MIN(pima_data!$C$1:$C$768))</f>
        <v>0.672131147540984</v>
      </c>
      <c r="D377" s="5">
        <f>(pima_data!D377-MIN(pima_data!$D$1:$D$768))/(MAX(pima_data!$D$1:$D$768)-MIN(pima_data!$D$1:$D$768))</f>
        <v>0.151515151515152</v>
      </c>
      <c r="E377" s="5">
        <f>(pima_data!E377-MIN(pima_data!$E$1:$E$768))/(MAX(pima_data!$E$1:$E$768)-MIN(pima_data!$E$1:$E$768))</f>
        <v>0.099290780141844</v>
      </c>
      <c r="F377" s="5">
        <f>(pima_data!F377-MIN(pima_data!$F$1:$F$768))/(MAX(pima_data!$F$1:$F$768)-MIN(pima_data!$F$1:$F$768))</f>
        <v>0.375558867362146</v>
      </c>
      <c r="G377" s="5">
        <f>(pima_data!G377-MIN(pima_data!$G$1:$G$768))/(MAX(pima_data!$G$1:$G$768)-MIN(pima_data!$G$1:$G$768))</f>
        <v>0.0943637916310845</v>
      </c>
      <c r="H377" s="5">
        <f>(pima_data!H377-MIN(pima_data!$H$1:$H$768))/(MAX(pima_data!$H$1:$H$768)-MIN(pima_data!$H$1:$H$768))</f>
        <v>0.0166666666666667</v>
      </c>
    </row>
    <row r="378" spans="1:8">
      <c r="A378" s="5">
        <f>(pima_data!A378-MIN(pima_data!$A$1:$A$768))/(MAX(pima_data!$A$1:$A$768)-MIN(pima_data!$A$1:$A$768))</f>
        <v>0.0588235294117647</v>
      </c>
      <c r="B378" s="5">
        <f>(pima_data!B378-MIN(pima_data!$B$1:$B$768))/(MAX(pima_data!$B$1:$B$768)-MIN(pima_data!$B$1:$B$768))</f>
        <v>0.437185929648241</v>
      </c>
      <c r="C378" s="5">
        <f>(pima_data!C378-MIN(pima_data!$C$1:$C$768))/(MAX(pima_data!$C$1:$C$768)-MIN(pima_data!$C$1:$C$768))</f>
        <v>0.491803278688525</v>
      </c>
      <c r="D378" s="5">
        <f>(pima_data!D378-MIN(pima_data!$D$1:$D$768))/(MAX(pima_data!$D$1:$D$768)-MIN(pima_data!$D$1:$D$768))</f>
        <v>0.373737373737374</v>
      </c>
      <c r="E378" s="5">
        <f>(pima_data!E378-MIN(pima_data!$E$1:$E$768))/(MAX(pima_data!$E$1:$E$768)-MIN(pima_data!$E$1:$E$768))</f>
        <v>0.0886524822695035</v>
      </c>
      <c r="F378" s="5">
        <f>(pima_data!F378-MIN(pima_data!$F$1:$F$768))/(MAX(pima_data!$F$1:$F$768)-MIN(pima_data!$F$1:$F$768))</f>
        <v>0.554396423248882</v>
      </c>
      <c r="G378" s="5">
        <f>(pima_data!G378-MIN(pima_data!$G$1:$G$768))/(MAX(pima_data!$G$1:$G$768)-MIN(pima_data!$G$1:$G$768))</f>
        <v>0.18403074295474</v>
      </c>
      <c r="H378" s="5">
        <f>(pima_data!H378-MIN(pima_data!$H$1:$H$768))/(MAX(pima_data!$H$1:$H$768)-MIN(pima_data!$H$1:$H$768))</f>
        <v>0.0166666666666667</v>
      </c>
    </row>
    <row r="379" spans="1:8">
      <c r="A379" s="5">
        <f>(pima_data!A379-MIN(pima_data!$A$1:$A$768))/(MAX(pima_data!$A$1:$A$768)-MIN(pima_data!$A$1:$A$768))</f>
        <v>0.235294117647059</v>
      </c>
      <c r="B379" s="5">
        <f>(pima_data!B379-MIN(pima_data!$B$1:$B$768))/(MAX(pima_data!$B$1:$B$768)-MIN(pima_data!$B$1:$B$768))</f>
        <v>0.78391959798995</v>
      </c>
      <c r="C379" s="5">
        <f>(pima_data!C379-MIN(pima_data!$C$1:$C$768))/(MAX(pima_data!$C$1:$C$768)-MIN(pima_data!$C$1:$C$768))</f>
        <v>0.614754098360656</v>
      </c>
      <c r="D379" s="5">
        <f>(pima_data!D379-MIN(pima_data!$D$1:$D$768))/(MAX(pima_data!$D$1:$D$768)-MIN(pima_data!$D$1:$D$768))</f>
        <v>0</v>
      </c>
      <c r="E379" s="5">
        <f>(pima_data!E379-MIN(pima_data!$E$1:$E$768))/(MAX(pima_data!$E$1:$E$768)-MIN(pima_data!$E$1:$E$768))</f>
        <v>0</v>
      </c>
      <c r="F379" s="5">
        <f>(pima_data!F379-MIN(pima_data!$F$1:$F$768))/(MAX(pima_data!$F$1:$F$768)-MIN(pima_data!$F$1:$F$768))</f>
        <v>0.719821162444113</v>
      </c>
      <c r="G379" s="5">
        <f>(pima_data!G379-MIN(pima_data!$G$1:$G$768))/(MAX(pima_data!$G$1:$G$768)-MIN(pima_data!$G$1:$G$768))</f>
        <v>0.0683176771989752</v>
      </c>
      <c r="H379" s="5">
        <f>(pima_data!H379-MIN(pima_data!$H$1:$H$768))/(MAX(pima_data!$H$1:$H$768)-MIN(pima_data!$H$1:$H$768))</f>
        <v>0.183333333333333</v>
      </c>
    </row>
    <row r="380" spans="1:8">
      <c r="A380" s="5">
        <f>(pima_data!A380-MIN(pima_data!$A$1:$A$768))/(MAX(pima_data!$A$1:$A$768)-MIN(pima_data!$A$1:$A$768))</f>
        <v>0</v>
      </c>
      <c r="B380" s="5">
        <f>(pima_data!B380-MIN(pima_data!$B$1:$B$768))/(MAX(pima_data!$B$1:$B$768)-MIN(pima_data!$B$1:$B$768))</f>
        <v>0.467336683417085</v>
      </c>
      <c r="C380" s="5">
        <f>(pima_data!C380-MIN(pima_data!$C$1:$C$768))/(MAX(pima_data!$C$1:$C$768)-MIN(pima_data!$C$1:$C$768))</f>
        <v>0.819672131147541</v>
      </c>
      <c r="D380" s="5">
        <f>(pima_data!D380-MIN(pima_data!$D$1:$D$768))/(MAX(pima_data!$D$1:$D$768)-MIN(pima_data!$D$1:$D$768))</f>
        <v>0.393939393939394</v>
      </c>
      <c r="E380" s="5">
        <f>(pima_data!E380-MIN(pima_data!$E$1:$E$768))/(MAX(pima_data!$E$1:$E$768)-MIN(pima_data!$E$1:$E$768))</f>
        <v>0.0851063829787234</v>
      </c>
      <c r="F380" s="5">
        <f>(pima_data!F380-MIN(pima_data!$F$1:$F$768))/(MAX(pima_data!$F$1:$F$768)-MIN(pima_data!$F$1:$F$768))</f>
        <v>0.646795827123696</v>
      </c>
      <c r="G380" s="5">
        <f>(pima_data!G380-MIN(pima_data!$G$1:$G$768))/(MAX(pima_data!$G$1:$G$768)-MIN(pima_data!$G$1:$G$768))</f>
        <v>0.40264730999146</v>
      </c>
      <c r="H380" s="5">
        <f>(pima_data!H380-MIN(pima_data!$H$1:$H$768))/(MAX(pima_data!$H$1:$H$768)-MIN(pima_data!$H$1:$H$768))</f>
        <v>0.233333333333333</v>
      </c>
    </row>
    <row r="381" spans="1:8">
      <c r="A381" s="5">
        <f>(pima_data!A381-MIN(pima_data!$A$1:$A$768))/(MAX(pima_data!$A$1:$A$768)-MIN(pima_data!$A$1:$A$768))</f>
        <v>0.0588235294117647</v>
      </c>
      <c r="B381" s="5">
        <f>(pima_data!B381-MIN(pima_data!$B$1:$B$768))/(MAX(pima_data!$B$1:$B$768)-MIN(pima_data!$B$1:$B$768))</f>
        <v>0.537688442211055</v>
      </c>
      <c r="C381" s="5">
        <f>(pima_data!C381-MIN(pima_data!$C$1:$C$768))/(MAX(pima_data!$C$1:$C$768)-MIN(pima_data!$C$1:$C$768))</f>
        <v>0.590163934426229</v>
      </c>
      <c r="D381" s="5">
        <f>(pima_data!D381-MIN(pima_data!$D$1:$D$768))/(MAX(pima_data!$D$1:$D$768)-MIN(pima_data!$D$1:$D$768))</f>
        <v>0.303030303030303</v>
      </c>
      <c r="E381" s="5">
        <f>(pima_data!E381-MIN(pima_data!$E$1:$E$768))/(MAX(pima_data!$E$1:$E$768)-MIN(pima_data!$E$1:$E$768))</f>
        <v>0.0969267139479905</v>
      </c>
      <c r="F381" s="5">
        <f>(pima_data!F381-MIN(pima_data!$F$1:$F$768))/(MAX(pima_data!$F$1:$F$768)-MIN(pima_data!$F$1:$F$768))</f>
        <v>0.459016393442623</v>
      </c>
      <c r="G381" s="5">
        <f>(pima_data!G381-MIN(pima_data!$G$1:$G$768))/(MAX(pima_data!$G$1:$G$768)-MIN(pima_data!$G$1:$G$768))</f>
        <v>0.317250213492741</v>
      </c>
      <c r="H381" s="5">
        <f>(pima_data!H381-MIN(pima_data!$H$1:$H$768))/(MAX(pima_data!$H$1:$H$768)-MIN(pima_data!$H$1:$H$768))</f>
        <v>0.05</v>
      </c>
    </row>
    <row r="382" spans="1:8">
      <c r="A382" s="5">
        <f>(pima_data!A382-MIN(pima_data!$A$1:$A$768))/(MAX(pima_data!$A$1:$A$768)-MIN(pima_data!$A$1:$A$768))</f>
        <v>0</v>
      </c>
      <c r="B382" s="5">
        <f>(pima_data!B382-MIN(pima_data!$B$1:$B$768))/(MAX(pima_data!$B$1:$B$768)-MIN(pima_data!$B$1:$B$768))</f>
        <v>0.527638190954774</v>
      </c>
      <c r="C382" s="5">
        <f>(pima_data!C382-MIN(pima_data!$C$1:$C$768))/(MAX(pima_data!$C$1:$C$768)-MIN(pima_data!$C$1:$C$768))</f>
        <v>0.557377049180328</v>
      </c>
      <c r="D382" s="5">
        <f>(pima_data!D382-MIN(pima_data!$D$1:$D$768))/(MAX(pima_data!$D$1:$D$768)-MIN(pima_data!$D$1:$D$768))</f>
        <v>0.222222222222222</v>
      </c>
      <c r="E382" s="5">
        <f>(pima_data!E382-MIN(pima_data!$E$1:$E$768))/(MAX(pima_data!$E$1:$E$768)-MIN(pima_data!$E$1:$E$768))</f>
        <v>0</v>
      </c>
      <c r="F382" s="5">
        <f>(pima_data!F382-MIN(pima_data!$F$1:$F$768))/(MAX(pima_data!$F$1:$F$768)-MIN(pima_data!$F$1:$F$768))</f>
        <v>0.29806259314456</v>
      </c>
      <c r="G382" s="5">
        <f>(pima_data!G382-MIN(pima_data!$G$1:$G$768))/(MAX(pima_data!$G$1:$G$768)-MIN(pima_data!$G$1:$G$768))</f>
        <v>0.067463706233988</v>
      </c>
      <c r="H382" s="5">
        <f>(pima_data!H382-MIN(pima_data!$H$1:$H$768))/(MAX(pima_data!$H$1:$H$768)-MIN(pima_data!$H$1:$H$768))</f>
        <v>0.0166666666666667</v>
      </c>
    </row>
    <row r="383" spans="1:8">
      <c r="A383" s="5">
        <f>(pima_data!A383-MIN(pima_data!$A$1:$A$768))/(MAX(pima_data!$A$1:$A$768)-MIN(pima_data!$A$1:$A$768))</f>
        <v>0.0588235294117647</v>
      </c>
      <c r="B383" s="5">
        <f>(pima_data!B383-MIN(pima_data!$B$1:$B$768))/(MAX(pima_data!$B$1:$B$768)-MIN(pima_data!$B$1:$B$768))</f>
        <v>0.547738693467337</v>
      </c>
      <c r="C383" s="5">
        <f>(pima_data!C383-MIN(pima_data!$C$1:$C$768))/(MAX(pima_data!$C$1:$C$768)-MIN(pima_data!$C$1:$C$768))</f>
        <v>0.491803278688525</v>
      </c>
      <c r="D383" s="5">
        <f>(pima_data!D383-MIN(pima_data!$D$1:$D$768))/(MAX(pima_data!$D$1:$D$768)-MIN(pima_data!$D$1:$D$768))</f>
        <v>0.0808080808080808</v>
      </c>
      <c r="E383" s="5">
        <f>(pima_data!E383-MIN(pima_data!$E$1:$E$768))/(MAX(pima_data!$E$1:$E$768)-MIN(pima_data!$E$1:$E$768))</f>
        <v>0.215130023640662</v>
      </c>
      <c r="F383" s="5">
        <f>(pima_data!F383-MIN(pima_data!$F$1:$F$768))/(MAX(pima_data!$F$1:$F$768)-MIN(pima_data!$F$1:$F$768))</f>
        <v>0.378539493293592</v>
      </c>
      <c r="G383" s="5">
        <f>(pima_data!G383-MIN(pima_data!$G$1:$G$768))/(MAX(pima_data!$G$1:$G$768)-MIN(pima_data!$G$1:$G$768))</f>
        <v>0.371050384286934</v>
      </c>
      <c r="H383" s="5">
        <f>(pima_data!H383-MIN(pima_data!$H$1:$H$768))/(MAX(pima_data!$H$1:$H$768)-MIN(pima_data!$H$1:$H$768))</f>
        <v>0</v>
      </c>
    </row>
    <row r="384" spans="1:8">
      <c r="A384" s="5">
        <f>(pima_data!A384-MIN(pima_data!$A$1:$A$768))/(MAX(pima_data!$A$1:$A$768)-MIN(pima_data!$A$1:$A$768))</f>
        <v>0.0588235294117647</v>
      </c>
      <c r="B384" s="5">
        <f>(pima_data!B384-MIN(pima_data!$B$1:$B$768))/(MAX(pima_data!$B$1:$B$768)-MIN(pima_data!$B$1:$B$768))</f>
        <v>0.452261306532663</v>
      </c>
      <c r="C384" s="5">
        <f>(pima_data!C384-MIN(pima_data!$C$1:$C$768))/(MAX(pima_data!$C$1:$C$768)-MIN(pima_data!$C$1:$C$768))</f>
        <v>0.508196721311475</v>
      </c>
      <c r="D384" s="5">
        <f>(pima_data!D384-MIN(pima_data!$D$1:$D$768))/(MAX(pima_data!$D$1:$D$768)-MIN(pima_data!$D$1:$D$768))</f>
        <v>0.181818181818182</v>
      </c>
      <c r="E384" s="5">
        <f>(pima_data!E384-MIN(pima_data!$E$1:$E$768))/(MAX(pima_data!$E$1:$E$768)-MIN(pima_data!$E$1:$E$768))</f>
        <v>0.0697399527186761</v>
      </c>
      <c r="F384" s="5">
        <f>(pima_data!F384-MIN(pima_data!$F$1:$F$768))/(MAX(pima_data!$F$1:$F$768)-MIN(pima_data!$F$1:$F$768))</f>
        <v>0.374068554396423</v>
      </c>
      <c r="G384" s="5">
        <f>(pima_data!G384-MIN(pima_data!$G$1:$G$768))/(MAX(pima_data!$G$1:$G$768)-MIN(pima_data!$G$1:$G$768))</f>
        <v>0.508112724167378</v>
      </c>
      <c r="H384" s="5">
        <f>(pima_data!H384-MIN(pima_data!$H$1:$H$768))/(MAX(pima_data!$H$1:$H$768)-MIN(pima_data!$H$1:$H$768))</f>
        <v>0.0666666666666667</v>
      </c>
    </row>
    <row r="385" spans="1:8">
      <c r="A385" s="5">
        <f>(pima_data!A385-MIN(pima_data!$A$1:$A$768))/(MAX(pima_data!$A$1:$A$768)-MIN(pima_data!$A$1:$A$768))</f>
        <v>0.0588235294117647</v>
      </c>
      <c r="B385" s="5">
        <f>(pima_data!B385-MIN(pima_data!$B$1:$B$768))/(MAX(pima_data!$B$1:$B$768)-MIN(pima_data!$B$1:$B$768))</f>
        <v>0.628140703517588</v>
      </c>
      <c r="C385" s="5">
        <f>(pima_data!C385-MIN(pima_data!$C$1:$C$768))/(MAX(pima_data!$C$1:$C$768)-MIN(pima_data!$C$1:$C$768))</f>
        <v>0.573770491803279</v>
      </c>
      <c r="D385" s="5">
        <f>(pima_data!D385-MIN(pima_data!$D$1:$D$768))/(MAX(pima_data!$D$1:$D$768)-MIN(pima_data!$D$1:$D$768))</f>
        <v>0.242424242424242</v>
      </c>
      <c r="E385" s="5">
        <f>(pima_data!E385-MIN(pima_data!$E$1:$E$768))/(MAX(pima_data!$E$1:$E$768)-MIN(pima_data!$E$1:$E$768))</f>
        <v>0.130023640661939</v>
      </c>
      <c r="F385" s="5">
        <f>(pima_data!F385-MIN(pima_data!$F$1:$F$768))/(MAX(pima_data!$F$1:$F$768)-MIN(pima_data!$F$1:$F$768))</f>
        <v>0.362146050670641</v>
      </c>
      <c r="G385" s="5">
        <f>(pima_data!G385-MIN(pima_data!$G$1:$G$768))/(MAX(pima_data!$G$1:$G$768)-MIN(pima_data!$G$1:$G$768))</f>
        <v>0.0610589239965841</v>
      </c>
      <c r="H385" s="5">
        <f>(pima_data!H385-MIN(pima_data!$H$1:$H$768))/(MAX(pima_data!$H$1:$H$768)-MIN(pima_data!$H$1:$H$768))</f>
        <v>0.0666666666666667</v>
      </c>
    </row>
    <row r="386" spans="1:8">
      <c r="A386" s="5">
        <f>(pima_data!A386-MIN(pima_data!$A$1:$A$768))/(MAX(pima_data!$A$1:$A$768)-MIN(pima_data!$A$1:$A$768))</f>
        <v>0.0588235294117647</v>
      </c>
      <c r="B386" s="5">
        <f>(pima_data!B386-MIN(pima_data!$B$1:$B$768))/(MAX(pima_data!$B$1:$B$768)-MIN(pima_data!$B$1:$B$768))</f>
        <v>0.597989949748744</v>
      </c>
      <c r="C386" s="5">
        <f>(pima_data!C386-MIN(pima_data!$C$1:$C$768))/(MAX(pima_data!$C$1:$C$768)-MIN(pima_data!$C$1:$C$768))</f>
        <v>0.442622950819672</v>
      </c>
      <c r="D386" s="5">
        <f>(pima_data!D386-MIN(pima_data!$D$1:$D$768))/(MAX(pima_data!$D$1:$D$768)-MIN(pima_data!$D$1:$D$768))</f>
        <v>0.131313131313131</v>
      </c>
      <c r="E386" s="5">
        <f>(pima_data!E386-MIN(pima_data!$E$1:$E$768))/(MAX(pima_data!$E$1:$E$768)-MIN(pima_data!$E$1:$E$768))</f>
        <v>0.0591016548463357</v>
      </c>
      <c r="F386" s="5">
        <f>(pima_data!F386-MIN(pima_data!$F$1:$F$768))/(MAX(pima_data!$F$1:$F$768)-MIN(pima_data!$F$1:$F$768))</f>
        <v>0.332339791356185</v>
      </c>
      <c r="G386" s="5">
        <f>(pima_data!G386-MIN(pima_data!$G$1:$G$768))/(MAX(pima_data!$G$1:$G$768)-MIN(pima_data!$G$1:$G$768))</f>
        <v>0.0542271562766866</v>
      </c>
      <c r="H386" s="5">
        <f>(pima_data!H386-MIN(pima_data!$H$1:$H$768))/(MAX(pima_data!$H$1:$H$768)-MIN(pima_data!$H$1:$H$768))</f>
        <v>0.05</v>
      </c>
    </row>
    <row r="387" spans="1:8">
      <c r="A387" s="5">
        <f>(pima_data!A387-MIN(pima_data!$A$1:$A$768))/(MAX(pima_data!$A$1:$A$768)-MIN(pima_data!$A$1:$A$768))</f>
        <v>0.294117647058824</v>
      </c>
      <c r="B387" s="5">
        <f>(pima_data!B387-MIN(pima_data!$B$1:$B$768))/(MAX(pima_data!$B$1:$B$768)-MIN(pima_data!$B$1:$B$768))</f>
        <v>0.582914572864322</v>
      </c>
      <c r="C387" s="5">
        <f>(pima_data!C387-MIN(pima_data!$C$1:$C$768))/(MAX(pima_data!$C$1:$C$768)-MIN(pima_data!$C$1:$C$768))</f>
        <v>0.60655737704918</v>
      </c>
      <c r="D387" s="5">
        <f>(pima_data!D387-MIN(pima_data!$D$1:$D$768))/(MAX(pima_data!$D$1:$D$768)-MIN(pima_data!$D$1:$D$768))</f>
        <v>0.292929292929293</v>
      </c>
      <c r="E387" s="5">
        <f>(pima_data!E387-MIN(pima_data!$E$1:$E$768))/(MAX(pima_data!$E$1:$E$768)-MIN(pima_data!$E$1:$E$768))</f>
        <v>0</v>
      </c>
      <c r="F387" s="5">
        <f>(pima_data!F387-MIN(pima_data!$F$1:$F$768))/(MAX(pima_data!$F$1:$F$768)-MIN(pima_data!$F$1:$F$768))</f>
        <v>0.481371087928465</v>
      </c>
      <c r="G387" s="5">
        <f>(pima_data!G387-MIN(pima_data!$G$1:$G$768))/(MAX(pima_data!$G$1:$G$768)-MIN(pima_data!$G$1:$G$768))</f>
        <v>0.248505550811272</v>
      </c>
      <c r="H387" s="5">
        <f>(pima_data!H387-MIN(pima_data!$H$1:$H$768))/(MAX(pima_data!$H$1:$H$768)-MIN(pima_data!$H$1:$H$768))</f>
        <v>0.233333333333333</v>
      </c>
    </row>
    <row r="388" spans="1:8">
      <c r="A388" s="5">
        <f>(pima_data!A388-MIN(pima_data!$A$1:$A$768))/(MAX(pima_data!$A$1:$A$768)-MIN(pima_data!$A$1:$A$768))</f>
        <v>0.470588235294118</v>
      </c>
      <c r="B388" s="5">
        <f>(pima_data!B388-MIN(pima_data!$B$1:$B$768))/(MAX(pima_data!$B$1:$B$768)-MIN(pima_data!$B$1:$B$768))</f>
        <v>0.527638190954774</v>
      </c>
      <c r="C388" s="5">
        <f>(pima_data!C388-MIN(pima_data!$C$1:$C$768))/(MAX(pima_data!$C$1:$C$768)-MIN(pima_data!$C$1:$C$768))</f>
        <v>0.819672131147541</v>
      </c>
      <c r="D388" s="5">
        <f>(pima_data!D388-MIN(pima_data!$D$1:$D$768))/(MAX(pima_data!$D$1:$D$768)-MIN(pima_data!$D$1:$D$768))</f>
        <v>0.363636363636364</v>
      </c>
      <c r="E388" s="5">
        <f>(pima_data!E388-MIN(pima_data!$E$1:$E$768))/(MAX(pima_data!$E$1:$E$768)-MIN(pima_data!$E$1:$E$768))</f>
        <v>0</v>
      </c>
      <c r="F388" s="5">
        <f>(pima_data!F388-MIN(pima_data!$F$1:$F$768))/(MAX(pima_data!$F$1:$F$768)-MIN(pima_data!$F$1:$F$768))</f>
        <v>0.645305514157973</v>
      </c>
      <c r="G388" s="5">
        <f>(pima_data!G388-MIN(pima_data!$G$1:$G$768))/(MAX(pima_data!$G$1:$G$768)-MIN(pima_data!$G$1:$G$768))</f>
        <v>0.0687446626814688</v>
      </c>
      <c r="H388" s="5">
        <f>(pima_data!H388-MIN(pima_data!$H$1:$H$768))/(MAX(pima_data!$H$1:$H$768)-MIN(pima_data!$H$1:$H$768))</f>
        <v>0.4</v>
      </c>
    </row>
    <row r="389" spans="1:8">
      <c r="A389" s="5">
        <f>(pima_data!A389-MIN(pima_data!$A$1:$A$768))/(MAX(pima_data!$A$1:$A$768)-MIN(pima_data!$A$1:$A$768))</f>
        <v>0.294117647058824</v>
      </c>
      <c r="B389" s="5">
        <f>(pima_data!B389-MIN(pima_data!$B$1:$B$768))/(MAX(pima_data!$B$1:$B$768)-MIN(pima_data!$B$1:$B$768))</f>
        <v>0.723618090452261</v>
      </c>
      <c r="C389" s="5">
        <f>(pima_data!C389-MIN(pima_data!$C$1:$C$768))/(MAX(pima_data!$C$1:$C$768)-MIN(pima_data!$C$1:$C$768))</f>
        <v>0.672131147540984</v>
      </c>
      <c r="D389" s="5">
        <f>(pima_data!D389-MIN(pima_data!$D$1:$D$768))/(MAX(pima_data!$D$1:$D$768)-MIN(pima_data!$D$1:$D$768))</f>
        <v>0.262626262626263</v>
      </c>
      <c r="E389" s="5">
        <f>(pima_data!E389-MIN(pima_data!$E$1:$E$768))/(MAX(pima_data!$E$1:$E$768)-MIN(pima_data!$E$1:$E$768))</f>
        <v>0.336879432624113</v>
      </c>
      <c r="F389" s="5">
        <f>(pima_data!F389-MIN(pima_data!$F$1:$F$768))/(MAX(pima_data!$F$1:$F$768)-MIN(pima_data!$F$1:$F$768))</f>
        <v>0.476900149031297</v>
      </c>
      <c r="G389" s="5">
        <f>(pima_data!G389-MIN(pima_data!$G$1:$G$768))/(MAX(pima_data!$G$1:$G$768)-MIN(pima_data!$G$1:$G$768))</f>
        <v>0.159692570452605</v>
      </c>
      <c r="H389" s="5">
        <f>(pima_data!H389-MIN(pima_data!$H$1:$H$768))/(MAX(pima_data!$H$1:$H$768)-MIN(pima_data!$H$1:$H$768))</f>
        <v>0.616666666666667</v>
      </c>
    </row>
    <row r="390" spans="1:8">
      <c r="A390" s="5">
        <f>(pima_data!A390-MIN(pima_data!$A$1:$A$768))/(MAX(pima_data!$A$1:$A$768)-MIN(pima_data!$A$1:$A$768))</f>
        <v>0.176470588235294</v>
      </c>
      <c r="B390" s="5">
        <f>(pima_data!B390-MIN(pima_data!$B$1:$B$768))/(MAX(pima_data!$B$1:$B$768)-MIN(pima_data!$B$1:$B$768))</f>
        <v>0.50251256281407</v>
      </c>
      <c r="C390" s="5">
        <f>(pima_data!C390-MIN(pima_data!$C$1:$C$768))/(MAX(pima_data!$C$1:$C$768)-MIN(pima_data!$C$1:$C$768))</f>
        <v>0.557377049180328</v>
      </c>
      <c r="D390" s="5">
        <f>(pima_data!D390-MIN(pima_data!$D$1:$D$768))/(MAX(pima_data!$D$1:$D$768)-MIN(pima_data!$D$1:$D$768))</f>
        <v>0.232323232323232</v>
      </c>
      <c r="E390" s="5">
        <f>(pima_data!E390-MIN(pima_data!$E$1:$E$768))/(MAX(pima_data!$E$1:$E$768)-MIN(pima_data!$E$1:$E$768))</f>
        <v>0.0957446808510638</v>
      </c>
      <c r="F390" s="5">
        <f>(pima_data!F390-MIN(pima_data!$F$1:$F$768))/(MAX(pima_data!$F$1:$F$768)-MIN(pima_data!$F$1:$F$768))</f>
        <v>0.470938897168405</v>
      </c>
      <c r="G390" s="5">
        <f>(pima_data!G390-MIN(pima_data!$G$1:$G$768))/(MAX(pima_data!$G$1:$G$768)-MIN(pima_data!$G$1:$G$768))</f>
        <v>0.371904355251921</v>
      </c>
      <c r="H390" s="5">
        <f>(pima_data!H390-MIN(pima_data!$H$1:$H$768))/(MAX(pima_data!$H$1:$H$768)-MIN(pima_data!$H$1:$H$768))</f>
        <v>0.116666666666667</v>
      </c>
    </row>
    <row r="391" spans="1:8">
      <c r="A391" s="5">
        <f>(pima_data!A391-MIN(pima_data!$A$1:$A$768))/(MAX(pima_data!$A$1:$A$768)-MIN(pima_data!$A$1:$A$768))</f>
        <v>0.0588235294117647</v>
      </c>
      <c r="B391" s="5">
        <f>(pima_data!B391-MIN(pima_data!$B$1:$B$768))/(MAX(pima_data!$B$1:$B$768)-MIN(pima_data!$B$1:$B$768))</f>
        <v>0.50251256281407</v>
      </c>
      <c r="C391" s="5">
        <f>(pima_data!C391-MIN(pima_data!$C$1:$C$768))/(MAX(pima_data!$C$1:$C$768)-MIN(pima_data!$C$1:$C$768))</f>
        <v>0.540983606557377</v>
      </c>
      <c r="D391" s="5">
        <f>(pima_data!D391-MIN(pima_data!$D$1:$D$768))/(MAX(pima_data!$D$1:$D$768)-MIN(pima_data!$D$1:$D$768))</f>
        <v>0.292929292929293</v>
      </c>
      <c r="E391" s="5">
        <f>(pima_data!E391-MIN(pima_data!$E$1:$E$768))/(MAX(pima_data!$E$1:$E$768)-MIN(pima_data!$E$1:$E$768))</f>
        <v>0.231678486997636</v>
      </c>
      <c r="F391" s="5">
        <f>(pima_data!F391-MIN(pima_data!$F$1:$F$768))/(MAX(pima_data!$F$1:$F$768)-MIN(pima_data!$F$1:$F$768))</f>
        <v>0.476900149031297</v>
      </c>
      <c r="G391" s="5">
        <f>(pima_data!G391-MIN(pima_data!$G$1:$G$768))/(MAX(pima_data!$G$1:$G$768)-MIN(pima_data!$G$1:$G$768))</f>
        <v>0.156276686592656</v>
      </c>
      <c r="H391" s="5">
        <f>(pima_data!H391-MIN(pima_data!$H$1:$H$768))/(MAX(pima_data!$H$1:$H$768)-MIN(pima_data!$H$1:$H$768))</f>
        <v>0.35</v>
      </c>
    </row>
    <row r="392" spans="1:8">
      <c r="A392" s="5">
        <f>(pima_data!A392-MIN(pima_data!$A$1:$A$768))/(MAX(pima_data!$A$1:$A$768)-MIN(pima_data!$A$1:$A$768))</f>
        <v>0.294117647058824</v>
      </c>
      <c r="B392" s="5">
        <f>(pima_data!B392-MIN(pima_data!$B$1:$B$768))/(MAX(pima_data!$B$1:$B$768)-MIN(pima_data!$B$1:$B$768))</f>
        <v>0.834170854271357</v>
      </c>
      <c r="C392" s="5">
        <f>(pima_data!C392-MIN(pima_data!$C$1:$C$768))/(MAX(pima_data!$C$1:$C$768)-MIN(pima_data!$C$1:$C$768))</f>
        <v>0.622950819672131</v>
      </c>
      <c r="D392" s="5">
        <f>(pima_data!D392-MIN(pima_data!$D$1:$D$768))/(MAX(pima_data!$D$1:$D$768)-MIN(pima_data!$D$1:$D$768))</f>
        <v>0</v>
      </c>
      <c r="E392" s="5">
        <f>(pima_data!E392-MIN(pima_data!$E$1:$E$768))/(MAX(pima_data!$E$1:$E$768)-MIN(pima_data!$E$1:$E$768))</f>
        <v>0</v>
      </c>
      <c r="F392" s="5">
        <f>(pima_data!F392-MIN(pima_data!$F$1:$F$768))/(MAX(pima_data!$F$1:$F$768)-MIN(pima_data!$F$1:$F$768))</f>
        <v>0.681073025335321</v>
      </c>
      <c r="G392" s="5">
        <f>(pima_data!G392-MIN(pima_data!$G$1:$G$768))/(MAX(pima_data!$G$1:$G$768)-MIN(pima_data!$G$1:$G$768))</f>
        <v>0.111870196413322</v>
      </c>
      <c r="H392" s="5">
        <f>(pima_data!H392-MIN(pima_data!$H$1:$H$768))/(MAX(pima_data!$H$1:$H$768)-MIN(pima_data!$H$1:$H$768))</f>
        <v>0.1</v>
      </c>
    </row>
    <row r="393" spans="1:8">
      <c r="A393" s="5">
        <f>(pima_data!A393-MIN(pima_data!$A$1:$A$768))/(MAX(pima_data!$A$1:$A$768)-MIN(pima_data!$A$1:$A$768))</f>
        <v>0.0588235294117647</v>
      </c>
      <c r="B393" s="5">
        <f>(pima_data!B393-MIN(pima_data!$B$1:$B$768))/(MAX(pima_data!$B$1:$B$768)-MIN(pima_data!$B$1:$B$768))</f>
        <v>0.658291457286432</v>
      </c>
      <c r="C393" s="5">
        <f>(pima_data!C393-MIN(pima_data!$C$1:$C$768))/(MAX(pima_data!$C$1:$C$768)-MIN(pima_data!$C$1:$C$768))</f>
        <v>0.524590163934426</v>
      </c>
      <c r="D393" s="5">
        <f>(pima_data!D393-MIN(pima_data!$D$1:$D$768))/(MAX(pima_data!$D$1:$D$768)-MIN(pima_data!$D$1:$D$768))</f>
        <v>0.141414141414141</v>
      </c>
      <c r="E393" s="5">
        <f>(pima_data!E393-MIN(pima_data!$E$1:$E$768))/(MAX(pima_data!$E$1:$E$768)-MIN(pima_data!$E$1:$E$768))</f>
        <v>0.490543735224586</v>
      </c>
      <c r="F393" s="5">
        <f>(pima_data!F393-MIN(pima_data!$F$1:$F$768))/(MAX(pima_data!$F$1:$F$768)-MIN(pima_data!$F$1:$F$768))</f>
        <v>0.353204172876304</v>
      </c>
      <c r="G393" s="5">
        <f>(pima_data!G393-MIN(pima_data!$G$1:$G$768))/(MAX(pima_data!$G$1:$G$768)-MIN(pima_data!$G$1:$G$768))</f>
        <v>0.132792485055508</v>
      </c>
      <c r="H393" s="5">
        <f>(pima_data!H393-MIN(pima_data!$H$1:$H$768))/(MAX(pima_data!$H$1:$H$768)-MIN(pima_data!$H$1:$H$768))</f>
        <v>0</v>
      </c>
    </row>
    <row r="394" spans="1:8">
      <c r="A394" s="5">
        <f>(pima_data!A394-MIN(pima_data!$A$1:$A$768))/(MAX(pima_data!$A$1:$A$768)-MIN(pima_data!$A$1:$A$768))</f>
        <v>0.235294117647059</v>
      </c>
      <c r="B394" s="5">
        <f>(pima_data!B394-MIN(pima_data!$B$1:$B$768))/(MAX(pima_data!$B$1:$B$768)-MIN(pima_data!$B$1:$B$768))</f>
        <v>0.582914572864322</v>
      </c>
      <c r="C394" s="5">
        <f>(pima_data!C394-MIN(pima_data!$C$1:$C$768))/(MAX(pima_data!$C$1:$C$768)-MIN(pima_data!$C$1:$C$768))</f>
        <v>0.590163934426229</v>
      </c>
      <c r="D394" s="5">
        <f>(pima_data!D394-MIN(pima_data!$D$1:$D$768))/(MAX(pima_data!$D$1:$D$768)-MIN(pima_data!$D$1:$D$768))</f>
        <v>0.121212121212121</v>
      </c>
      <c r="E394" s="5">
        <f>(pima_data!E394-MIN(pima_data!$E$1:$E$768))/(MAX(pima_data!$E$1:$E$768)-MIN(pima_data!$E$1:$E$768))</f>
        <v>0.102836879432624</v>
      </c>
      <c r="F394" s="5">
        <f>(pima_data!F394-MIN(pima_data!$F$1:$F$768))/(MAX(pima_data!$F$1:$F$768)-MIN(pima_data!$F$1:$F$768))</f>
        <v>0.329359165424739</v>
      </c>
      <c r="G394" s="5">
        <f>(pima_data!G394-MIN(pima_data!$G$1:$G$768))/(MAX(pima_data!$G$1:$G$768)-MIN(pima_data!$G$1:$G$768))</f>
        <v>0.164389410760034</v>
      </c>
      <c r="H394" s="5">
        <f>(pima_data!H394-MIN(pima_data!$H$1:$H$768))/(MAX(pima_data!$H$1:$H$768)-MIN(pima_data!$H$1:$H$768))</f>
        <v>0.266666666666667</v>
      </c>
    </row>
    <row r="395" spans="1:8">
      <c r="A395" s="5">
        <f>(pima_data!A395-MIN(pima_data!$A$1:$A$768))/(MAX(pima_data!$A$1:$A$768)-MIN(pima_data!$A$1:$A$768))</f>
        <v>0.235294117647059</v>
      </c>
      <c r="B395" s="5">
        <f>(pima_data!B395-MIN(pima_data!$B$1:$B$768))/(MAX(pima_data!$B$1:$B$768)-MIN(pima_data!$B$1:$B$768))</f>
        <v>0.793969849246231</v>
      </c>
      <c r="C395" s="5">
        <f>(pima_data!C395-MIN(pima_data!$C$1:$C$768))/(MAX(pima_data!$C$1:$C$768)-MIN(pima_data!$C$1:$C$768))</f>
        <v>0.639344262295082</v>
      </c>
      <c r="D395" s="5">
        <f>(pima_data!D395-MIN(pima_data!$D$1:$D$768))/(MAX(pima_data!$D$1:$D$768)-MIN(pima_data!$D$1:$D$768))</f>
        <v>0</v>
      </c>
      <c r="E395" s="5">
        <f>(pima_data!E395-MIN(pima_data!$E$1:$E$768))/(MAX(pima_data!$E$1:$E$768)-MIN(pima_data!$E$1:$E$768))</f>
        <v>0</v>
      </c>
      <c r="F395" s="5">
        <f>(pima_data!F395-MIN(pima_data!$F$1:$F$768))/(MAX(pima_data!$F$1:$F$768)-MIN(pima_data!$F$1:$F$768))</f>
        <v>0.490312965722802</v>
      </c>
      <c r="G395" s="5">
        <f>(pima_data!G395-MIN(pima_data!$G$1:$G$768))/(MAX(pima_data!$G$1:$G$768)-MIN(pima_data!$G$1:$G$768))</f>
        <v>0.309564474807857</v>
      </c>
      <c r="H395" s="5">
        <f>(pima_data!H395-MIN(pima_data!$H$1:$H$768))/(MAX(pima_data!$H$1:$H$768)-MIN(pima_data!$H$1:$H$768))</f>
        <v>0.166666666666667</v>
      </c>
    </row>
    <row r="396" spans="1:8">
      <c r="A396" s="5">
        <f>(pima_data!A396-MIN(pima_data!$A$1:$A$768))/(MAX(pima_data!$A$1:$A$768)-MIN(pima_data!$A$1:$A$768))</f>
        <v>0.117647058823529</v>
      </c>
      <c r="B396" s="5">
        <f>(pima_data!B396-MIN(pima_data!$B$1:$B$768))/(MAX(pima_data!$B$1:$B$768)-MIN(pima_data!$B$1:$B$768))</f>
        <v>0.638190954773869</v>
      </c>
      <c r="C396" s="5">
        <f>(pima_data!C396-MIN(pima_data!$C$1:$C$768))/(MAX(pima_data!$C$1:$C$768)-MIN(pima_data!$C$1:$C$768))</f>
        <v>0.475409836065574</v>
      </c>
      <c r="D396" s="5">
        <f>(pima_data!D396-MIN(pima_data!$D$1:$D$768))/(MAX(pima_data!$D$1:$D$768)-MIN(pima_data!$D$1:$D$768))</f>
        <v>0.242424242424242</v>
      </c>
      <c r="E396" s="5">
        <f>(pima_data!E396-MIN(pima_data!$E$1:$E$768))/(MAX(pima_data!$E$1:$E$768)-MIN(pima_data!$E$1:$E$768))</f>
        <v>0.325059101654846</v>
      </c>
      <c r="F396" s="5">
        <f>(pima_data!F396-MIN(pima_data!$F$1:$F$768))/(MAX(pima_data!$F$1:$F$768)-MIN(pima_data!$F$1:$F$768))</f>
        <v>0.412816691505216</v>
      </c>
      <c r="G396" s="5">
        <f>(pima_data!G396-MIN(pima_data!$G$1:$G$768))/(MAX(pima_data!$G$1:$G$768)-MIN(pima_data!$G$1:$G$768))</f>
        <v>0.649871904355252</v>
      </c>
      <c r="H396" s="5">
        <f>(pima_data!H396-MIN(pima_data!$H$1:$H$768))/(MAX(pima_data!$H$1:$H$768)-MIN(pima_data!$H$1:$H$768))</f>
        <v>0.0666666666666667</v>
      </c>
    </row>
    <row r="397" spans="1:8">
      <c r="A397" s="5">
        <f>(pima_data!A397-MIN(pima_data!$A$1:$A$768))/(MAX(pima_data!$A$1:$A$768)-MIN(pima_data!$A$1:$A$768))</f>
        <v>0.176470588235294</v>
      </c>
      <c r="B397" s="5">
        <f>(pima_data!B397-MIN(pima_data!$B$1:$B$768))/(MAX(pima_data!$B$1:$B$768)-MIN(pima_data!$B$1:$B$768))</f>
        <v>0.482412060301508</v>
      </c>
      <c r="C397" s="5">
        <f>(pima_data!C397-MIN(pima_data!$C$1:$C$768))/(MAX(pima_data!$C$1:$C$768)-MIN(pima_data!$C$1:$C$768))</f>
        <v>0.459016393442623</v>
      </c>
      <c r="D397" s="5">
        <f>(pima_data!D397-MIN(pima_data!$D$1:$D$768))/(MAX(pima_data!$D$1:$D$768)-MIN(pima_data!$D$1:$D$768))</f>
        <v>0.343434343434343</v>
      </c>
      <c r="E397" s="5">
        <f>(pima_data!E397-MIN(pima_data!$E$1:$E$768))/(MAX(pima_data!$E$1:$E$768)-MIN(pima_data!$E$1:$E$768))</f>
        <v>0.135933806146572</v>
      </c>
      <c r="F397" s="5">
        <f>(pima_data!F397-MIN(pima_data!$F$1:$F$768))/(MAX(pima_data!$F$1:$F$768)-MIN(pima_data!$F$1:$F$768))</f>
        <v>0.368107302533532</v>
      </c>
      <c r="G397" s="5">
        <f>(pima_data!G397-MIN(pima_data!$G$1:$G$768))/(MAX(pima_data!$G$1:$G$768)-MIN(pima_data!$G$1:$G$768))</f>
        <v>0.369769427839453</v>
      </c>
      <c r="H397" s="5">
        <f>(pima_data!H397-MIN(pima_data!$H$1:$H$768))/(MAX(pima_data!$H$1:$H$768)-MIN(pima_data!$H$1:$H$768))</f>
        <v>0.3</v>
      </c>
    </row>
    <row r="398" spans="1:8">
      <c r="A398" s="5">
        <f>(pima_data!A398-MIN(pima_data!$A$1:$A$768))/(MAX(pima_data!$A$1:$A$768)-MIN(pima_data!$A$1:$A$768))</f>
        <v>0</v>
      </c>
      <c r="B398" s="5">
        <f>(pima_data!B398-MIN(pima_data!$B$1:$B$768))/(MAX(pima_data!$B$1:$B$768)-MIN(pima_data!$B$1:$B$768))</f>
        <v>0.658291457286432</v>
      </c>
      <c r="C398" s="5">
        <f>(pima_data!C398-MIN(pima_data!$C$1:$C$768))/(MAX(pima_data!$C$1:$C$768)-MIN(pima_data!$C$1:$C$768))</f>
        <v>0.540983606557377</v>
      </c>
      <c r="D398" s="5">
        <f>(pima_data!D398-MIN(pima_data!$D$1:$D$768))/(MAX(pima_data!$D$1:$D$768)-MIN(pima_data!$D$1:$D$768))</f>
        <v>0.404040404040404</v>
      </c>
      <c r="E398" s="5">
        <f>(pima_data!E398-MIN(pima_data!$E$1:$E$768))/(MAX(pima_data!$E$1:$E$768)-MIN(pima_data!$E$1:$E$768))</f>
        <v>0</v>
      </c>
      <c r="F398" s="5">
        <f>(pima_data!F398-MIN(pima_data!$F$1:$F$768))/(MAX(pima_data!$F$1:$F$768)-MIN(pima_data!$F$1:$F$768))</f>
        <v>0.511177347242921</v>
      </c>
      <c r="G398" s="5">
        <f>(pima_data!G398-MIN(pima_data!$G$1:$G$768))/(MAX(pima_data!$G$1:$G$768)-MIN(pima_data!$G$1:$G$768))</f>
        <v>0.0503842869342442</v>
      </c>
      <c r="H398" s="5">
        <f>(pima_data!H398-MIN(pima_data!$H$1:$H$768))/(MAX(pima_data!$H$1:$H$768)-MIN(pima_data!$H$1:$H$768))</f>
        <v>0.0166666666666667</v>
      </c>
    </row>
    <row r="399" spans="1:8">
      <c r="A399" s="5">
        <f>(pima_data!A399-MIN(pima_data!$A$1:$A$768))/(MAX(pima_data!$A$1:$A$768)-MIN(pima_data!$A$1:$A$768))</f>
        <v>0.176470588235294</v>
      </c>
      <c r="B399" s="5">
        <f>(pima_data!B399-MIN(pima_data!$B$1:$B$768))/(MAX(pima_data!$B$1:$B$768)-MIN(pima_data!$B$1:$B$768))</f>
        <v>0.412060301507538</v>
      </c>
      <c r="C399" s="5">
        <f>(pima_data!C399-MIN(pima_data!$C$1:$C$768))/(MAX(pima_data!$C$1:$C$768)-MIN(pima_data!$C$1:$C$768))</f>
        <v>0.573770491803279</v>
      </c>
      <c r="D399" s="5">
        <f>(pima_data!D399-MIN(pima_data!$D$1:$D$768))/(MAX(pima_data!$D$1:$D$768)-MIN(pima_data!$D$1:$D$768))</f>
        <v>0</v>
      </c>
      <c r="E399" s="5">
        <f>(pima_data!E399-MIN(pima_data!$E$1:$E$768))/(MAX(pima_data!$E$1:$E$768)-MIN(pima_data!$E$1:$E$768))</f>
        <v>0</v>
      </c>
      <c r="F399" s="5">
        <f>(pima_data!F399-MIN(pima_data!$F$1:$F$768))/(MAX(pima_data!$F$1:$F$768)-MIN(pima_data!$F$1:$F$768))</f>
        <v>0.314456035767511</v>
      </c>
      <c r="G399" s="5">
        <f>(pima_data!G399-MIN(pima_data!$G$1:$G$768))/(MAX(pima_data!$G$1:$G$768)-MIN(pima_data!$G$1:$G$768))</f>
        <v>0.132792485055508</v>
      </c>
      <c r="H399" s="5">
        <f>(pima_data!H399-MIN(pima_data!$H$1:$H$768))/(MAX(pima_data!$H$1:$H$768)-MIN(pima_data!$H$1:$H$768))</f>
        <v>0.0666666666666667</v>
      </c>
    </row>
    <row r="400" spans="1:8">
      <c r="A400" s="5">
        <f>(pima_data!A400-MIN(pima_data!$A$1:$A$768))/(MAX(pima_data!$A$1:$A$768)-MIN(pima_data!$A$1:$A$768))</f>
        <v>0.176470588235294</v>
      </c>
      <c r="B400" s="5">
        <f>(pima_data!B400-MIN(pima_data!$B$1:$B$768))/(MAX(pima_data!$B$1:$B$768)-MIN(pima_data!$B$1:$B$768))</f>
        <v>0.969849246231156</v>
      </c>
      <c r="C400" s="5">
        <f>(pima_data!C400-MIN(pima_data!$C$1:$C$768))/(MAX(pima_data!$C$1:$C$768)-MIN(pima_data!$C$1:$C$768))</f>
        <v>0.573770491803279</v>
      </c>
      <c r="D400" s="5">
        <f>(pima_data!D400-MIN(pima_data!$D$1:$D$768))/(MAX(pima_data!$D$1:$D$768)-MIN(pima_data!$D$1:$D$768))</f>
        <v>0.313131313131313</v>
      </c>
      <c r="E400" s="5">
        <f>(pima_data!E400-MIN(pima_data!$E$1:$E$768))/(MAX(pima_data!$E$1:$E$768)-MIN(pima_data!$E$1:$E$768))</f>
        <v>0</v>
      </c>
      <c r="F400" s="5">
        <f>(pima_data!F400-MIN(pima_data!$F$1:$F$768))/(MAX(pima_data!$F$1:$F$768)-MIN(pima_data!$F$1:$F$768))</f>
        <v>0.520119225037258</v>
      </c>
      <c r="G400" s="5">
        <f>(pima_data!G400-MIN(pima_data!$G$1:$G$768))/(MAX(pima_data!$G$1:$G$768)-MIN(pima_data!$G$1:$G$768))</f>
        <v>0.069598633646456</v>
      </c>
      <c r="H400" s="5">
        <f>(pima_data!H400-MIN(pima_data!$H$1:$H$768))/(MAX(pima_data!$H$1:$H$768)-MIN(pima_data!$H$1:$H$768))</f>
        <v>0.0666666666666667</v>
      </c>
    </row>
    <row r="401" spans="1:8">
      <c r="A401" s="5">
        <f>(pima_data!A401-MIN(pima_data!$A$1:$A$768))/(MAX(pima_data!$A$1:$A$768)-MIN(pima_data!$A$1:$A$768))</f>
        <v>0.235294117647059</v>
      </c>
      <c r="B401" s="5">
        <f>(pima_data!B401-MIN(pima_data!$B$1:$B$768))/(MAX(pima_data!$B$1:$B$768)-MIN(pima_data!$B$1:$B$768))</f>
        <v>0.477386934673367</v>
      </c>
      <c r="C401" s="5">
        <f>(pima_data!C401-MIN(pima_data!$C$1:$C$768))/(MAX(pima_data!$C$1:$C$768)-MIN(pima_data!$C$1:$C$768))</f>
        <v>0.524590163934426</v>
      </c>
      <c r="D401" s="5">
        <f>(pima_data!D401-MIN(pima_data!$D$1:$D$768))/(MAX(pima_data!$D$1:$D$768)-MIN(pima_data!$D$1:$D$768))</f>
        <v>0</v>
      </c>
      <c r="E401" s="5">
        <f>(pima_data!E401-MIN(pima_data!$E$1:$E$768))/(MAX(pima_data!$E$1:$E$768)-MIN(pima_data!$E$1:$E$768))</f>
        <v>0</v>
      </c>
      <c r="F401" s="5">
        <f>(pima_data!F401-MIN(pima_data!$F$1:$F$768))/(MAX(pima_data!$F$1:$F$768)-MIN(pima_data!$F$1:$F$768))</f>
        <v>0.476900149031297</v>
      </c>
      <c r="G401" s="5">
        <f>(pima_data!G401-MIN(pima_data!$G$1:$G$768))/(MAX(pima_data!$G$1:$G$768)-MIN(pima_data!$G$1:$G$768))</f>
        <v>0.0354397950469684</v>
      </c>
      <c r="H401" s="5">
        <f>(pima_data!H401-MIN(pima_data!$H$1:$H$768))/(MAX(pima_data!$H$1:$H$768)-MIN(pima_data!$H$1:$H$768))</f>
        <v>0.166666666666667</v>
      </c>
    </row>
    <row r="402" spans="1:8">
      <c r="A402" s="5">
        <f>(pima_data!A402-MIN(pima_data!$A$1:$A$768))/(MAX(pima_data!$A$1:$A$768)-MIN(pima_data!$A$1:$A$768))</f>
        <v>0.352941176470588</v>
      </c>
      <c r="B402" s="5">
        <f>(pima_data!B402-MIN(pima_data!$B$1:$B$768))/(MAX(pima_data!$B$1:$B$768)-MIN(pima_data!$B$1:$B$768))</f>
        <v>0.688442211055276</v>
      </c>
      <c r="C402" s="5">
        <f>(pima_data!C402-MIN(pima_data!$C$1:$C$768))/(MAX(pima_data!$C$1:$C$768)-MIN(pima_data!$C$1:$C$768))</f>
        <v>0.5</v>
      </c>
      <c r="D402" s="5">
        <f>(pima_data!D402-MIN(pima_data!$D$1:$D$768))/(MAX(pima_data!$D$1:$D$768)-MIN(pima_data!$D$1:$D$768))</f>
        <v>0</v>
      </c>
      <c r="E402" s="5">
        <f>(pima_data!E402-MIN(pima_data!$E$1:$E$768))/(MAX(pima_data!$E$1:$E$768)-MIN(pima_data!$E$1:$E$768))</f>
        <v>0</v>
      </c>
      <c r="F402" s="5">
        <f>(pima_data!F402-MIN(pima_data!$F$1:$F$768))/(MAX(pima_data!$F$1:$F$768)-MIN(pima_data!$F$1:$F$768))</f>
        <v>0.360655737704918</v>
      </c>
      <c r="G402" s="5">
        <f>(pima_data!G402-MIN(pima_data!$G$1:$G$768))/(MAX(pima_data!$G$1:$G$768)-MIN(pima_data!$G$1:$G$768))</f>
        <v>0.0311699402220324</v>
      </c>
      <c r="H402" s="5">
        <f>(pima_data!H402-MIN(pima_data!$H$1:$H$768))/(MAX(pima_data!$H$1:$H$768)-MIN(pima_data!$H$1:$H$768))</f>
        <v>0.566666666666667</v>
      </c>
    </row>
    <row r="403" spans="1:8">
      <c r="A403" s="5">
        <f>(pima_data!A403-MIN(pima_data!$A$1:$A$768))/(MAX(pima_data!$A$1:$A$768)-MIN(pima_data!$A$1:$A$768))</f>
        <v>0.294117647058824</v>
      </c>
      <c r="B403" s="5">
        <f>(pima_data!B403-MIN(pima_data!$B$1:$B$768))/(MAX(pima_data!$B$1:$B$768)-MIN(pima_data!$B$1:$B$768))</f>
        <v>0.683417085427136</v>
      </c>
      <c r="C403" s="5">
        <f>(pima_data!C403-MIN(pima_data!$C$1:$C$768))/(MAX(pima_data!$C$1:$C$768)-MIN(pima_data!$C$1:$C$768))</f>
        <v>0.688524590163934</v>
      </c>
      <c r="D403" s="5">
        <f>(pima_data!D403-MIN(pima_data!$D$1:$D$768))/(MAX(pima_data!$D$1:$D$768)-MIN(pima_data!$D$1:$D$768))</f>
        <v>0.414141414141414</v>
      </c>
      <c r="E403" s="5">
        <f>(pima_data!E403-MIN(pima_data!$E$1:$E$768))/(MAX(pima_data!$E$1:$E$768)-MIN(pima_data!$E$1:$E$768))</f>
        <v>0.104018912529551</v>
      </c>
      <c r="F403" s="5">
        <f>(pima_data!F403-MIN(pima_data!$F$1:$F$768))/(MAX(pima_data!$F$1:$F$768)-MIN(pima_data!$F$1:$F$768))</f>
        <v>0.521609538002981</v>
      </c>
      <c r="G403" s="5">
        <f>(pima_data!G403-MIN(pima_data!$G$1:$G$768))/(MAX(pima_data!$G$1:$G$768)-MIN(pima_data!$G$1:$G$768))</f>
        <v>0.0888129803586678</v>
      </c>
      <c r="H403" s="5">
        <f>(pima_data!H403-MIN(pima_data!$H$1:$H$768))/(MAX(pima_data!$H$1:$H$768)-MIN(pima_data!$H$1:$H$768))</f>
        <v>0.233333333333333</v>
      </c>
    </row>
    <row r="404" spans="1:8">
      <c r="A404" s="5">
        <f>(pima_data!A404-MIN(pima_data!$A$1:$A$768))/(MAX(pima_data!$A$1:$A$768)-MIN(pima_data!$A$1:$A$768))</f>
        <v>0.529411764705882</v>
      </c>
      <c r="B404" s="5">
        <f>(pima_data!B404-MIN(pima_data!$B$1:$B$768))/(MAX(pima_data!$B$1:$B$768)-MIN(pima_data!$B$1:$B$768))</f>
        <v>0.361809045226131</v>
      </c>
      <c r="C404" s="5">
        <f>(pima_data!C404-MIN(pima_data!$C$1:$C$768))/(MAX(pima_data!$C$1:$C$768)-MIN(pima_data!$C$1:$C$768))</f>
        <v>0.639344262295082</v>
      </c>
      <c r="D404" s="5">
        <f>(pima_data!D404-MIN(pima_data!$D$1:$D$768))/(MAX(pima_data!$D$1:$D$768)-MIN(pima_data!$D$1:$D$768))</f>
        <v>0.252525252525253</v>
      </c>
      <c r="E404" s="5">
        <f>(pima_data!E404-MIN(pima_data!$E$1:$E$768))/(MAX(pima_data!$E$1:$E$768)-MIN(pima_data!$E$1:$E$768))</f>
        <v>0</v>
      </c>
      <c r="F404" s="5">
        <f>(pima_data!F404-MIN(pima_data!$F$1:$F$768))/(MAX(pima_data!$F$1:$F$768)-MIN(pima_data!$F$1:$F$768))</f>
        <v>0.470938897168405</v>
      </c>
      <c r="G404" s="5">
        <f>(pima_data!G404-MIN(pima_data!$G$1:$G$768))/(MAX(pima_data!$G$1:$G$768)-MIN(pima_data!$G$1:$G$768))</f>
        <v>0.0862510674637062</v>
      </c>
      <c r="H404" s="5">
        <f>(pima_data!H404-MIN(pima_data!$H$1:$H$768))/(MAX(pima_data!$H$1:$H$768)-MIN(pima_data!$H$1:$H$768))</f>
        <v>0.283333333333333</v>
      </c>
    </row>
    <row r="405" spans="1:8">
      <c r="A405" s="5">
        <f>(pima_data!A405-MIN(pima_data!$A$1:$A$768))/(MAX(pima_data!$A$1:$A$768)-MIN(pima_data!$A$1:$A$768))</f>
        <v>0.294117647058824</v>
      </c>
      <c r="B405" s="5">
        <f>(pima_data!B405-MIN(pima_data!$B$1:$B$768))/(MAX(pima_data!$B$1:$B$768)-MIN(pima_data!$B$1:$B$768))</f>
        <v>0.844221105527638</v>
      </c>
      <c r="C405" s="5">
        <f>(pima_data!C405-MIN(pima_data!$C$1:$C$768))/(MAX(pima_data!$C$1:$C$768)-MIN(pima_data!$C$1:$C$768))</f>
        <v>0.524590163934426</v>
      </c>
      <c r="D405" s="5">
        <f>(pima_data!D405-MIN(pima_data!$D$1:$D$768))/(MAX(pima_data!$D$1:$D$768)-MIN(pima_data!$D$1:$D$768))</f>
        <v>0</v>
      </c>
      <c r="E405" s="5">
        <f>(pima_data!E405-MIN(pima_data!$E$1:$E$768))/(MAX(pima_data!$E$1:$E$768)-MIN(pima_data!$E$1:$E$768))</f>
        <v>0</v>
      </c>
      <c r="F405" s="5">
        <f>(pima_data!F405-MIN(pima_data!$F$1:$F$768))/(MAX(pima_data!$F$1:$F$768)-MIN(pima_data!$F$1:$F$768))</f>
        <v>0.490312965722802</v>
      </c>
      <c r="G405" s="5">
        <f>(pima_data!G405-MIN(pima_data!$G$1:$G$768))/(MAX(pima_data!$G$1:$G$768)-MIN(pima_data!$G$1:$G$768))</f>
        <v>0.0243381725021349</v>
      </c>
      <c r="H405" s="5">
        <f>(pima_data!H405-MIN(pima_data!$H$1:$H$768))/(MAX(pima_data!$H$1:$H$768)-MIN(pima_data!$H$1:$H$768))</f>
        <v>0.333333333333333</v>
      </c>
    </row>
    <row r="406" spans="1:8">
      <c r="A406" s="5">
        <f>(pima_data!A406-MIN(pima_data!$A$1:$A$768))/(MAX(pima_data!$A$1:$A$768)-MIN(pima_data!$A$1:$A$768))</f>
        <v>0.117647058823529</v>
      </c>
      <c r="B406" s="5">
        <f>(pima_data!B406-MIN(pima_data!$B$1:$B$768))/(MAX(pima_data!$B$1:$B$768)-MIN(pima_data!$B$1:$B$768))</f>
        <v>0.618090452261307</v>
      </c>
      <c r="C406" s="5">
        <f>(pima_data!C406-MIN(pima_data!$C$1:$C$768))/(MAX(pima_data!$C$1:$C$768)-MIN(pima_data!$C$1:$C$768))</f>
        <v>0.39344262295082</v>
      </c>
      <c r="D406" s="5">
        <f>(pima_data!D406-MIN(pima_data!$D$1:$D$768))/(MAX(pima_data!$D$1:$D$768)-MIN(pima_data!$D$1:$D$768))</f>
        <v>0.323232323232323</v>
      </c>
      <c r="E406" s="5">
        <f>(pima_data!E406-MIN(pima_data!$E$1:$E$768))/(MAX(pima_data!$E$1:$E$768)-MIN(pima_data!$E$1:$E$768))</f>
        <v>0.195035460992908</v>
      </c>
      <c r="F406" s="5">
        <f>(pima_data!F406-MIN(pima_data!$F$1:$F$768))/(MAX(pima_data!$F$1:$F$768)-MIN(pima_data!$F$1:$F$768))</f>
        <v>0.6274217585693</v>
      </c>
      <c r="G406" s="5">
        <f>(pima_data!G406-MIN(pima_data!$G$1:$G$768))/(MAX(pima_data!$G$1:$G$768)-MIN(pima_data!$G$1:$G$768))</f>
        <v>0.188727583262169</v>
      </c>
      <c r="H406" s="5">
        <f>(pima_data!H406-MIN(pima_data!$H$1:$H$768))/(MAX(pima_data!$H$1:$H$768)-MIN(pima_data!$H$1:$H$768))</f>
        <v>0.0833333333333333</v>
      </c>
    </row>
    <row r="407" spans="1:8">
      <c r="A407" s="5">
        <f>(pima_data!A407-MIN(pima_data!$A$1:$A$768))/(MAX(pima_data!$A$1:$A$768)-MIN(pima_data!$A$1:$A$768))</f>
        <v>0.235294117647059</v>
      </c>
      <c r="B407" s="5">
        <f>(pima_data!B407-MIN(pima_data!$B$1:$B$768))/(MAX(pima_data!$B$1:$B$768)-MIN(pima_data!$B$1:$B$768))</f>
        <v>0.577889447236181</v>
      </c>
      <c r="C407" s="5">
        <f>(pima_data!C407-MIN(pima_data!$C$1:$C$768))/(MAX(pima_data!$C$1:$C$768)-MIN(pima_data!$C$1:$C$768))</f>
        <v>0.590163934426229</v>
      </c>
      <c r="D407" s="5">
        <f>(pima_data!D407-MIN(pima_data!$D$1:$D$768))/(MAX(pima_data!$D$1:$D$768)-MIN(pima_data!$D$1:$D$768))</f>
        <v>0</v>
      </c>
      <c r="E407" s="5">
        <f>(pima_data!E407-MIN(pima_data!$E$1:$E$768))/(MAX(pima_data!$E$1:$E$768)-MIN(pima_data!$E$1:$E$768))</f>
        <v>0</v>
      </c>
      <c r="F407" s="5">
        <f>(pima_data!F407-MIN(pima_data!$F$1:$F$768))/(MAX(pima_data!$F$1:$F$768)-MIN(pima_data!$F$1:$F$768))</f>
        <v>0.43070044709389</v>
      </c>
      <c r="G407" s="5">
        <f>(pima_data!G407-MIN(pima_data!$G$1:$G$768))/(MAX(pima_data!$G$1:$G$768)-MIN(pima_data!$G$1:$G$768))</f>
        <v>0.127241673783091</v>
      </c>
      <c r="H407" s="5">
        <f>(pima_data!H407-MIN(pima_data!$H$1:$H$768))/(MAX(pima_data!$H$1:$H$768)-MIN(pima_data!$H$1:$H$768))</f>
        <v>0.416666666666667</v>
      </c>
    </row>
    <row r="408" spans="1:8">
      <c r="A408" s="5">
        <f>(pima_data!A408-MIN(pima_data!$A$1:$A$768))/(MAX(pima_data!$A$1:$A$768)-MIN(pima_data!$A$1:$A$768))</f>
        <v>0</v>
      </c>
      <c r="B408" s="5">
        <f>(pima_data!B408-MIN(pima_data!$B$1:$B$768))/(MAX(pima_data!$B$1:$B$768)-MIN(pima_data!$B$1:$B$768))</f>
        <v>0.507537688442211</v>
      </c>
      <c r="C408" s="5">
        <f>(pima_data!C408-MIN(pima_data!$C$1:$C$768))/(MAX(pima_data!$C$1:$C$768)-MIN(pima_data!$C$1:$C$768))</f>
        <v>0.508196721311475</v>
      </c>
      <c r="D408" s="5">
        <f>(pima_data!D408-MIN(pima_data!$D$1:$D$768))/(MAX(pima_data!$D$1:$D$768)-MIN(pima_data!$D$1:$D$768))</f>
        <v>0</v>
      </c>
      <c r="E408" s="5">
        <f>(pima_data!E408-MIN(pima_data!$E$1:$E$768))/(MAX(pima_data!$E$1:$E$768)-MIN(pima_data!$E$1:$E$768))</f>
        <v>0</v>
      </c>
      <c r="F408" s="5">
        <f>(pima_data!F408-MIN(pima_data!$F$1:$F$768))/(MAX(pima_data!$F$1:$F$768)-MIN(pima_data!$F$1:$F$768))</f>
        <v>0.326378539493294</v>
      </c>
      <c r="G408" s="5">
        <f>(pima_data!G408-MIN(pima_data!$G$1:$G$768))/(MAX(pima_data!$G$1:$G$768)-MIN(pima_data!$G$1:$G$768))</f>
        <v>0.110162254483348</v>
      </c>
      <c r="H408" s="5">
        <f>(pima_data!H408-MIN(pima_data!$H$1:$H$768))/(MAX(pima_data!$H$1:$H$768)-MIN(pima_data!$H$1:$H$768))</f>
        <v>0.0666666666666667</v>
      </c>
    </row>
    <row r="409" spans="1:8">
      <c r="A409" s="5">
        <f>(pima_data!A409-MIN(pima_data!$A$1:$A$768))/(MAX(pima_data!$A$1:$A$768)-MIN(pima_data!$A$1:$A$768))</f>
        <v>0.470588235294118</v>
      </c>
      <c r="B409" s="5">
        <f>(pima_data!B409-MIN(pima_data!$B$1:$B$768))/(MAX(pima_data!$B$1:$B$768)-MIN(pima_data!$B$1:$B$768))</f>
        <v>0.989949748743719</v>
      </c>
      <c r="C409" s="5">
        <f>(pima_data!C409-MIN(pima_data!$C$1:$C$768))/(MAX(pima_data!$C$1:$C$768)-MIN(pima_data!$C$1:$C$768))</f>
        <v>0.60655737704918</v>
      </c>
      <c r="D409" s="5">
        <f>(pima_data!D409-MIN(pima_data!$D$1:$D$768))/(MAX(pima_data!$D$1:$D$768)-MIN(pima_data!$D$1:$D$768))</f>
        <v>0</v>
      </c>
      <c r="E409" s="5">
        <f>(pima_data!E409-MIN(pima_data!$E$1:$E$768))/(MAX(pima_data!$E$1:$E$768)-MIN(pima_data!$E$1:$E$768))</f>
        <v>0</v>
      </c>
      <c r="F409" s="5">
        <f>(pima_data!F409-MIN(pima_data!$F$1:$F$768))/(MAX(pima_data!$F$1:$F$768)-MIN(pima_data!$F$1:$F$768))</f>
        <v>0.385991058122206</v>
      </c>
      <c r="G409" s="5">
        <f>(pima_data!G409-MIN(pima_data!$G$1:$G$768))/(MAX(pima_data!$G$1:$G$768)-MIN(pima_data!$G$1:$G$768))</f>
        <v>0.475234842015371</v>
      </c>
      <c r="H409" s="5">
        <f>(pima_data!H409-MIN(pima_data!$H$1:$H$768))/(MAX(pima_data!$H$1:$H$768)-MIN(pima_data!$H$1:$H$768))</f>
        <v>0.3</v>
      </c>
    </row>
    <row r="410" spans="1:8">
      <c r="A410" s="5">
        <f>(pima_data!A410-MIN(pima_data!$A$1:$A$768))/(MAX(pima_data!$A$1:$A$768)-MIN(pima_data!$A$1:$A$768))</f>
        <v>0.0588235294117647</v>
      </c>
      <c r="B410" s="5">
        <f>(pima_data!B410-MIN(pima_data!$B$1:$B$768))/(MAX(pima_data!$B$1:$B$768)-MIN(pima_data!$B$1:$B$768))</f>
        <v>0.864321608040201</v>
      </c>
      <c r="C410" s="5">
        <f>(pima_data!C410-MIN(pima_data!$C$1:$C$768))/(MAX(pima_data!$C$1:$C$768)-MIN(pima_data!$C$1:$C$768))</f>
        <v>0.557377049180328</v>
      </c>
      <c r="D410" s="5">
        <f>(pima_data!D410-MIN(pima_data!$D$1:$D$768))/(MAX(pima_data!$D$1:$D$768)-MIN(pima_data!$D$1:$D$768))</f>
        <v>0.494949494949495</v>
      </c>
      <c r="E410" s="5">
        <f>(pima_data!E410-MIN(pima_data!$E$1:$E$768))/(MAX(pima_data!$E$1:$E$768)-MIN(pima_data!$E$1:$E$768))</f>
        <v>0.684397163120567</v>
      </c>
      <c r="F410" s="5">
        <f>(pima_data!F410-MIN(pima_data!$F$1:$F$768))/(MAX(pima_data!$F$1:$F$768)-MIN(pima_data!$F$1:$F$768))</f>
        <v>0.631892697466468</v>
      </c>
      <c r="G410" s="5">
        <f>(pima_data!G410-MIN(pima_data!$G$1:$G$768))/(MAX(pima_data!$G$1:$G$768)-MIN(pima_data!$G$1:$G$768))</f>
        <v>0.266438941076003</v>
      </c>
      <c r="H410" s="5">
        <f>(pima_data!H410-MIN(pima_data!$H$1:$H$768))/(MAX(pima_data!$H$1:$H$768)-MIN(pima_data!$H$1:$H$768))</f>
        <v>0.116666666666667</v>
      </c>
    </row>
    <row r="411" spans="1:8">
      <c r="A411" s="5">
        <f>(pima_data!A411-MIN(pima_data!$A$1:$A$768))/(MAX(pima_data!$A$1:$A$768)-MIN(pima_data!$A$1:$A$768))</f>
        <v>0.352941176470588</v>
      </c>
      <c r="B411" s="5">
        <f>(pima_data!B411-MIN(pima_data!$B$1:$B$768))/(MAX(pima_data!$B$1:$B$768)-MIN(pima_data!$B$1:$B$768))</f>
        <v>0.512562814070352</v>
      </c>
      <c r="C411" s="5">
        <f>(pima_data!C411-MIN(pima_data!$C$1:$C$768))/(MAX(pima_data!$C$1:$C$768)-MIN(pima_data!$C$1:$C$768))</f>
        <v>0.737704918032787</v>
      </c>
      <c r="D411" s="5">
        <f>(pima_data!D411-MIN(pima_data!$D$1:$D$768))/(MAX(pima_data!$D$1:$D$768)-MIN(pima_data!$D$1:$D$768))</f>
        <v>0.393939393939394</v>
      </c>
      <c r="E411" s="5">
        <f>(pima_data!E411-MIN(pima_data!$E$1:$E$768))/(MAX(pima_data!$E$1:$E$768)-MIN(pima_data!$E$1:$E$768))</f>
        <v>0</v>
      </c>
      <c r="F411" s="5">
        <f>(pima_data!F411-MIN(pima_data!$F$1:$F$768))/(MAX(pima_data!$F$1:$F$768)-MIN(pima_data!$F$1:$F$768))</f>
        <v>0.53204172876304</v>
      </c>
      <c r="G411" s="5">
        <f>(pima_data!G411-MIN(pima_data!$G$1:$G$768))/(MAX(pima_data!$G$1:$G$768)-MIN(pima_data!$G$1:$G$768))</f>
        <v>0.254483347566183</v>
      </c>
      <c r="H411" s="5">
        <f>(pima_data!H411-MIN(pima_data!$H$1:$H$768))/(MAX(pima_data!$H$1:$H$768)-MIN(pima_data!$H$1:$H$768))</f>
        <v>0.116666666666667</v>
      </c>
    </row>
    <row r="412" spans="1:8">
      <c r="A412" s="5">
        <f>(pima_data!A412-MIN(pima_data!$A$1:$A$768))/(MAX(pima_data!$A$1:$A$768)-MIN(pima_data!$A$1:$A$768))</f>
        <v>0.0588235294117647</v>
      </c>
      <c r="B412" s="5">
        <f>(pima_data!B412-MIN(pima_data!$B$1:$B$768))/(MAX(pima_data!$B$1:$B$768)-MIN(pima_data!$B$1:$B$768))</f>
        <v>0.562814070351759</v>
      </c>
      <c r="C412" s="5">
        <f>(pima_data!C412-MIN(pima_data!$C$1:$C$768))/(MAX(pima_data!$C$1:$C$768)-MIN(pima_data!$C$1:$C$768))</f>
        <v>0.590163934426229</v>
      </c>
      <c r="D412" s="5">
        <f>(pima_data!D412-MIN(pima_data!$D$1:$D$768))/(MAX(pima_data!$D$1:$D$768)-MIN(pima_data!$D$1:$D$768))</f>
        <v>0.303030303030303</v>
      </c>
      <c r="E412" s="5">
        <f>(pima_data!E412-MIN(pima_data!$E$1:$E$768))/(MAX(pima_data!$E$1:$E$768)-MIN(pima_data!$E$1:$E$768))</f>
        <v>0.208037825059102</v>
      </c>
      <c r="F412" s="5">
        <f>(pima_data!F412-MIN(pima_data!$F$1:$F$768))/(MAX(pima_data!$F$1:$F$768)-MIN(pima_data!$F$1:$F$768))</f>
        <v>0.512667660208644</v>
      </c>
      <c r="G412" s="5">
        <f>(pima_data!G412-MIN(pima_data!$G$1:$G$768))/(MAX(pima_data!$G$1:$G$768)-MIN(pima_data!$G$1:$G$768))</f>
        <v>0.192143467122118</v>
      </c>
      <c r="H412" s="5">
        <f>(pima_data!H412-MIN(pima_data!$H$1:$H$768))/(MAX(pima_data!$H$1:$H$768)-MIN(pima_data!$H$1:$H$768))</f>
        <v>0.0666666666666667</v>
      </c>
    </row>
    <row r="413" spans="1:8">
      <c r="A413" s="5">
        <f>(pima_data!A413-MIN(pima_data!$A$1:$A$768))/(MAX(pima_data!$A$1:$A$768)-MIN(pima_data!$A$1:$A$768))</f>
        <v>0.0588235294117647</v>
      </c>
      <c r="B413" s="5">
        <f>(pima_data!B413-MIN(pima_data!$B$1:$B$768))/(MAX(pima_data!$B$1:$B$768)-MIN(pima_data!$B$1:$B$768))</f>
        <v>0.718592964824121</v>
      </c>
      <c r="C413" s="5">
        <f>(pima_data!C413-MIN(pima_data!$C$1:$C$768))/(MAX(pima_data!$C$1:$C$768)-MIN(pima_data!$C$1:$C$768))</f>
        <v>0.688524590163934</v>
      </c>
      <c r="D413" s="5">
        <f>(pima_data!D413-MIN(pima_data!$D$1:$D$768))/(MAX(pima_data!$D$1:$D$768)-MIN(pima_data!$D$1:$D$768))</f>
        <v>0.232323232323232</v>
      </c>
      <c r="E413" s="5">
        <f>(pima_data!E413-MIN(pima_data!$E$1:$E$768))/(MAX(pima_data!$E$1:$E$768)-MIN(pima_data!$E$1:$E$768))</f>
        <v>0.366430260047281</v>
      </c>
      <c r="F413" s="5">
        <f>(pima_data!F413-MIN(pima_data!$F$1:$F$768))/(MAX(pima_data!$F$1:$F$768)-MIN(pima_data!$F$1:$F$768))</f>
        <v>0.631892697466468</v>
      </c>
      <c r="G413" s="5">
        <f>(pima_data!G413-MIN(pima_data!$G$1:$G$768))/(MAX(pima_data!$G$1:$G$768)-MIN(pima_data!$G$1:$G$768))</f>
        <v>0.426131511528608</v>
      </c>
      <c r="H413" s="5">
        <f>(pima_data!H413-MIN(pima_data!$H$1:$H$768))/(MAX(pima_data!$H$1:$H$768)-MIN(pima_data!$H$1:$H$768))</f>
        <v>0.0166666666666667</v>
      </c>
    </row>
    <row r="414" spans="1:8">
      <c r="A414" s="5">
        <f>(pima_data!A414-MIN(pima_data!$A$1:$A$768))/(MAX(pima_data!$A$1:$A$768)-MIN(pima_data!$A$1:$A$768))</f>
        <v>0.0588235294117647</v>
      </c>
      <c r="B414" s="5">
        <f>(pima_data!B414-MIN(pima_data!$B$1:$B$768))/(MAX(pima_data!$B$1:$B$768)-MIN(pima_data!$B$1:$B$768))</f>
        <v>0.718592964824121</v>
      </c>
      <c r="C414" s="5">
        <f>(pima_data!C414-MIN(pima_data!$C$1:$C$768))/(MAX(pima_data!$C$1:$C$768)-MIN(pima_data!$C$1:$C$768))</f>
        <v>0.60655737704918</v>
      </c>
      <c r="D414" s="5">
        <f>(pima_data!D414-MIN(pima_data!$D$1:$D$768))/(MAX(pima_data!$D$1:$D$768)-MIN(pima_data!$D$1:$D$768))</f>
        <v>0.222222222222222</v>
      </c>
      <c r="E414" s="5">
        <f>(pima_data!E414-MIN(pima_data!$E$1:$E$768))/(MAX(pima_data!$E$1:$E$768)-MIN(pima_data!$E$1:$E$768))</f>
        <v>0.0721040189125296</v>
      </c>
      <c r="F414" s="5">
        <f>(pima_data!F414-MIN(pima_data!$F$1:$F$768))/(MAX(pima_data!$F$1:$F$768)-MIN(pima_data!$F$1:$F$768))</f>
        <v>0.390461997019374</v>
      </c>
      <c r="G414" s="5">
        <f>(pima_data!G414-MIN(pima_data!$G$1:$G$768))/(MAX(pima_data!$G$1:$G$768)-MIN(pima_data!$G$1:$G$768))</f>
        <v>0.0760034158838599</v>
      </c>
      <c r="H414" s="5">
        <f>(pima_data!H414-MIN(pima_data!$H$1:$H$768))/(MAX(pima_data!$H$1:$H$768)-MIN(pima_data!$H$1:$H$768))</f>
        <v>0</v>
      </c>
    </row>
    <row r="415" spans="1:8">
      <c r="A415" s="5">
        <f>(pima_data!A415-MIN(pima_data!$A$1:$A$768))/(MAX(pima_data!$A$1:$A$768)-MIN(pima_data!$A$1:$A$768))</f>
        <v>0</v>
      </c>
      <c r="B415" s="5">
        <f>(pima_data!B415-MIN(pima_data!$B$1:$B$768))/(MAX(pima_data!$B$1:$B$768)-MIN(pima_data!$B$1:$B$768))</f>
        <v>0.693467336683417</v>
      </c>
      <c r="C415" s="5">
        <f>(pima_data!C415-MIN(pima_data!$C$1:$C$768))/(MAX(pima_data!$C$1:$C$768)-MIN(pima_data!$C$1:$C$768))</f>
        <v>0.491803278688525</v>
      </c>
      <c r="D415" s="5">
        <f>(pima_data!D415-MIN(pima_data!$D$1:$D$768))/(MAX(pima_data!$D$1:$D$768)-MIN(pima_data!$D$1:$D$768))</f>
        <v>0.353535353535354</v>
      </c>
      <c r="E415" s="5">
        <f>(pima_data!E415-MIN(pima_data!$E$1:$E$768))/(MAX(pima_data!$E$1:$E$768)-MIN(pima_data!$E$1:$E$768))</f>
        <v>0.197399527186761</v>
      </c>
      <c r="F415" s="5">
        <f>(pima_data!F415-MIN(pima_data!$F$1:$F$768))/(MAX(pima_data!$F$1:$F$768)-MIN(pima_data!$F$1:$F$768))</f>
        <v>0.51564828614009</v>
      </c>
      <c r="G415" s="5">
        <f>(pima_data!G415-MIN(pima_data!$G$1:$G$768))/(MAX(pima_data!$G$1:$G$768)-MIN(pima_data!$G$1:$G$768))</f>
        <v>0.194705380017079</v>
      </c>
      <c r="H415" s="5">
        <f>(pima_data!H415-MIN(pima_data!$H$1:$H$768))/(MAX(pima_data!$H$1:$H$768)-MIN(pima_data!$H$1:$H$768))</f>
        <v>0</v>
      </c>
    </row>
    <row r="416" spans="1:8">
      <c r="A416" s="5">
        <f>(pima_data!A416-MIN(pima_data!$A$1:$A$768))/(MAX(pima_data!$A$1:$A$768)-MIN(pima_data!$A$1:$A$768))</f>
        <v>0.176470588235294</v>
      </c>
      <c r="B416" s="5">
        <f>(pima_data!B416-MIN(pima_data!$B$1:$B$768))/(MAX(pima_data!$B$1:$B$768)-MIN(pima_data!$B$1:$B$768))</f>
        <v>0.869346733668342</v>
      </c>
      <c r="C416" s="5">
        <f>(pima_data!C416-MIN(pima_data!$C$1:$C$768))/(MAX(pima_data!$C$1:$C$768)-MIN(pima_data!$C$1:$C$768))</f>
        <v>0.688524590163934</v>
      </c>
      <c r="D416" s="5">
        <f>(pima_data!D416-MIN(pima_data!$D$1:$D$768))/(MAX(pima_data!$D$1:$D$768)-MIN(pima_data!$D$1:$D$768))</f>
        <v>0.333333333333333</v>
      </c>
      <c r="E416" s="5">
        <f>(pima_data!E416-MIN(pima_data!$E$1:$E$768))/(MAX(pima_data!$E$1:$E$768)-MIN(pima_data!$E$1:$E$768))</f>
        <v>0.560283687943262</v>
      </c>
      <c r="F416" s="5">
        <f>(pima_data!F416-MIN(pima_data!$F$1:$F$768))/(MAX(pima_data!$F$1:$F$768)-MIN(pima_data!$F$1:$F$768))</f>
        <v>0.53204172876304</v>
      </c>
      <c r="G416" s="5">
        <f>(pima_data!G416-MIN(pima_data!$G$1:$G$768))/(MAX(pima_data!$G$1:$G$768)-MIN(pima_data!$G$1:$G$768))</f>
        <v>0.0768573868488471</v>
      </c>
      <c r="H416" s="5">
        <f>(pima_data!H416-MIN(pima_data!$H$1:$H$768))/(MAX(pima_data!$H$1:$H$768)-MIN(pima_data!$H$1:$H$768))</f>
        <v>0.0166666666666667</v>
      </c>
    </row>
    <row r="417" spans="1:8">
      <c r="A417" s="5">
        <f>(pima_data!A417-MIN(pima_data!$A$1:$A$768))/(MAX(pima_data!$A$1:$A$768)-MIN(pima_data!$A$1:$A$768))</f>
        <v>0.0588235294117647</v>
      </c>
      <c r="B417" s="5">
        <f>(pima_data!B417-MIN(pima_data!$B$1:$B$768))/(MAX(pima_data!$B$1:$B$768)-MIN(pima_data!$B$1:$B$768))</f>
        <v>0.487437185929648</v>
      </c>
      <c r="C417" s="5">
        <f>(pima_data!C417-MIN(pima_data!$C$1:$C$768))/(MAX(pima_data!$C$1:$C$768)-MIN(pima_data!$C$1:$C$768))</f>
        <v>0.557377049180328</v>
      </c>
      <c r="D417" s="5">
        <f>(pima_data!D417-MIN(pima_data!$D$1:$D$768))/(MAX(pima_data!$D$1:$D$768)-MIN(pima_data!$D$1:$D$768))</f>
        <v>0.212121212121212</v>
      </c>
      <c r="E417" s="5">
        <f>(pima_data!E417-MIN(pima_data!$E$1:$E$768))/(MAX(pima_data!$E$1:$E$768)-MIN(pima_data!$E$1:$E$768))</f>
        <v>0</v>
      </c>
      <c r="F417" s="5">
        <f>(pima_data!F417-MIN(pima_data!$F$1:$F$768))/(MAX(pima_data!$F$1:$F$768)-MIN(pima_data!$F$1:$F$768))</f>
        <v>0.405365126676602</v>
      </c>
      <c r="G417" s="5">
        <f>(pima_data!G417-MIN(pima_data!$G$1:$G$768))/(MAX(pima_data!$G$1:$G$768)-MIN(pima_data!$G$1:$G$768))</f>
        <v>0.434244235695986</v>
      </c>
      <c r="H417" s="5">
        <f>(pima_data!H417-MIN(pima_data!$H$1:$H$768))/(MAX(pima_data!$H$1:$H$768)-MIN(pima_data!$H$1:$H$768))</f>
        <v>0.0166666666666667</v>
      </c>
    </row>
    <row r="418" spans="1:8">
      <c r="A418" s="5">
        <f>(pima_data!A418-MIN(pima_data!$A$1:$A$768))/(MAX(pima_data!$A$1:$A$768)-MIN(pima_data!$A$1:$A$768))</f>
        <v>0.235294117647059</v>
      </c>
      <c r="B418" s="5">
        <f>(pima_data!B418-MIN(pima_data!$B$1:$B$768))/(MAX(pima_data!$B$1:$B$768)-MIN(pima_data!$B$1:$B$768))</f>
        <v>0.723618090452261</v>
      </c>
      <c r="C418" s="5">
        <f>(pima_data!C418-MIN(pima_data!$C$1:$C$768))/(MAX(pima_data!$C$1:$C$768)-MIN(pima_data!$C$1:$C$768))</f>
        <v>0.672131147540984</v>
      </c>
      <c r="D418" s="5">
        <f>(pima_data!D418-MIN(pima_data!$D$1:$D$768))/(MAX(pima_data!$D$1:$D$768)-MIN(pima_data!$D$1:$D$768))</f>
        <v>0.323232323232323</v>
      </c>
      <c r="E418" s="5">
        <f>(pima_data!E418-MIN(pima_data!$E$1:$E$768))/(MAX(pima_data!$E$1:$E$768)-MIN(pima_data!$E$1:$E$768))</f>
        <v>0</v>
      </c>
      <c r="F418" s="5">
        <f>(pima_data!F418-MIN(pima_data!$F$1:$F$768))/(MAX(pima_data!$F$1:$F$768)-MIN(pima_data!$F$1:$F$768))</f>
        <v>0.573770491803279</v>
      </c>
      <c r="G418" s="5">
        <f>(pima_data!G418-MIN(pima_data!$G$1:$G$768))/(MAX(pima_data!$G$1:$G$768)-MIN(pima_data!$G$1:$G$768))</f>
        <v>0.203245089666951</v>
      </c>
      <c r="H418" s="5">
        <f>(pima_data!H418-MIN(pima_data!$H$1:$H$768))/(MAX(pima_data!$H$1:$H$768)-MIN(pima_data!$H$1:$H$768))</f>
        <v>0.266666666666667</v>
      </c>
    </row>
    <row r="419" spans="1:8">
      <c r="A419" s="5">
        <f>(pima_data!A419-MIN(pima_data!$A$1:$A$768))/(MAX(pima_data!$A$1:$A$768)-MIN(pima_data!$A$1:$A$768))</f>
        <v>0.0588235294117647</v>
      </c>
      <c r="B419" s="5">
        <f>(pima_data!B419-MIN(pima_data!$B$1:$B$768))/(MAX(pima_data!$B$1:$B$768)-MIN(pima_data!$B$1:$B$768))</f>
        <v>0.417085427135678</v>
      </c>
      <c r="C419" s="5">
        <f>(pima_data!C419-MIN(pima_data!$C$1:$C$768))/(MAX(pima_data!$C$1:$C$768)-MIN(pima_data!$C$1:$C$768))</f>
        <v>0.557377049180328</v>
      </c>
      <c r="D419" s="5">
        <f>(pima_data!D419-MIN(pima_data!$D$1:$D$768))/(MAX(pima_data!$D$1:$D$768)-MIN(pima_data!$D$1:$D$768))</f>
        <v>0</v>
      </c>
      <c r="E419" s="5">
        <f>(pima_data!E419-MIN(pima_data!$E$1:$E$768))/(MAX(pima_data!$E$1:$E$768)-MIN(pima_data!$E$1:$E$768))</f>
        <v>0</v>
      </c>
      <c r="F419" s="5">
        <f>(pima_data!F419-MIN(pima_data!$F$1:$F$768))/(MAX(pima_data!$F$1:$F$768)-MIN(pima_data!$F$1:$F$768))</f>
        <v>0.27123695976155</v>
      </c>
      <c r="G419" s="5">
        <f>(pima_data!G419-MIN(pima_data!$G$1:$G$768))/(MAX(pima_data!$G$1:$G$768)-MIN(pima_data!$G$1:$G$768))</f>
        <v>0.233134073441503</v>
      </c>
      <c r="H419" s="5">
        <f>(pima_data!H419-MIN(pima_data!$H$1:$H$768))/(MAX(pima_data!$H$1:$H$768)-MIN(pima_data!$H$1:$H$768))</f>
        <v>0.1</v>
      </c>
    </row>
    <row r="420" spans="1:8">
      <c r="A420" s="5">
        <f>(pima_data!A420-MIN(pima_data!$A$1:$A$768))/(MAX(pima_data!$A$1:$A$768)-MIN(pima_data!$A$1:$A$768))</f>
        <v>0.176470588235294</v>
      </c>
      <c r="B420" s="5">
        <f>(pima_data!B420-MIN(pima_data!$B$1:$B$768))/(MAX(pima_data!$B$1:$B$768)-MIN(pima_data!$B$1:$B$768))</f>
        <v>0.648241206030151</v>
      </c>
      <c r="C420" s="5">
        <f>(pima_data!C420-MIN(pima_data!$C$1:$C$768))/(MAX(pima_data!$C$1:$C$768)-MIN(pima_data!$C$1:$C$768))</f>
        <v>0.524590163934426</v>
      </c>
      <c r="D420" s="5">
        <f>(pima_data!D420-MIN(pima_data!$D$1:$D$768))/(MAX(pima_data!$D$1:$D$768)-MIN(pima_data!$D$1:$D$768))</f>
        <v>0.292929292929293</v>
      </c>
      <c r="E420" s="5">
        <f>(pima_data!E420-MIN(pima_data!$E$1:$E$768))/(MAX(pima_data!$E$1:$E$768)-MIN(pima_data!$E$1:$E$768))</f>
        <v>0.135933806146572</v>
      </c>
      <c r="F420" s="5">
        <f>(pima_data!F420-MIN(pima_data!$F$1:$F$768))/(MAX(pima_data!$F$1:$F$768)-MIN(pima_data!$F$1:$F$768))</f>
        <v>0.39344262295082</v>
      </c>
      <c r="G420" s="5">
        <f>(pima_data!G420-MIN(pima_data!$G$1:$G$768))/(MAX(pima_data!$G$1:$G$768)-MIN(pima_data!$G$1:$G$768))</f>
        <v>0.0602049530315969</v>
      </c>
      <c r="H420" s="5">
        <f>(pima_data!H420-MIN(pima_data!$H$1:$H$768))/(MAX(pima_data!$H$1:$H$768)-MIN(pima_data!$H$1:$H$768))</f>
        <v>0.116666666666667</v>
      </c>
    </row>
    <row r="421" spans="1:8">
      <c r="A421" s="5">
        <f>(pima_data!A421-MIN(pima_data!$A$1:$A$768))/(MAX(pima_data!$A$1:$A$768)-MIN(pima_data!$A$1:$A$768))</f>
        <v>0.0588235294117647</v>
      </c>
      <c r="B421" s="5">
        <f>(pima_data!B421-MIN(pima_data!$B$1:$B$768))/(MAX(pima_data!$B$1:$B$768)-MIN(pima_data!$B$1:$B$768))</f>
        <v>0.597989949748744</v>
      </c>
      <c r="C421" s="5">
        <f>(pima_data!C421-MIN(pima_data!$C$1:$C$768))/(MAX(pima_data!$C$1:$C$768)-MIN(pima_data!$C$1:$C$768))</f>
        <v>0.721311475409836</v>
      </c>
      <c r="D421" s="5">
        <f>(pima_data!D421-MIN(pima_data!$D$1:$D$768))/(MAX(pima_data!$D$1:$D$768)-MIN(pima_data!$D$1:$D$768))</f>
        <v>0.414141414141414</v>
      </c>
      <c r="E421" s="5">
        <f>(pima_data!E421-MIN(pima_data!$E$1:$E$768))/(MAX(pima_data!$E$1:$E$768)-MIN(pima_data!$E$1:$E$768))</f>
        <v>0.200945626477541</v>
      </c>
      <c r="F421" s="5">
        <f>(pima_data!F421-MIN(pima_data!$F$1:$F$768))/(MAX(pima_data!$F$1:$F$768)-MIN(pima_data!$F$1:$F$768))</f>
        <v>0.675111773472429</v>
      </c>
      <c r="G421" s="5">
        <f>(pima_data!G421-MIN(pima_data!$G$1:$G$768))/(MAX(pima_data!$G$1:$G$768)-MIN(pima_data!$G$1:$G$768))</f>
        <v>0.183176771989752</v>
      </c>
      <c r="H421" s="5">
        <f>(pima_data!H421-MIN(pima_data!$H$1:$H$768))/(MAX(pima_data!$H$1:$H$768)-MIN(pima_data!$H$1:$H$768))</f>
        <v>0.0833333333333333</v>
      </c>
    </row>
    <row r="422" spans="1:8">
      <c r="A422" s="5">
        <f>(pima_data!A422-MIN(pima_data!$A$1:$A$768))/(MAX(pima_data!$A$1:$A$768)-MIN(pima_data!$A$1:$A$768))</f>
        <v>0.117647058823529</v>
      </c>
      <c r="B422" s="5">
        <f>(pima_data!B422-MIN(pima_data!$B$1:$B$768))/(MAX(pima_data!$B$1:$B$768)-MIN(pima_data!$B$1:$B$768))</f>
        <v>0.472361809045226</v>
      </c>
      <c r="C422" s="5">
        <f>(pima_data!C422-MIN(pima_data!$C$1:$C$768))/(MAX(pima_data!$C$1:$C$768)-MIN(pima_data!$C$1:$C$768))</f>
        <v>0.557377049180328</v>
      </c>
      <c r="D422" s="5">
        <f>(pima_data!D422-MIN(pima_data!$D$1:$D$768))/(MAX(pima_data!$D$1:$D$768)-MIN(pima_data!$D$1:$D$768))</f>
        <v>0.181818181818182</v>
      </c>
      <c r="E422" s="5">
        <f>(pima_data!E422-MIN(pima_data!$E$1:$E$768))/(MAX(pima_data!$E$1:$E$768)-MIN(pima_data!$E$1:$E$768))</f>
        <v>0.0898345153664303</v>
      </c>
      <c r="F422" s="5">
        <f>(pima_data!F422-MIN(pima_data!$F$1:$F$768))/(MAX(pima_data!$F$1:$F$768)-MIN(pima_data!$F$1:$F$768))</f>
        <v>0.387481371087929</v>
      </c>
      <c r="G422" s="5">
        <f>(pima_data!G422-MIN(pima_data!$G$1:$G$768))/(MAX(pima_data!$G$1:$G$768)-MIN(pima_data!$G$1:$G$768))</f>
        <v>0.206233988044407</v>
      </c>
      <c r="H422" s="5">
        <f>(pima_data!H422-MIN(pima_data!$H$1:$H$768))/(MAX(pima_data!$H$1:$H$768)-MIN(pima_data!$H$1:$H$768))</f>
        <v>0</v>
      </c>
    </row>
    <row r="423" spans="1:8">
      <c r="A423" s="5">
        <f>(pima_data!A423-MIN(pima_data!$A$1:$A$768))/(MAX(pima_data!$A$1:$A$768)-MIN(pima_data!$A$1:$A$768))</f>
        <v>0</v>
      </c>
      <c r="B423" s="5">
        <f>(pima_data!B423-MIN(pima_data!$B$1:$B$768))/(MAX(pima_data!$B$1:$B$768)-MIN(pima_data!$B$1:$B$768))</f>
        <v>0.512562814070352</v>
      </c>
      <c r="C423" s="5">
        <f>(pima_data!C423-MIN(pima_data!$C$1:$C$768))/(MAX(pima_data!$C$1:$C$768)-MIN(pima_data!$C$1:$C$768))</f>
        <v>0.524590163934426</v>
      </c>
      <c r="D423" s="5">
        <f>(pima_data!D423-MIN(pima_data!$D$1:$D$768))/(MAX(pima_data!$D$1:$D$768)-MIN(pima_data!$D$1:$D$768))</f>
        <v>0.464646464646465</v>
      </c>
      <c r="E423" s="5">
        <f>(pima_data!E423-MIN(pima_data!$E$1:$E$768))/(MAX(pima_data!$E$1:$E$768)-MIN(pima_data!$E$1:$E$768))</f>
        <v>0.0921985815602837</v>
      </c>
      <c r="F423" s="5">
        <f>(pima_data!F423-MIN(pima_data!$F$1:$F$768))/(MAX(pima_data!$F$1:$F$768)-MIN(pima_data!$F$1:$F$768))</f>
        <v>0.605067064083458</v>
      </c>
      <c r="G423" s="5">
        <f>(pima_data!G423-MIN(pima_data!$G$1:$G$768))/(MAX(pima_data!$G$1:$G$768)-MIN(pima_data!$G$1:$G$768))</f>
        <v>0.178479931682323</v>
      </c>
      <c r="H423" s="5">
        <f>(pima_data!H423-MIN(pima_data!$H$1:$H$768))/(MAX(pima_data!$H$1:$H$768)-MIN(pima_data!$H$1:$H$768))</f>
        <v>0</v>
      </c>
    </row>
    <row r="424" spans="1:8">
      <c r="A424" s="5">
        <f>(pima_data!A424-MIN(pima_data!$A$1:$A$768))/(MAX(pima_data!$A$1:$A$768)-MIN(pima_data!$A$1:$A$768))</f>
        <v>0.117647058823529</v>
      </c>
      <c r="B424" s="5">
        <f>(pima_data!B424-MIN(pima_data!$B$1:$B$768))/(MAX(pima_data!$B$1:$B$768)-MIN(pima_data!$B$1:$B$768))</f>
        <v>0.577889447236181</v>
      </c>
      <c r="C424" s="5">
        <f>(pima_data!C424-MIN(pima_data!$C$1:$C$768))/(MAX(pima_data!$C$1:$C$768)-MIN(pima_data!$C$1:$C$768))</f>
        <v>0.524590163934426</v>
      </c>
      <c r="D424" s="5">
        <f>(pima_data!D424-MIN(pima_data!$D$1:$D$768))/(MAX(pima_data!$D$1:$D$768)-MIN(pima_data!$D$1:$D$768))</f>
        <v>0.222222222222222</v>
      </c>
      <c r="E424" s="5">
        <f>(pima_data!E424-MIN(pima_data!$E$1:$E$768))/(MAX(pima_data!$E$1:$E$768)-MIN(pima_data!$E$1:$E$768))</f>
        <v>0</v>
      </c>
      <c r="F424" s="5">
        <f>(pima_data!F424-MIN(pima_data!$F$1:$F$768))/(MAX(pima_data!$F$1:$F$768)-MIN(pima_data!$F$1:$F$768))</f>
        <v>0.459016393442623</v>
      </c>
      <c r="G424" s="5">
        <f>(pima_data!G424-MIN(pima_data!$G$1:$G$768))/(MAX(pima_data!$G$1:$G$768)-MIN(pima_data!$G$1:$G$768))</f>
        <v>0.146456020495303</v>
      </c>
      <c r="H424" s="5">
        <f>(pima_data!H424-MIN(pima_data!$H$1:$H$768))/(MAX(pima_data!$H$1:$H$768)-MIN(pima_data!$H$1:$H$768))</f>
        <v>0</v>
      </c>
    </row>
    <row r="425" spans="1:8">
      <c r="A425" s="5">
        <f>(pima_data!A425-MIN(pima_data!$A$1:$A$768))/(MAX(pima_data!$A$1:$A$768)-MIN(pima_data!$A$1:$A$768))</f>
        <v>0.470588235294118</v>
      </c>
      <c r="B425" s="5">
        <f>(pima_data!B425-MIN(pima_data!$B$1:$B$768))/(MAX(pima_data!$B$1:$B$768)-MIN(pima_data!$B$1:$B$768))</f>
        <v>0.758793969849246</v>
      </c>
      <c r="C425" s="5">
        <f>(pima_data!C425-MIN(pima_data!$C$1:$C$768))/(MAX(pima_data!$C$1:$C$768)-MIN(pima_data!$C$1:$C$768))</f>
        <v>0.639344262295082</v>
      </c>
      <c r="D425" s="5">
        <f>(pima_data!D425-MIN(pima_data!$D$1:$D$768))/(MAX(pima_data!$D$1:$D$768)-MIN(pima_data!$D$1:$D$768))</f>
        <v>0.323232323232323</v>
      </c>
      <c r="E425" s="5">
        <f>(pima_data!E425-MIN(pima_data!$E$1:$E$768))/(MAX(pima_data!$E$1:$E$768)-MIN(pima_data!$E$1:$E$768))</f>
        <v>0.24822695035461</v>
      </c>
      <c r="F425" s="5">
        <f>(pima_data!F425-MIN(pima_data!$F$1:$F$768))/(MAX(pima_data!$F$1:$F$768)-MIN(pima_data!$F$1:$F$768))</f>
        <v>0.639344262295082</v>
      </c>
      <c r="G425" s="5">
        <f>(pima_data!G425-MIN(pima_data!$G$1:$G$768))/(MAX(pima_data!$G$1:$G$768)-MIN(pima_data!$G$1:$G$768))</f>
        <v>0.187019641332195</v>
      </c>
      <c r="H425" s="5">
        <f>(pima_data!H425-MIN(pima_data!$H$1:$H$768))/(MAX(pima_data!$H$1:$H$768)-MIN(pima_data!$H$1:$H$768))</f>
        <v>0.25</v>
      </c>
    </row>
    <row r="426" spans="1:8">
      <c r="A426" s="5">
        <f>(pima_data!A426-MIN(pima_data!$A$1:$A$768))/(MAX(pima_data!$A$1:$A$768)-MIN(pima_data!$A$1:$A$768))</f>
        <v>0.235294117647059</v>
      </c>
      <c r="B426" s="5">
        <f>(pima_data!B426-MIN(pima_data!$B$1:$B$768))/(MAX(pima_data!$B$1:$B$768)-MIN(pima_data!$B$1:$B$768))</f>
        <v>0.924623115577889</v>
      </c>
      <c r="C426" s="5">
        <f>(pima_data!C426-MIN(pima_data!$C$1:$C$768))/(MAX(pima_data!$C$1:$C$768)-MIN(pima_data!$C$1:$C$768))</f>
        <v>0.639344262295082</v>
      </c>
      <c r="D426" s="5">
        <f>(pima_data!D426-MIN(pima_data!$D$1:$D$768))/(MAX(pima_data!$D$1:$D$768)-MIN(pima_data!$D$1:$D$768))</f>
        <v>0.393939393939394</v>
      </c>
      <c r="E426" s="5">
        <f>(pima_data!E426-MIN(pima_data!$E$1:$E$768))/(MAX(pima_data!$E$1:$E$768)-MIN(pima_data!$E$1:$E$768))</f>
        <v>0.3274231678487</v>
      </c>
      <c r="F426" s="5">
        <f>(pima_data!F426-MIN(pima_data!$F$1:$F$768))/(MAX(pima_data!$F$1:$F$768)-MIN(pima_data!$F$1:$F$768))</f>
        <v>0.551415797317437</v>
      </c>
      <c r="G426" s="5">
        <f>(pima_data!G426-MIN(pima_data!$G$1:$G$768))/(MAX(pima_data!$G$1:$G$768)-MIN(pima_data!$G$1:$G$768))</f>
        <v>0.0794192997438087</v>
      </c>
      <c r="H426" s="5">
        <f>(pima_data!H426-MIN(pima_data!$H$1:$H$768))/(MAX(pima_data!$H$1:$H$768)-MIN(pima_data!$H$1:$H$768))</f>
        <v>0.166666666666667</v>
      </c>
    </row>
    <row r="427" spans="1:8">
      <c r="A427" s="5">
        <f>(pima_data!A427-MIN(pima_data!$A$1:$A$768))/(MAX(pima_data!$A$1:$A$768)-MIN(pima_data!$A$1:$A$768))</f>
        <v>0</v>
      </c>
      <c r="B427" s="5">
        <f>(pima_data!B427-MIN(pima_data!$B$1:$B$768))/(MAX(pima_data!$B$1:$B$768)-MIN(pima_data!$B$1:$B$768))</f>
        <v>0.472361809045226</v>
      </c>
      <c r="C427" s="5">
        <f>(pima_data!C427-MIN(pima_data!$C$1:$C$768))/(MAX(pima_data!$C$1:$C$768)-MIN(pima_data!$C$1:$C$768))</f>
        <v>0</v>
      </c>
      <c r="D427" s="5">
        <f>(pima_data!D427-MIN(pima_data!$D$1:$D$768))/(MAX(pima_data!$D$1:$D$768)-MIN(pima_data!$D$1:$D$768))</f>
        <v>0</v>
      </c>
      <c r="E427" s="5">
        <f>(pima_data!E427-MIN(pima_data!$E$1:$E$768))/(MAX(pima_data!$E$1:$E$768)-MIN(pima_data!$E$1:$E$768))</f>
        <v>0</v>
      </c>
      <c r="F427" s="5">
        <f>(pima_data!F427-MIN(pima_data!$F$1:$F$768))/(MAX(pima_data!$F$1:$F$768)-MIN(pima_data!$F$1:$F$768))</f>
        <v>0</v>
      </c>
      <c r="G427" s="5">
        <f>(pima_data!G427-MIN(pima_data!$G$1:$G$768))/(MAX(pima_data!$G$1:$G$768)-MIN(pima_data!$G$1:$G$768))</f>
        <v>0.0760034158838599</v>
      </c>
      <c r="H427" s="5">
        <f>(pima_data!H427-MIN(pima_data!$H$1:$H$768))/(MAX(pima_data!$H$1:$H$768)-MIN(pima_data!$H$1:$H$768))</f>
        <v>0.0666666666666667</v>
      </c>
    </row>
    <row r="428" spans="1:8">
      <c r="A428" s="5">
        <f>(pima_data!A428-MIN(pima_data!$A$1:$A$768))/(MAX(pima_data!$A$1:$A$768)-MIN(pima_data!$A$1:$A$768))</f>
        <v>0.0588235294117647</v>
      </c>
      <c r="B428" s="5">
        <f>(pima_data!B428-MIN(pima_data!$B$1:$B$768))/(MAX(pima_data!$B$1:$B$768)-MIN(pima_data!$B$1:$B$768))</f>
        <v>0.909547738693467</v>
      </c>
      <c r="C428" s="5">
        <f>(pima_data!C428-MIN(pima_data!$C$1:$C$768))/(MAX(pima_data!$C$1:$C$768)-MIN(pima_data!$C$1:$C$768))</f>
        <v>0.524590163934426</v>
      </c>
      <c r="D428" s="5">
        <f>(pima_data!D428-MIN(pima_data!$D$1:$D$768))/(MAX(pima_data!$D$1:$D$768)-MIN(pima_data!$D$1:$D$768))</f>
        <v>0.303030303030303</v>
      </c>
      <c r="E428" s="5">
        <f>(pima_data!E428-MIN(pima_data!$E$1:$E$768))/(MAX(pima_data!$E$1:$E$768)-MIN(pima_data!$E$1:$E$768))</f>
        <v>0.212765957446809</v>
      </c>
      <c r="F428" s="5">
        <f>(pima_data!F428-MIN(pima_data!$F$1:$F$768))/(MAX(pima_data!$F$1:$F$768)-MIN(pima_data!$F$1:$F$768))</f>
        <v>0.508196721311475</v>
      </c>
      <c r="G428" s="5">
        <f>(pima_data!G428-MIN(pima_data!$G$1:$G$768))/(MAX(pima_data!$G$1:$G$768)-MIN(pima_data!$G$1:$G$768))</f>
        <v>0.106746370623399</v>
      </c>
      <c r="H428" s="5">
        <f>(pima_data!H428-MIN(pima_data!$H$1:$H$768))/(MAX(pima_data!$H$1:$H$768)-MIN(pima_data!$H$1:$H$768))</f>
        <v>0.283333333333333</v>
      </c>
    </row>
    <row r="429" spans="1:8">
      <c r="A429" s="5">
        <f>(pima_data!A429-MIN(pima_data!$A$1:$A$768))/(MAX(pima_data!$A$1:$A$768)-MIN(pima_data!$A$1:$A$768))</f>
        <v>0</v>
      </c>
      <c r="B429" s="5">
        <f>(pima_data!B429-MIN(pima_data!$B$1:$B$768))/(MAX(pima_data!$B$1:$B$768)-MIN(pima_data!$B$1:$B$768))</f>
        <v>0.678391959798995</v>
      </c>
      <c r="C429" s="5">
        <f>(pima_data!C429-MIN(pima_data!$C$1:$C$768))/(MAX(pima_data!$C$1:$C$768)-MIN(pima_data!$C$1:$C$768))</f>
        <v>0.770491803278688</v>
      </c>
      <c r="D429" s="5">
        <f>(pima_data!D429-MIN(pima_data!$D$1:$D$768))/(MAX(pima_data!$D$1:$D$768)-MIN(pima_data!$D$1:$D$768))</f>
        <v>0.464646464646465</v>
      </c>
      <c r="E429" s="5">
        <f>(pima_data!E429-MIN(pima_data!$E$1:$E$768))/(MAX(pima_data!$E$1:$E$768)-MIN(pima_data!$E$1:$E$768))</f>
        <v>0.171394799054374</v>
      </c>
      <c r="F429" s="5">
        <f>(pima_data!F429-MIN(pima_data!$F$1:$F$768))/(MAX(pima_data!$F$1:$F$768)-MIN(pima_data!$F$1:$F$768))</f>
        <v>0.605067064083458</v>
      </c>
      <c r="G429" s="5">
        <f>(pima_data!G429-MIN(pima_data!$G$1:$G$768))/(MAX(pima_data!$G$1:$G$768)-MIN(pima_data!$G$1:$G$768))</f>
        <v>0.0879590093936806</v>
      </c>
      <c r="H429" s="5">
        <f>(pima_data!H429-MIN(pima_data!$H$1:$H$768))/(MAX(pima_data!$H$1:$H$768)-MIN(pima_data!$H$1:$H$768))</f>
        <v>0.0833333333333333</v>
      </c>
    </row>
    <row r="430" spans="1:8">
      <c r="A430" s="5">
        <f>(pima_data!A430-MIN(pima_data!$A$1:$A$768))/(MAX(pima_data!$A$1:$A$768)-MIN(pima_data!$A$1:$A$768))</f>
        <v>0.0588235294117647</v>
      </c>
      <c r="B430" s="5">
        <f>(pima_data!B430-MIN(pima_data!$B$1:$B$768))/(MAX(pima_data!$B$1:$B$768)-MIN(pima_data!$B$1:$B$768))</f>
        <v>0.477386934673367</v>
      </c>
      <c r="C430" s="5">
        <f>(pima_data!C430-MIN(pima_data!$C$1:$C$768))/(MAX(pima_data!$C$1:$C$768)-MIN(pima_data!$C$1:$C$768))</f>
        <v>0.672131147540984</v>
      </c>
      <c r="D430" s="5">
        <f>(pima_data!D430-MIN(pima_data!$D$1:$D$768))/(MAX(pima_data!$D$1:$D$768)-MIN(pima_data!$D$1:$D$768))</f>
        <v>0.252525252525253</v>
      </c>
      <c r="E430" s="5">
        <f>(pima_data!E430-MIN(pima_data!$E$1:$E$768))/(MAX(pima_data!$E$1:$E$768)-MIN(pima_data!$E$1:$E$768))</f>
        <v>0.212765957446809</v>
      </c>
      <c r="F430" s="5">
        <f>(pima_data!F430-MIN(pima_data!$F$1:$F$768))/(MAX(pima_data!$F$1:$F$768)-MIN(pima_data!$F$1:$F$768))</f>
        <v>0.521609538002981</v>
      </c>
      <c r="G430" s="5">
        <f>(pima_data!G430-MIN(pima_data!$G$1:$G$768))/(MAX(pima_data!$G$1:$G$768)-MIN(pima_data!$G$1:$G$768))</f>
        <v>0.0661827497865073</v>
      </c>
      <c r="H430" s="5">
        <f>(pima_data!H430-MIN(pima_data!$H$1:$H$768))/(MAX(pima_data!$H$1:$H$768)-MIN(pima_data!$H$1:$H$768))</f>
        <v>0.366666666666667</v>
      </c>
    </row>
    <row r="431" spans="1:8">
      <c r="A431" s="5">
        <f>(pima_data!A431-MIN(pima_data!$A$1:$A$768))/(MAX(pima_data!$A$1:$A$768)-MIN(pima_data!$A$1:$A$768))</f>
        <v>0.117647058823529</v>
      </c>
      <c r="B431" s="5">
        <f>(pima_data!B431-MIN(pima_data!$B$1:$B$768))/(MAX(pima_data!$B$1:$B$768)-MIN(pima_data!$B$1:$B$768))</f>
        <v>0.49748743718593</v>
      </c>
      <c r="C431" s="5">
        <f>(pima_data!C431-MIN(pima_data!$C$1:$C$768))/(MAX(pima_data!$C$1:$C$768)-MIN(pima_data!$C$1:$C$768))</f>
        <v>0</v>
      </c>
      <c r="D431" s="5">
        <f>(pima_data!D431-MIN(pima_data!$D$1:$D$768))/(MAX(pima_data!$D$1:$D$768)-MIN(pima_data!$D$1:$D$768))</f>
        <v>0</v>
      </c>
      <c r="E431" s="5">
        <f>(pima_data!E431-MIN(pima_data!$E$1:$E$768))/(MAX(pima_data!$E$1:$E$768)-MIN(pima_data!$E$1:$E$768))</f>
        <v>0</v>
      </c>
      <c r="F431" s="5">
        <f>(pima_data!F431-MIN(pima_data!$F$1:$F$768))/(MAX(pima_data!$F$1:$F$768)-MIN(pima_data!$F$1:$F$768))</f>
        <v>0.330849478390462</v>
      </c>
      <c r="G431" s="5">
        <f>(pima_data!G431-MIN(pima_data!$G$1:$G$768))/(MAX(pima_data!$G$1:$G$768)-MIN(pima_data!$G$1:$G$768))</f>
        <v>0.0128095644748079</v>
      </c>
      <c r="H431" s="5">
        <f>(pima_data!H431-MIN(pima_data!$H$1:$H$768))/(MAX(pima_data!$H$1:$H$768)-MIN(pima_data!$H$1:$H$768))</f>
        <v>0.0333333333333333</v>
      </c>
    </row>
    <row r="432" spans="1:8">
      <c r="A432" s="5">
        <f>(pima_data!A432-MIN(pima_data!$A$1:$A$768))/(MAX(pima_data!$A$1:$A$768)-MIN(pima_data!$A$1:$A$768))</f>
        <v>0.176470588235294</v>
      </c>
      <c r="B432" s="5">
        <f>(pima_data!B432-MIN(pima_data!$B$1:$B$768))/(MAX(pima_data!$B$1:$B$768)-MIN(pima_data!$B$1:$B$768))</f>
        <v>0.447236180904523</v>
      </c>
      <c r="C432" s="5">
        <f>(pima_data!C432-MIN(pima_data!$C$1:$C$768))/(MAX(pima_data!$C$1:$C$768)-MIN(pima_data!$C$1:$C$768))</f>
        <v>0.60655737704918</v>
      </c>
      <c r="D432" s="5">
        <f>(pima_data!D432-MIN(pima_data!$D$1:$D$768))/(MAX(pima_data!$D$1:$D$768)-MIN(pima_data!$D$1:$D$768))</f>
        <v>0.161616161616162</v>
      </c>
      <c r="E432" s="5">
        <f>(pima_data!E432-MIN(pima_data!$E$1:$E$768))/(MAX(pima_data!$E$1:$E$768)-MIN(pima_data!$E$1:$E$768))</f>
        <v>0.100472813238771</v>
      </c>
      <c r="F432" s="5">
        <f>(pima_data!F432-MIN(pima_data!$F$1:$F$768))/(MAX(pima_data!$F$1:$F$768)-MIN(pima_data!$F$1:$F$768))</f>
        <v>0.453055141579732</v>
      </c>
      <c r="G432" s="5">
        <f>(pima_data!G432-MIN(pima_data!$G$1:$G$768))/(MAX(pima_data!$G$1:$G$768)-MIN(pima_data!$G$1:$G$768))</f>
        <v>0.201964133219471</v>
      </c>
      <c r="H432" s="5">
        <f>(pima_data!H432-MIN(pima_data!$H$1:$H$768))/(MAX(pima_data!$H$1:$H$768)-MIN(pima_data!$H$1:$H$768))</f>
        <v>0.283333333333333</v>
      </c>
    </row>
    <row r="433" spans="1:8">
      <c r="A433" s="5">
        <f>(pima_data!A433-MIN(pima_data!$A$1:$A$768))/(MAX(pima_data!$A$1:$A$768)-MIN(pima_data!$A$1:$A$768))</f>
        <v>0.0588235294117647</v>
      </c>
      <c r="B433" s="5">
        <f>(pima_data!B433-MIN(pima_data!$B$1:$B$768))/(MAX(pima_data!$B$1:$B$768)-MIN(pima_data!$B$1:$B$768))</f>
        <v>0.402010050251256</v>
      </c>
      <c r="C433" s="5">
        <f>(pima_data!C433-MIN(pima_data!$C$1:$C$768))/(MAX(pima_data!$C$1:$C$768)-MIN(pima_data!$C$1:$C$768))</f>
        <v>0.60655737704918</v>
      </c>
      <c r="D433" s="5">
        <f>(pima_data!D433-MIN(pima_data!$D$1:$D$768))/(MAX(pima_data!$D$1:$D$768)-MIN(pima_data!$D$1:$D$768))</f>
        <v>0.111111111111111</v>
      </c>
      <c r="E433" s="5">
        <f>(pima_data!E433-MIN(pima_data!$E$1:$E$768))/(MAX(pima_data!$E$1:$E$768)-MIN(pima_data!$E$1:$E$768))</f>
        <v>0.0709219858156028</v>
      </c>
      <c r="F433" s="5">
        <f>(pima_data!F433-MIN(pima_data!$F$1:$F$768))/(MAX(pima_data!$F$1:$F$768)-MIN(pima_data!$F$1:$F$768))</f>
        <v>0.447093889716841</v>
      </c>
      <c r="G433" s="5">
        <f>(pima_data!G433-MIN(pima_data!$G$1:$G$768))/(MAX(pima_data!$G$1:$G$768)-MIN(pima_data!$G$1:$G$768))</f>
        <v>0.191716481639624</v>
      </c>
      <c r="H433" s="5">
        <f>(pima_data!H433-MIN(pima_data!$H$1:$H$768))/(MAX(pima_data!$H$1:$H$768)-MIN(pima_data!$H$1:$H$768))</f>
        <v>0.0166666666666667</v>
      </c>
    </row>
    <row r="434" spans="1:8">
      <c r="A434" s="5">
        <f>(pima_data!A434-MIN(pima_data!$A$1:$A$768))/(MAX(pima_data!$A$1:$A$768)-MIN(pima_data!$A$1:$A$768))</f>
        <v>0.117647058823529</v>
      </c>
      <c r="B434" s="5">
        <f>(pima_data!B434-MIN(pima_data!$B$1:$B$768))/(MAX(pima_data!$B$1:$B$768)-MIN(pima_data!$B$1:$B$768))</f>
        <v>0.698492462311558</v>
      </c>
      <c r="C434" s="5">
        <f>(pima_data!C434-MIN(pima_data!$C$1:$C$768))/(MAX(pima_data!$C$1:$C$768)-MIN(pima_data!$C$1:$C$768))</f>
        <v>0.614754098360656</v>
      </c>
      <c r="D434" s="5">
        <f>(pima_data!D434-MIN(pima_data!$D$1:$D$768))/(MAX(pima_data!$D$1:$D$768)-MIN(pima_data!$D$1:$D$768))</f>
        <v>0</v>
      </c>
      <c r="E434" s="5">
        <f>(pima_data!E434-MIN(pima_data!$E$1:$E$768))/(MAX(pima_data!$E$1:$E$768)-MIN(pima_data!$E$1:$E$768))</f>
        <v>0</v>
      </c>
      <c r="F434" s="5">
        <f>(pima_data!F434-MIN(pima_data!$F$1:$F$768))/(MAX(pima_data!$F$1:$F$768)-MIN(pima_data!$F$1:$F$768))</f>
        <v>0.381520119225037</v>
      </c>
      <c r="G434" s="5">
        <f>(pima_data!G434-MIN(pima_data!$G$1:$G$768))/(MAX(pima_data!$G$1:$G$768)-MIN(pima_data!$G$1:$G$768))</f>
        <v>0.03800170794193</v>
      </c>
      <c r="H434" s="5">
        <f>(pima_data!H434-MIN(pima_data!$H$1:$H$768))/(MAX(pima_data!$H$1:$H$768)-MIN(pima_data!$H$1:$H$768))</f>
        <v>0.133333333333333</v>
      </c>
    </row>
    <row r="435" spans="1:8">
      <c r="A435" s="5">
        <f>(pima_data!A435-MIN(pima_data!$A$1:$A$768))/(MAX(pima_data!$A$1:$A$768)-MIN(pima_data!$A$1:$A$768))</f>
        <v>0.0588235294117647</v>
      </c>
      <c r="B435" s="5">
        <f>(pima_data!B435-MIN(pima_data!$B$1:$B$768))/(MAX(pima_data!$B$1:$B$768)-MIN(pima_data!$B$1:$B$768))</f>
        <v>0.452261306532663</v>
      </c>
      <c r="C435" s="5">
        <f>(pima_data!C435-MIN(pima_data!$C$1:$C$768))/(MAX(pima_data!$C$1:$C$768)-MIN(pima_data!$C$1:$C$768))</f>
        <v>0.557377049180328</v>
      </c>
      <c r="D435" s="5">
        <f>(pima_data!D435-MIN(pima_data!$D$1:$D$768))/(MAX(pima_data!$D$1:$D$768)-MIN(pima_data!$D$1:$D$768))</f>
        <v>0.0808080808080808</v>
      </c>
      <c r="E435" s="5">
        <f>(pima_data!E435-MIN(pima_data!$E$1:$E$768))/(MAX(pima_data!$E$1:$E$768)-MIN(pima_data!$E$1:$E$768))</f>
        <v>0</v>
      </c>
      <c r="F435" s="5">
        <f>(pima_data!F435-MIN(pima_data!$F$1:$F$768))/(MAX(pima_data!$F$1:$F$768)-MIN(pima_data!$F$1:$F$768))</f>
        <v>0.365126676602086</v>
      </c>
      <c r="G435" s="5">
        <f>(pima_data!G435-MIN(pima_data!$G$1:$G$768))/(MAX(pima_data!$G$1:$G$768)-MIN(pima_data!$G$1:$G$768))</f>
        <v>0.452604611443211</v>
      </c>
      <c r="H435" s="5">
        <f>(pima_data!H435-MIN(pima_data!$H$1:$H$768))/(MAX(pima_data!$H$1:$H$768)-MIN(pima_data!$H$1:$H$768))</f>
        <v>0.25</v>
      </c>
    </row>
    <row r="436" spans="1:8">
      <c r="A436" s="5">
        <f>(pima_data!A436-MIN(pima_data!$A$1:$A$768))/(MAX(pima_data!$A$1:$A$768)-MIN(pima_data!$A$1:$A$768))</f>
        <v>0</v>
      </c>
      <c r="B436" s="5">
        <f>(pima_data!B436-MIN(pima_data!$B$1:$B$768))/(MAX(pima_data!$B$1:$B$768)-MIN(pima_data!$B$1:$B$768))</f>
        <v>0.708542713567839</v>
      </c>
      <c r="C436" s="5">
        <f>(pima_data!C436-MIN(pima_data!$C$1:$C$768))/(MAX(pima_data!$C$1:$C$768)-MIN(pima_data!$C$1:$C$768))</f>
        <v>0</v>
      </c>
      <c r="D436" s="5">
        <f>(pima_data!D436-MIN(pima_data!$D$1:$D$768))/(MAX(pima_data!$D$1:$D$768)-MIN(pima_data!$D$1:$D$768))</f>
        <v>0</v>
      </c>
      <c r="E436" s="5">
        <f>(pima_data!E436-MIN(pima_data!$E$1:$E$768))/(MAX(pima_data!$E$1:$E$768)-MIN(pima_data!$E$1:$E$768))</f>
        <v>0</v>
      </c>
      <c r="F436" s="5">
        <f>(pima_data!F436-MIN(pima_data!$F$1:$F$768))/(MAX(pima_data!$F$1:$F$768)-MIN(pima_data!$F$1:$F$768))</f>
        <v>0.631892697466468</v>
      </c>
      <c r="G436" s="5">
        <f>(pima_data!G436-MIN(pima_data!$G$1:$G$768))/(MAX(pima_data!$G$1:$G$768)-MIN(pima_data!$G$1:$G$768))</f>
        <v>0.0542271562766866</v>
      </c>
      <c r="H436" s="5">
        <f>(pima_data!H436-MIN(pima_data!$H$1:$H$768))/(MAX(pima_data!$H$1:$H$768)-MIN(pima_data!$H$1:$H$768))</f>
        <v>0.133333333333333</v>
      </c>
    </row>
    <row r="437" spans="1:8">
      <c r="A437" s="5">
        <f>(pima_data!A437-MIN(pima_data!$A$1:$A$768))/(MAX(pima_data!$A$1:$A$768)-MIN(pima_data!$A$1:$A$768))</f>
        <v>0.705882352941177</v>
      </c>
      <c r="B437" s="5">
        <f>(pima_data!B437-MIN(pima_data!$B$1:$B$768))/(MAX(pima_data!$B$1:$B$768)-MIN(pima_data!$B$1:$B$768))</f>
        <v>0.703517587939699</v>
      </c>
      <c r="C437" s="5">
        <f>(pima_data!C437-MIN(pima_data!$C$1:$C$768))/(MAX(pima_data!$C$1:$C$768)-MIN(pima_data!$C$1:$C$768))</f>
        <v>0.69672131147541</v>
      </c>
      <c r="D437" s="5">
        <f>(pima_data!D437-MIN(pima_data!$D$1:$D$768))/(MAX(pima_data!$D$1:$D$768)-MIN(pima_data!$D$1:$D$768))</f>
        <v>0.333333333333333</v>
      </c>
      <c r="E437" s="5">
        <f>(pima_data!E437-MIN(pima_data!$E$1:$E$768))/(MAX(pima_data!$E$1:$E$768)-MIN(pima_data!$E$1:$E$768))</f>
        <v>0</v>
      </c>
      <c r="F437" s="5">
        <f>(pima_data!F437-MIN(pima_data!$F$1:$F$768))/(MAX(pima_data!$F$1:$F$768)-MIN(pima_data!$F$1:$F$768))</f>
        <v>0.557377049180328</v>
      </c>
      <c r="G437" s="5">
        <f>(pima_data!G437-MIN(pima_data!$G$1:$G$768))/(MAX(pima_data!$G$1:$G$768)-MIN(pima_data!$G$1:$G$768))</f>
        <v>0.0708795900939368</v>
      </c>
      <c r="H437" s="5">
        <f>(pima_data!H437-MIN(pima_data!$H$1:$H$768))/(MAX(pima_data!$H$1:$H$768)-MIN(pima_data!$H$1:$H$768))</f>
        <v>0.333333333333333</v>
      </c>
    </row>
    <row r="438" spans="1:8">
      <c r="A438" s="5">
        <f>(pima_data!A438-MIN(pima_data!$A$1:$A$768))/(MAX(pima_data!$A$1:$A$768)-MIN(pima_data!$A$1:$A$768))</f>
        <v>0.294117647058824</v>
      </c>
      <c r="B438" s="5">
        <f>(pima_data!B438-MIN(pima_data!$B$1:$B$768))/(MAX(pima_data!$B$1:$B$768)-MIN(pima_data!$B$1:$B$768))</f>
        <v>0.738693467336683</v>
      </c>
      <c r="C438" s="5">
        <f>(pima_data!C438-MIN(pima_data!$C$1:$C$768))/(MAX(pima_data!$C$1:$C$768)-MIN(pima_data!$C$1:$C$768))</f>
        <v>0.614754098360656</v>
      </c>
      <c r="D438" s="5">
        <f>(pima_data!D438-MIN(pima_data!$D$1:$D$768))/(MAX(pima_data!$D$1:$D$768)-MIN(pima_data!$D$1:$D$768))</f>
        <v>0</v>
      </c>
      <c r="E438" s="5">
        <f>(pima_data!E438-MIN(pima_data!$E$1:$E$768))/(MAX(pima_data!$E$1:$E$768)-MIN(pima_data!$E$1:$E$768))</f>
        <v>0</v>
      </c>
      <c r="F438" s="5">
        <f>(pima_data!F438-MIN(pima_data!$F$1:$F$768))/(MAX(pima_data!$F$1:$F$768)-MIN(pima_data!$F$1:$F$768))</f>
        <v>0.445603576751118</v>
      </c>
      <c r="G438" s="5">
        <f>(pima_data!G438-MIN(pima_data!$G$1:$G$768))/(MAX(pima_data!$G$1:$G$768)-MIN(pima_data!$G$1:$G$768))</f>
        <v>0.15200683176772</v>
      </c>
      <c r="H438" s="5">
        <f>(pima_data!H438-MIN(pima_data!$H$1:$H$768))/(MAX(pima_data!$H$1:$H$768)-MIN(pima_data!$H$1:$H$768))</f>
        <v>0.116666666666667</v>
      </c>
    </row>
    <row r="439" spans="1:8">
      <c r="A439" s="5">
        <f>(pima_data!A439-MIN(pima_data!$A$1:$A$768))/(MAX(pima_data!$A$1:$A$768)-MIN(pima_data!$A$1:$A$768))</f>
        <v>0.0588235294117647</v>
      </c>
      <c r="B439" s="5">
        <f>(pima_data!B439-MIN(pima_data!$B$1:$B$768))/(MAX(pima_data!$B$1:$B$768)-MIN(pima_data!$B$1:$B$768))</f>
        <v>0.487437185929648</v>
      </c>
      <c r="C439" s="5">
        <f>(pima_data!C439-MIN(pima_data!$C$1:$C$768))/(MAX(pima_data!$C$1:$C$768)-MIN(pima_data!$C$1:$C$768))</f>
        <v>0.573770491803279</v>
      </c>
      <c r="D439" s="5">
        <f>(pima_data!D439-MIN(pima_data!$D$1:$D$768))/(MAX(pima_data!$D$1:$D$768)-MIN(pima_data!$D$1:$D$768))</f>
        <v>0.151515151515152</v>
      </c>
      <c r="E439" s="5">
        <f>(pima_data!E439-MIN(pima_data!$E$1:$E$768))/(MAX(pima_data!$E$1:$E$768)-MIN(pima_data!$E$1:$E$768))</f>
        <v>0</v>
      </c>
      <c r="F439" s="5">
        <f>(pima_data!F439-MIN(pima_data!$F$1:$F$768))/(MAX(pima_data!$F$1:$F$768)-MIN(pima_data!$F$1:$F$768))</f>
        <v>0.27123695976155</v>
      </c>
      <c r="G439" s="5">
        <f>(pima_data!G439-MIN(pima_data!$G$1:$G$768))/(MAX(pima_data!$G$1:$G$768)-MIN(pima_data!$G$1:$G$768))</f>
        <v>0.0294619982920581</v>
      </c>
      <c r="H439" s="5">
        <f>(pima_data!H439-MIN(pima_data!$H$1:$H$768))/(MAX(pima_data!$H$1:$H$768)-MIN(pima_data!$H$1:$H$768))</f>
        <v>0</v>
      </c>
    </row>
    <row r="440" spans="1:8">
      <c r="A440" s="5">
        <f>(pima_data!A440-MIN(pima_data!$A$1:$A$768))/(MAX(pima_data!$A$1:$A$768)-MIN(pima_data!$A$1:$A$768))</f>
        <v>0.352941176470588</v>
      </c>
      <c r="B440" s="5">
        <f>(pima_data!B440-MIN(pima_data!$B$1:$B$768))/(MAX(pima_data!$B$1:$B$768)-MIN(pima_data!$B$1:$B$768))</f>
        <v>0.537688442211055</v>
      </c>
      <c r="C440" s="5">
        <f>(pima_data!C440-MIN(pima_data!$C$1:$C$768))/(MAX(pima_data!$C$1:$C$768)-MIN(pima_data!$C$1:$C$768))</f>
        <v>0.721311475409836</v>
      </c>
      <c r="D440" s="5">
        <f>(pima_data!D440-MIN(pima_data!$D$1:$D$768))/(MAX(pima_data!$D$1:$D$768)-MIN(pima_data!$D$1:$D$768))</f>
        <v>0</v>
      </c>
      <c r="E440" s="5">
        <f>(pima_data!E440-MIN(pima_data!$E$1:$E$768))/(MAX(pima_data!$E$1:$E$768)-MIN(pima_data!$E$1:$E$768))</f>
        <v>0</v>
      </c>
      <c r="F440" s="5">
        <f>(pima_data!F440-MIN(pima_data!$F$1:$F$768))/(MAX(pima_data!$F$1:$F$768)-MIN(pima_data!$F$1:$F$768))</f>
        <v>0.548435171385991</v>
      </c>
      <c r="G440" s="5">
        <f>(pima_data!G440-MIN(pima_data!$G$1:$G$768))/(MAX(pima_data!$G$1:$G$768)-MIN(pima_data!$G$1:$G$768))</f>
        <v>0.277113578138343</v>
      </c>
      <c r="H440" s="5">
        <f>(pima_data!H440-MIN(pima_data!$H$1:$H$768))/(MAX(pima_data!$H$1:$H$768)-MIN(pima_data!$H$1:$H$768))</f>
        <v>0.166666666666667</v>
      </c>
    </row>
    <row r="441" spans="1:8">
      <c r="A441" s="5">
        <f>(pima_data!A441-MIN(pima_data!$A$1:$A$768))/(MAX(pima_data!$A$1:$A$768)-MIN(pima_data!$A$1:$A$768))</f>
        <v>0</v>
      </c>
      <c r="B441" s="5">
        <f>(pima_data!B441-MIN(pima_data!$B$1:$B$768))/(MAX(pima_data!$B$1:$B$768)-MIN(pima_data!$B$1:$B$768))</f>
        <v>0.949748743718593</v>
      </c>
      <c r="C441" s="5">
        <f>(pima_data!C441-MIN(pima_data!$C$1:$C$768))/(MAX(pima_data!$C$1:$C$768)-MIN(pima_data!$C$1:$C$768))</f>
        <v>0.852459016393443</v>
      </c>
      <c r="D441" s="5">
        <f>(pima_data!D441-MIN(pima_data!$D$1:$D$768))/(MAX(pima_data!$D$1:$D$768)-MIN(pima_data!$D$1:$D$768))</f>
        <v>0.252525252525253</v>
      </c>
      <c r="E441" s="5">
        <f>(pima_data!E441-MIN(pima_data!$E$1:$E$768))/(MAX(pima_data!$E$1:$E$768)-MIN(pima_data!$E$1:$E$768))</f>
        <v>0</v>
      </c>
      <c r="F441" s="5">
        <f>(pima_data!F441-MIN(pima_data!$F$1:$F$768))/(MAX(pima_data!$F$1:$F$768)-MIN(pima_data!$F$1:$F$768))</f>
        <v>0.511177347242921</v>
      </c>
      <c r="G441" s="5">
        <f>(pima_data!G441-MIN(pima_data!$G$1:$G$768))/(MAX(pima_data!$G$1:$G$768)-MIN(pima_data!$G$1:$G$768))</f>
        <v>0.152433817250213</v>
      </c>
      <c r="H441" s="5">
        <f>(pima_data!H441-MIN(pima_data!$H$1:$H$768))/(MAX(pima_data!$H$1:$H$768)-MIN(pima_data!$H$1:$H$768))</f>
        <v>0.333333333333333</v>
      </c>
    </row>
    <row r="442" spans="1:8">
      <c r="A442" s="5">
        <f>(pima_data!A442-MIN(pima_data!$A$1:$A$768))/(MAX(pima_data!$A$1:$A$768)-MIN(pima_data!$A$1:$A$768))</f>
        <v>0.117647058823529</v>
      </c>
      <c r="B442" s="5">
        <f>(pima_data!B442-MIN(pima_data!$B$1:$B$768))/(MAX(pima_data!$B$1:$B$768)-MIN(pima_data!$B$1:$B$768))</f>
        <v>0.417085427135678</v>
      </c>
      <c r="C442" s="5">
        <f>(pima_data!C442-MIN(pima_data!$C$1:$C$768))/(MAX(pima_data!$C$1:$C$768)-MIN(pima_data!$C$1:$C$768))</f>
        <v>0.540983606557377</v>
      </c>
      <c r="D442" s="5">
        <f>(pima_data!D442-MIN(pima_data!$D$1:$D$768))/(MAX(pima_data!$D$1:$D$768)-MIN(pima_data!$D$1:$D$768))</f>
        <v>0.232323232323232</v>
      </c>
      <c r="E442" s="5">
        <f>(pima_data!E442-MIN(pima_data!$E$1:$E$768))/(MAX(pima_data!$E$1:$E$768)-MIN(pima_data!$E$1:$E$768))</f>
        <v>0.0591016548463357</v>
      </c>
      <c r="F442" s="5">
        <f>(pima_data!F442-MIN(pima_data!$F$1:$F$768))/(MAX(pima_data!$F$1:$F$768)-MIN(pima_data!$F$1:$F$768))</f>
        <v>0.479880774962742</v>
      </c>
      <c r="G442" s="5">
        <f>(pima_data!G442-MIN(pima_data!$G$1:$G$768))/(MAX(pima_data!$G$1:$G$768)-MIN(pima_data!$G$1:$G$768))</f>
        <v>0.178906917164816</v>
      </c>
      <c r="H442" s="5">
        <f>(pima_data!H442-MIN(pima_data!$H$1:$H$768))/(MAX(pima_data!$H$1:$H$768)-MIN(pima_data!$H$1:$H$768))</f>
        <v>0.0166666666666667</v>
      </c>
    </row>
    <row r="443" spans="1:8">
      <c r="A443" s="5">
        <f>(pima_data!A443-MIN(pima_data!$A$1:$A$768))/(MAX(pima_data!$A$1:$A$768)-MIN(pima_data!$A$1:$A$768))</f>
        <v>0.235294117647059</v>
      </c>
      <c r="B443" s="5">
        <f>(pima_data!B443-MIN(pima_data!$B$1:$B$768))/(MAX(pima_data!$B$1:$B$768)-MIN(pima_data!$B$1:$B$768))</f>
        <v>0.587939698492462</v>
      </c>
      <c r="C443" s="5">
        <f>(pima_data!C443-MIN(pima_data!$C$1:$C$768))/(MAX(pima_data!$C$1:$C$768)-MIN(pima_data!$C$1:$C$768))</f>
        <v>0.524590163934426</v>
      </c>
      <c r="D443" s="5">
        <f>(pima_data!D443-MIN(pima_data!$D$1:$D$768))/(MAX(pima_data!$D$1:$D$768)-MIN(pima_data!$D$1:$D$768))</f>
        <v>0.272727272727273</v>
      </c>
      <c r="E443" s="5">
        <f>(pima_data!E443-MIN(pima_data!$E$1:$E$768))/(MAX(pima_data!$E$1:$E$768)-MIN(pima_data!$E$1:$E$768))</f>
        <v>0.141843971631206</v>
      </c>
      <c r="F443" s="5">
        <f>(pima_data!F443-MIN(pima_data!$F$1:$F$768))/(MAX(pima_data!$F$1:$F$768)-MIN(pima_data!$F$1:$F$768))</f>
        <v>0.49478390461997</v>
      </c>
      <c r="G443" s="5">
        <f>(pima_data!G443-MIN(pima_data!$G$1:$G$768))/(MAX(pima_data!$G$1:$G$768)-MIN(pima_data!$G$1:$G$768))</f>
        <v>0.0649017933390265</v>
      </c>
      <c r="H443" s="5">
        <f>(pima_data!H443-MIN(pima_data!$H$1:$H$768))/(MAX(pima_data!$H$1:$H$768)-MIN(pima_data!$H$1:$H$768))</f>
        <v>0.05</v>
      </c>
    </row>
    <row r="444" spans="1:8">
      <c r="A444" s="5">
        <f>(pima_data!A444-MIN(pima_data!$A$1:$A$768))/(MAX(pima_data!$A$1:$A$768)-MIN(pima_data!$A$1:$A$768))</f>
        <v>0.470588235294118</v>
      </c>
      <c r="B444" s="5">
        <f>(pima_data!B444-MIN(pima_data!$B$1:$B$768))/(MAX(pima_data!$B$1:$B$768)-MIN(pima_data!$B$1:$B$768))</f>
        <v>0.542713567839196</v>
      </c>
      <c r="C444" s="5">
        <f>(pima_data!C444-MIN(pima_data!$C$1:$C$768))/(MAX(pima_data!$C$1:$C$768)-MIN(pima_data!$C$1:$C$768))</f>
        <v>0.573770491803279</v>
      </c>
      <c r="D444" s="5">
        <f>(pima_data!D444-MIN(pima_data!$D$1:$D$768))/(MAX(pima_data!$D$1:$D$768)-MIN(pima_data!$D$1:$D$768))</f>
        <v>0</v>
      </c>
      <c r="E444" s="5">
        <f>(pima_data!E444-MIN(pima_data!$E$1:$E$768))/(MAX(pima_data!$E$1:$E$768)-MIN(pima_data!$E$1:$E$768))</f>
        <v>0</v>
      </c>
      <c r="F444" s="5">
        <f>(pima_data!F444-MIN(pima_data!$F$1:$F$768))/(MAX(pima_data!$F$1:$F$768)-MIN(pima_data!$F$1:$F$768))</f>
        <v>0.454545454545455</v>
      </c>
      <c r="G444" s="5">
        <f>(pima_data!G444-MIN(pima_data!$G$1:$G$768))/(MAX(pima_data!$G$1:$G$768)-MIN(pima_data!$G$1:$G$768))</f>
        <v>0.374466268146883</v>
      </c>
      <c r="H444" s="5">
        <f>(pima_data!H444-MIN(pima_data!$H$1:$H$768))/(MAX(pima_data!$H$1:$H$768)-MIN(pima_data!$H$1:$H$768))</f>
        <v>0.2</v>
      </c>
    </row>
    <row r="445" spans="1:8">
      <c r="A445" s="5">
        <f>(pima_data!A445-MIN(pima_data!$A$1:$A$768))/(MAX(pima_data!$A$1:$A$768)-MIN(pima_data!$A$1:$A$768))</f>
        <v>0.235294117647059</v>
      </c>
      <c r="B445" s="5">
        <f>(pima_data!B445-MIN(pima_data!$B$1:$B$768))/(MAX(pima_data!$B$1:$B$768)-MIN(pima_data!$B$1:$B$768))</f>
        <v>0.587939698492462</v>
      </c>
      <c r="C445" s="5">
        <f>(pima_data!C445-MIN(pima_data!$C$1:$C$768))/(MAX(pima_data!$C$1:$C$768)-MIN(pima_data!$C$1:$C$768))</f>
        <v>0.508196721311475</v>
      </c>
      <c r="D445" s="5">
        <f>(pima_data!D445-MIN(pima_data!$D$1:$D$768))/(MAX(pima_data!$D$1:$D$768)-MIN(pima_data!$D$1:$D$768))</f>
        <v>0.121212121212121</v>
      </c>
      <c r="E445" s="5">
        <f>(pima_data!E445-MIN(pima_data!$E$1:$E$768))/(MAX(pima_data!$E$1:$E$768)-MIN(pima_data!$E$1:$E$768))</f>
        <v>0</v>
      </c>
      <c r="F445" s="5">
        <f>(pima_data!F445-MIN(pima_data!$F$1:$F$768))/(MAX(pima_data!$F$1:$F$768)-MIN(pima_data!$F$1:$F$768))</f>
        <v>0.442622950819672</v>
      </c>
      <c r="G445" s="5">
        <f>(pima_data!G445-MIN(pima_data!$G$1:$G$768))/(MAX(pima_data!$G$1:$G$768)-MIN(pima_data!$G$1:$G$768))</f>
        <v>0.128949615713066</v>
      </c>
      <c r="H445" s="5">
        <f>(pima_data!H445-MIN(pima_data!$H$1:$H$768))/(MAX(pima_data!$H$1:$H$768)-MIN(pima_data!$H$1:$H$768))</f>
        <v>0.15</v>
      </c>
    </row>
    <row r="446" spans="1:8">
      <c r="A446" s="5">
        <f>(pima_data!A446-MIN(pima_data!$A$1:$A$768))/(MAX(pima_data!$A$1:$A$768)-MIN(pima_data!$A$1:$A$768))</f>
        <v>0</v>
      </c>
      <c r="B446" s="5">
        <f>(pima_data!B446-MIN(pima_data!$B$1:$B$768))/(MAX(pima_data!$B$1:$B$768)-MIN(pima_data!$B$1:$B$768))</f>
        <v>0.904522613065327</v>
      </c>
      <c r="C446" s="5">
        <f>(pima_data!C446-MIN(pima_data!$C$1:$C$768))/(MAX(pima_data!$C$1:$C$768)-MIN(pima_data!$C$1:$C$768))</f>
        <v>0.639344262295082</v>
      </c>
      <c r="D446" s="5">
        <f>(pima_data!D446-MIN(pima_data!$D$1:$D$768))/(MAX(pima_data!$D$1:$D$768)-MIN(pima_data!$D$1:$D$768))</f>
        <v>0.636363636363636</v>
      </c>
      <c r="E446" s="5">
        <f>(pima_data!E446-MIN(pima_data!$E$1:$E$768))/(MAX(pima_data!$E$1:$E$768)-MIN(pima_data!$E$1:$E$768))</f>
        <v>0.016548463356974</v>
      </c>
      <c r="F446" s="5">
        <f>(pima_data!F446-MIN(pima_data!$F$1:$F$768))/(MAX(pima_data!$F$1:$F$768)-MIN(pima_data!$F$1:$F$768))</f>
        <v>0.885245901639344</v>
      </c>
      <c r="G446" s="5">
        <f>(pima_data!G446-MIN(pima_data!$G$1:$G$768))/(MAX(pima_data!$G$1:$G$768)-MIN(pima_data!$G$1:$G$768))</f>
        <v>1</v>
      </c>
      <c r="H446" s="5">
        <f>(pima_data!H446-MIN(pima_data!$H$1:$H$768))/(MAX(pima_data!$H$1:$H$768)-MIN(pima_data!$H$1:$H$768))</f>
        <v>0.0666666666666667</v>
      </c>
    </row>
    <row r="447" spans="1:8">
      <c r="A447" s="5">
        <f>(pima_data!A447-MIN(pima_data!$A$1:$A$768))/(MAX(pima_data!$A$1:$A$768)-MIN(pima_data!$A$1:$A$768))</f>
        <v>0.0588235294117647</v>
      </c>
      <c r="B447" s="5">
        <f>(pima_data!B447-MIN(pima_data!$B$1:$B$768))/(MAX(pima_data!$B$1:$B$768)-MIN(pima_data!$B$1:$B$768))</f>
        <v>0.50251256281407</v>
      </c>
      <c r="C447" s="5">
        <f>(pima_data!C447-MIN(pima_data!$C$1:$C$768))/(MAX(pima_data!$C$1:$C$768)-MIN(pima_data!$C$1:$C$768))</f>
        <v>0.590163934426229</v>
      </c>
      <c r="D447" s="5">
        <f>(pima_data!D447-MIN(pima_data!$D$1:$D$768))/(MAX(pima_data!$D$1:$D$768)-MIN(pima_data!$D$1:$D$768))</f>
        <v>0.121212121212121</v>
      </c>
      <c r="E447" s="5">
        <f>(pima_data!E447-MIN(pima_data!$E$1:$E$768))/(MAX(pima_data!$E$1:$E$768)-MIN(pima_data!$E$1:$E$768))</f>
        <v>0.08274231678487</v>
      </c>
      <c r="F447" s="5">
        <f>(pima_data!F447-MIN(pima_data!$F$1:$F$768))/(MAX(pima_data!$F$1:$F$768)-MIN(pima_data!$F$1:$F$768))</f>
        <v>0.377049180327869</v>
      </c>
      <c r="G447" s="5">
        <f>(pima_data!G447-MIN(pima_data!$G$1:$G$768))/(MAX(pima_data!$G$1:$G$768)-MIN(pima_data!$G$1:$G$768))</f>
        <v>0.247651579846285</v>
      </c>
      <c r="H447" s="5">
        <f>(pima_data!H447-MIN(pima_data!$H$1:$H$768))/(MAX(pima_data!$H$1:$H$768)-MIN(pima_data!$H$1:$H$768))</f>
        <v>0.116666666666667</v>
      </c>
    </row>
    <row r="448" spans="1:8">
      <c r="A448" s="5">
        <f>(pima_data!A448-MIN(pima_data!$A$1:$A$768))/(MAX(pima_data!$A$1:$A$768)-MIN(pima_data!$A$1:$A$768))</f>
        <v>0</v>
      </c>
      <c r="B448" s="5">
        <f>(pima_data!B448-MIN(pima_data!$B$1:$B$768))/(MAX(pima_data!$B$1:$B$768)-MIN(pima_data!$B$1:$B$768))</f>
        <v>0.477386934673367</v>
      </c>
      <c r="C448" s="5">
        <f>(pima_data!C448-MIN(pima_data!$C$1:$C$768))/(MAX(pima_data!$C$1:$C$768)-MIN(pima_data!$C$1:$C$768))</f>
        <v>0.655737704918033</v>
      </c>
      <c r="D448" s="5">
        <f>(pima_data!D448-MIN(pima_data!$D$1:$D$768))/(MAX(pima_data!$D$1:$D$768)-MIN(pima_data!$D$1:$D$768))</f>
        <v>0.454545454545455</v>
      </c>
      <c r="E448" s="5">
        <f>(pima_data!E448-MIN(pima_data!$E$1:$E$768))/(MAX(pima_data!$E$1:$E$768)-MIN(pima_data!$E$1:$E$768))</f>
        <v>0.108747044917258</v>
      </c>
      <c r="F448" s="5">
        <f>(pima_data!F448-MIN(pima_data!$F$1:$F$768))/(MAX(pima_data!$F$1:$F$768)-MIN(pima_data!$F$1:$F$768))</f>
        <v>0.543964232488823</v>
      </c>
      <c r="G448" s="5">
        <f>(pima_data!G448-MIN(pima_data!$G$1:$G$768))/(MAX(pima_data!$G$1:$G$768)-MIN(pima_data!$G$1:$G$768))</f>
        <v>0.107600341588386</v>
      </c>
      <c r="H448" s="5">
        <f>(pima_data!H448-MIN(pima_data!$H$1:$H$768))/(MAX(pima_data!$H$1:$H$768)-MIN(pima_data!$H$1:$H$768))</f>
        <v>0.0833333333333333</v>
      </c>
    </row>
    <row r="449" spans="1:8">
      <c r="A449" s="5">
        <f>(pima_data!A449-MIN(pima_data!$A$1:$A$768))/(MAX(pima_data!$A$1:$A$768)-MIN(pima_data!$A$1:$A$768))</f>
        <v>0</v>
      </c>
      <c r="B449" s="5">
        <f>(pima_data!B449-MIN(pima_data!$B$1:$B$768))/(MAX(pima_data!$B$1:$B$768)-MIN(pima_data!$B$1:$B$768))</f>
        <v>0.522613065326633</v>
      </c>
      <c r="C449" s="5">
        <f>(pima_data!C449-MIN(pima_data!$C$1:$C$768))/(MAX(pima_data!$C$1:$C$768)-MIN(pima_data!$C$1:$C$768))</f>
        <v>0.524590163934426</v>
      </c>
      <c r="D449" s="5">
        <f>(pima_data!D449-MIN(pima_data!$D$1:$D$768))/(MAX(pima_data!$D$1:$D$768)-MIN(pima_data!$D$1:$D$768))</f>
        <v>0.373737373737374</v>
      </c>
      <c r="E449" s="5">
        <f>(pima_data!E449-MIN(pima_data!$E$1:$E$768))/(MAX(pima_data!$E$1:$E$768)-MIN(pima_data!$E$1:$E$768))</f>
        <v>0.0756501182033097</v>
      </c>
      <c r="F449" s="5">
        <f>(pima_data!F449-MIN(pima_data!$F$1:$F$768))/(MAX(pima_data!$F$1:$F$768)-MIN(pima_data!$F$1:$F$768))</f>
        <v>0.500745156482861</v>
      </c>
      <c r="G449" s="5">
        <f>(pima_data!G449-MIN(pima_data!$G$1:$G$768))/(MAX(pima_data!$G$1:$G$768)-MIN(pima_data!$G$1:$G$768))</f>
        <v>0.184457728437233</v>
      </c>
      <c r="H449" s="5">
        <f>(pima_data!H449-MIN(pima_data!$H$1:$H$768))/(MAX(pima_data!$H$1:$H$768)-MIN(pima_data!$H$1:$H$768))</f>
        <v>0.0166666666666667</v>
      </c>
    </row>
    <row r="450" spans="1:8">
      <c r="A450" s="5">
        <f>(pima_data!A450-MIN(pima_data!$A$1:$A$768))/(MAX(pima_data!$A$1:$A$768)-MIN(pima_data!$A$1:$A$768))</f>
        <v>0</v>
      </c>
      <c r="B450" s="5">
        <f>(pima_data!B450-MIN(pima_data!$B$1:$B$768))/(MAX(pima_data!$B$1:$B$768)-MIN(pima_data!$B$1:$B$768))</f>
        <v>0.603015075376884</v>
      </c>
      <c r="C450" s="5">
        <f>(pima_data!C450-MIN(pima_data!$C$1:$C$768))/(MAX(pima_data!$C$1:$C$768)-MIN(pima_data!$C$1:$C$768))</f>
        <v>0.60655737704918</v>
      </c>
      <c r="D450" s="5">
        <f>(pima_data!D450-MIN(pima_data!$D$1:$D$768))/(MAX(pima_data!$D$1:$D$768)-MIN(pima_data!$D$1:$D$768))</f>
        <v>0.181818181818182</v>
      </c>
      <c r="E450" s="5">
        <f>(pima_data!E450-MIN(pima_data!$E$1:$E$768))/(MAX(pima_data!$E$1:$E$768)-MIN(pima_data!$E$1:$E$768))</f>
        <v>0.074468085106383</v>
      </c>
      <c r="F450" s="5">
        <f>(pima_data!F450-MIN(pima_data!$F$1:$F$768))/(MAX(pima_data!$F$1:$F$768)-MIN(pima_data!$F$1:$F$768))</f>
        <v>0.454545454545455</v>
      </c>
      <c r="G450" s="5">
        <f>(pima_data!G450-MIN(pima_data!$G$1:$G$768))/(MAX(pima_data!$G$1:$G$768)-MIN(pima_data!$G$1:$G$768))</f>
        <v>0.0883859948761742</v>
      </c>
      <c r="H450" s="5">
        <f>(pima_data!H450-MIN(pima_data!$H$1:$H$768))/(MAX(pima_data!$H$1:$H$768)-MIN(pima_data!$H$1:$H$768))</f>
        <v>0.0833333333333333</v>
      </c>
    </row>
    <row r="451" spans="1:8">
      <c r="A451" s="5">
        <f>(pima_data!A451-MIN(pima_data!$A$1:$A$768))/(MAX(pima_data!$A$1:$A$768)-MIN(pima_data!$A$1:$A$768))</f>
        <v>0.0588235294117647</v>
      </c>
      <c r="B451" s="5">
        <f>(pima_data!B451-MIN(pima_data!$B$1:$B$768))/(MAX(pima_data!$B$1:$B$768)-MIN(pima_data!$B$1:$B$768))</f>
        <v>0.412060301507538</v>
      </c>
      <c r="C451" s="5">
        <f>(pima_data!C451-MIN(pima_data!$C$1:$C$768))/(MAX(pima_data!$C$1:$C$768)-MIN(pima_data!$C$1:$C$768))</f>
        <v>0.524590163934426</v>
      </c>
      <c r="D451" s="5">
        <f>(pima_data!D451-MIN(pima_data!$D$1:$D$768))/(MAX(pima_data!$D$1:$D$768)-MIN(pima_data!$D$1:$D$768))</f>
        <v>0.131313131313131</v>
      </c>
      <c r="E451" s="5">
        <f>(pima_data!E451-MIN(pima_data!$E$1:$E$768))/(MAX(pima_data!$E$1:$E$768)-MIN(pima_data!$E$1:$E$768))</f>
        <v>0.112293144208038</v>
      </c>
      <c r="F451" s="5">
        <f>(pima_data!F451-MIN(pima_data!$F$1:$F$768))/(MAX(pima_data!$F$1:$F$768)-MIN(pima_data!$F$1:$F$768))</f>
        <v>0.315946348733234</v>
      </c>
      <c r="G451" s="5">
        <f>(pima_data!G451-MIN(pima_data!$G$1:$G$768))/(MAX(pima_data!$G$1:$G$768)-MIN(pima_data!$G$1:$G$768))</f>
        <v>0.143894107600342</v>
      </c>
      <c r="H451" s="5">
        <f>(pima_data!H451-MIN(pima_data!$H$1:$H$768))/(MAX(pima_data!$H$1:$H$768)-MIN(pima_data!$H$1:$H$768))</f>
        <v>0.0333333333333333</v>
      </c>
    </row>
    <row r="452" spans="1:8">
      <c r="A452" s="5">
        <f>(pima_data!A452-MIN(pima_data!$A$1:$A$768))/(MAX(pima_data!$A$1:$A$768)-MIN(pima_data!$A$1:$A$768))</f>
        <v>0.117647058823529</v>
      </c>
      <c r="B452" s="5">
        <f>(pima_data!B452-MIN(pima_data!$B$1:$B$768))/(MAX(pima_data!$B$1:$B$768)-MIN(pima_data!$B$1:$B$768))</f>
        <v>0.673366834170854</v>
      </c>
      <c r="C452" s="5">
        <f>(pima_data!C452-MIN(pima_data!$C$1:$C$768))/(MAX(pima_data!$C$1:$C$768)-MIN(pima_data!$C$1:$C$768))</f>
        <v>0.573770491803279</v>
      </c>
      <c r="D452" s="5">
        <f>(pima_data!D452-MIN(pima_data!$D$1:$D$768))/(MAX(pima_data!$D$1:$D$768)-MIN(pima_data!$D$1:$D$768))</f>
        <v>0</v>
      </c>
      <c r="E452" s="5">
        <f>(pima_data!E452-MIN(pima_data!$E$1:$E$768))/(MAX(pima_data!$E$1:$E$768)-MIN(pima_data!$E$1:$E$768))</f>
        <v>0</v>
      </c>
      <c r="F452" s="5">
        <f>(pima_data!F452-MIN(pima_data!$F$1:$F$768))/(MAX(pima_data!$F$1:$F$768)-MIN(pima_data!$F$1:$F$768))</f>
        <v>0.43070044709389</v>
      </c>
      <c r="G452" s="5">
        <f>(pima_data!G452-MIN(pima_data!$G$1:$G$768))/(MAX(pima_data!$G$1:$G$768)-MIN(pima_data!$G$1:$G$768))</f>
        <v>0.198121263877028</v>
      </c>
      <c r="H452" s="5">
        <f>(pima_data!H452-MIN(pima_data!$H$1:$H$768))/(MAX(pima_data!$H$1:$H$768)-MIN(pima_data!$H$1:$H$768))</f>
        <v>0.0333333333333333</v>
      </c>
    </row>
    <row r="453" spans="1:8">
      <c r="A453" s="5">
        <f>(pima_data!A453-MIN(pima_data!$A$1:$A$768))/(MAX(pima_data!$A$1:$A$768)-MIN(pima_data!$A$1:$A$768))</f>
        <v>0</v>
      </c>
      <c r="B453" s="5">
        <f>(pima_data!B453-MIN(pima_data!$B$1:$B$768))/(MAX(pima_data!$B$1:$B$768)-MIN(pima_data!$B$1:$B$768))</f>
        <v>0.457286432160804</v>
      </c>
      <c r="C453" s="5">
        <f>(pima_data!C453-MIN(pima_data!$C$1:$C$768))/(MAX(pima_data!$C$1:$C$768)-MIN(pima_data!$C$1:$C$768))</f>
        <v>0.557377049180328</v>
      </c>
      <c r="D453" s="5">
        <f>(pima_data!D453-MIN(pima_data!$D$1:$D$768))/(MAX(pima_data!$D$1:$D$768)-MIN(pima_data!$D$1:$D$768))</f>
        <v>0.323232323232323</v>
      </c>
      <c r="E453" s="5">
        <f>(pima_data!E453-MIN(pima_data!$E$1:$E$768))/(MAX(pima_data!$E$1:$E$768)-MIN(pima_data!$E$1:$E$768))</f>
        <v>0.24822695035461</v>
      </c>
      <c r="F453" s="5">
        <f>(pima_data!F453-MIN(pima_data!$F$1:$F$768))/(MAX(pima_data!$F$1:$F$768)-MIN(pima_data!$F$1:$F$768))</f>
        <v>0.594634873323398</v>
      </c>
      <c r="G453" s="5">
        <f>(pima_data!G453-MIN(pima_data!$G$1:$G$768))/(MAX(pima_data!$G$1:$G$768)-MIN(pima_data!$G$1:$G$768))</f>
        <v>0.129376601195559</v>
      </c>
      <c r="H453" s="5">
        <f>(pima_data!H453-MIN(pima_data!$H$1:$H$768))/(MAX(pima_data!$H$1:$H$768)-MIN(pima_data!$H$1:$H$768))</f>
        <v>0.0666666666666667</v>
      </c>
    </row>
    <row r="454" spans="1:8">
      <c r="A454" s="5">
        <f>(pima_data!A454-MIN(pima_data!$A$1:$A$768))/(MAX(pima_data!$A$1:$A$768)-MIN(pima_data!$A$1:$A$768))</f>
        <v>0.117647058823529</v>
      </c>
      <c r="B454" s="5">
        <f>(pima_data!B454-MIN(pima_data!$B$1:$B$768))/(MAX(pima_data!$B$1:$B$768)-MIN(pima_data!$B$1:$B$768))</f>
        <v>0.597989949748744</v>
      </c>
      <c r="C454" s="5">
        <f>(pima_data!C454-MIN(pima_data!$C$1:$C$768))/(MAX(pima_data!$C$1:$C$768)-MIN(pima_data!$C$1:$C$768))</f>
        <v>0</v>
      </c>
      <c r="D454" s="5">
        <f>(pima_data!D454-MIN(pima_data!$D$1:$D$768))/(MAX(pima_data!$D$1:$D$768)-MIN(pima_data!$D$1:$D$768))</f>
        <v>0</v>
      </c>
      <c r="E454" s="5">
        <f>(pima_data!E454-MIN(pima_data!$E$1:$E$768))/(MAX(pima_data!$E$1:$E$768)-MIN(pima_data!$E$1:$E$768))</f>
        <v>0</v>
      </c>
      <c r="F454" s="5">
        <f>(pima_data!F454-MIN(pima_data!$F$1:$F$768))/(MAX(pima_data!$F$1:$F$768)-MIN(pima_data!$F$1:$F$768))</f>
        <v>0.292101341281669</v>
      </c>
      <c r="G454" s="5">
        <f>(pima_data!G454-MIN(pima_data!$G$1:$G$768))/(MAX(pima_data!$G$1:$G$768)-MIN(pima_data!$G$1:$G$768))</f>
        <v>0.321947053800171</v>
      </c>
      <c r="H454" s="5">
        <f>(pima_data!H454-MIN(pima_data!$H$1:$H$768))/(MAX(pima_data!$H$1:$H$768)-MIN(pima_data!$H$1:$H$768))</f>
        <v>0.85</v>
      </c>
    </row>
    <row r="455" spans="1:8">
      <c r="A455" s="5">
        <f>(pima_data!A455-MIN(pima_data!$A$1:$A$768))/(MAX(pima_data!$A$1:$A$768)-MIN(pima_data!$A$1:$A$768))</f>
        <v>0.117647058823529</v>
      </c>
      <c r="B455" s="5">
        <f>(pima_data!B455-MIN(pima_data!$B$1:$B$768))/(MAX(pima_data!$B$1:$B$768)-MIN(pima_data!$B$1:$B$768))</f>
        <v>0.50251256281407</v>
      </c>
      <c r="C455" s="5">
        <f>(pima_data!C455-MIN(pima_data!$C$1:$C$768))/(MAX(pima_data!$C$1:$C$768)-MIN(pima_data!$C$1:$C$768))</f>
        <v>0.442622950819672</v>
      </c>
      <c r="D455" s="5">
        <f>(pima_data!D455-MIN(pima_data!$D$1:$D$768))/(MAX(pima_data!$D$1:$D$768)-MIN(pima_data!$D$1:$D$768))</f>
        <v>0.282828282828283</v>
      </c>
      <c r="E455" s="5">
        <f>(pima_data!E455-MIN(pima_data!$E$1:$E$768))/(MAX(pima_data!$E$1:$E$768)-MIN(pima_data!$E$1:$E$768))</f>
        <v>0.124113475177305</v>
      </c>
      <c r="F455" s="5">
        <f>(pima_data!F455-MIN(pima_data!$F$1:$F$768))/(MAX(pima_data!$F$1:$F$768)-MIN(pima_data!$F$1:$F$768))</f>
        <v>0.563338301043219</v>
      </c>
      <c r="G455" s="5">
        <f>(pima_data!G455-MIN(pima_data!$G$1:$G$768))/(MAX(pima_data!$G$1:$G$768)-MIN(pima_data!$G$1:$G$768))</f>
        <v>0.17933390264731</v>
      </c>
      <c r="H455" s="5">
        <f>(pima_data!H455-MIN(pima_data!$H$1:$H$768))/(MAX(pima_data!$H$1:$H$768)-MIN(pima_data!$H$1:$H$768))</f>
        <v>0.05</v>
      </c>
    </row>
    <row r="456" spans="1:8">
      <c r="A456" s="5">
        <f>(pima_data!A456-MIN(pima_data!$A$1:$A$768))/(MAX(pima_data!$A$1:$A$768)-MIN(pima_data!$A$1:$A$768))</f>
        <v>0.823529411764706</v>
      </c>
      <c r="B456" s="5">
        <f>(pima_data!B456-MIN(pima_data!$B$1:$B$768))/(MAX(pima_data!$B$1:$B$768)-MIN(pima_data!$B$1:$B$768))</f>
        <v>0.879396984924623</v>
      </c>
      <c r="C456" s="5">
        <f>(pima_data!C456-MIN(pima_data!$C$1:$C$768))/(MAX(pima_data!$C$1:$C$768)-MIN(pima_data!$C$1:$C$768))</f>
        <v>0.508196721311475</v>
      </c>
      <c r="D456" s="5">
        <f>(pima_data!D456-MIN(pima_data!$D$1:$D$768))/(MAX(pima_data!$D$1:$D$768)-MIN(pima_data!$D$1:$D$768))</f>
        <v>0.303030303030303</v>
      </c>
      <c r="E456" s="5">
        <f>(pima_data!E456-MIN(pima_data!$E$1:$E$768))/(MAX(pima_data!$E$1:$E$768)-MIN(pima_data!$E$1:$E$768))</f>
        <v>0</v>
      </c>
      <c r="F456" s="5">
        <f>(pima_data!F456-MIN(pima_data!$F$1:$F$768))/(MAX(pima_data!$F$1:$F$768)-MIN(pima_data!$F$1:$F$768))</f>
        <v>0.500745156482861</v>
      </c>
      <c r="G456" s="5">
        <f>(pima_data!G456-MIN(pima_data!$G$1:$G$768))/(MAX(pima_data!$G$1:$G$768)-MIN(pima_data!$G$1:$G$768))</f>
        <v>0.0572160546541418</v>
      </c>
      <c r="H456" s="5">
        <f>(pima_data!H456-MIN(pima_data!$H$1:$H$768))/(MAX(pima_data!$H$1:$H$768)-MIN(pima_data!$H$1:$H$768))</f>
        <v>0.283333333333333</v>
      </c>
    </row>
    <row r="457" spans="1:8">
      <c r="A457" s="5">
        <f>(pima_data!A457-MIN(pima_data!$A$1:$A$768))/(MAX(pima_data!$A$1:$A$768)-MIN(pima_data!$A$1:$A$768))</f>
        <v>0.0588235294117647</v>
      </c>
      <c r="B457" s="5">
        <f>(pima_data!B457-MIN(pima_data!$B$1:$B$768))/(MAX(pima_data!$B$1:$B$768)-MIN(pima_data!$B$1:$B$768))</f>
        <v>0.678391959798995</v>
      </c>
      <c r="C457" s="5">
        <f>(pima_data!C457-MIN(pima_data!$C$1:$C$768))/(MAX(pima_data!$C$1:$C$768)-MIN(pima_data!$C$1:$C$768))</f>
        <v>0.442622950819672</v>
      </c>
      <c r="D457" s="5">
        <f>(pima_data!D457-MIN(pima_data!$D$1:$D$768))/(MAX(pima_data!$D$1:$D$768)-MIN(pima_data!$D$1:$D$768))</f>
        <v>0</v>
      </c>
      <c r="E457" s="5">
        <f>(pima_data!E457-MIN(pima_data!$E$1:$E$768))/(MAX(pima_data!$E$1:$E$768)-MIN(pima_data!$E$1:$E$768))</f>
        <v>0</v>
      </c>
      <c r="F457" s="5">
        <f>(pima_data!F457-MIN(pima_data!$F$1:$F$768))/(MAX(pima_data!$F$1:$F$768)-MIN(pima_data!$F$1:$F$768))</f>
        <v>0.397913561847988</v>
      </c>
      <c r="G457" s="5">
        <f>(pima_data!G457-MIN(pima_data!$G$1:$G$768))/(MAX(pima_data!$G$1:$G$768)-MIN(pima_data!$G$1:$G$768))</f>
        <v>0.2600341588386</v>
      </c>
      <c r="H457" s="5">
        <f>(pima_data!H457-MIN(pima_data!$H$1:$H$768))/(MAX(pima_data!$H$1:$H$768)-MIN(pima_data!$H$1:$H$768))</f>
        <v>0.683333333333333</v>
      </c>
    </row>
    <row r="458" spans="1:8">
      <c r="A458" s="5">
        <f>(pima_data!A458-MIN(pima_data!$A$1:$A$768))/(MAX(pima_data!$A$1:$A$768)-MIN(pima_data!$A$1:$A$768))</f>
        <v>0.294117647058824</v>
      </c>
      <c r="B458" s="5">
        <f>(pima_data!B458-MIN(pima_data!$B$1:$B$768))/(MAX(pima_data!$B$1:$B$768)-MIN(pima_data!$B$1:$B$768))</f>
        <v>0.4321608040201</v>
      </c>
      <c r="C458" s="5">
        <f>(pima_data!C458-MIN(pima_data!$C$1:$C$768))/(MAX(pima_data!$C$1:$C$768)-MIN(pima_data!$C$1:$C$768))</f>
        <v>0.557377049180328</v>
      </c>
      <c r="D458" s="5">
        <f>(pima_data!D458-MIN(pima_data!$D$1:$D$768))/(MAX(pima_data!$D$1:$D$768)-MIN(pima_data!$D$1:$D$768))</f>
        <v>0.282828282828283</v>
      </c>
      <c r="E458" s="5">
        <f>(pima_data!E458-MIN(pima_data!$E$1:$E$768))/(MAX(pima_data!$E$1:$E$768)-MIN(pima_data!$E$1:$E$768))</f>
        <v>0.0839243498817967</v>
      </c>
      <c r="F458" s="5">
        <f>(pima_data!F458-MIN(pima_data!$F$1:$F$768))/(MAX(pima_data!$F$1:$F$768)-MIN(pima_data!$F$1:$F$768))</f>
        <v>0.450074515648286</v>
      </c>
      <c r="G458" s="5">
        <f>(pima_data!G458-MIN(pima_data!$G$1:$G$768))/(MAX(pima_data!$G$1:$G$768)-MIN(pima_data!$G$1:$G$768))</f>
        <v>0.122117847993168</v>
      </c>
      <c r="H458" s="5">
        <f>(pima_data!H458-MIN(pima_data!$H$1:$H$768))/(MAX(pima_data!$H$1:$H$768)-MIN(pima_data!$H$1:$H$768))</f>
        <v>0.05</v>
      </c>
    </row>
    <row r="459" spans="1:8">
      <c r="A459" s="5">
        <f>(pima_data!A459-MIN(pima_data!$A$1:$A$768))/(MAX(pima_data!$A$1:$A$768)-MIN(pima_data!$A$1:$A$768))</f>
        <v>0.588235294117647</v>
      </c>
      <c r="B459" s="5">
        <f>(pima_data!B459-MIN(pima_data!$B$1:$B$768))/(MAX(pima_data!$B$1:$B$768)-MIN(pima_data!$B$1:$B$768))</f>
        <v>0.743718592964824</v>
      </c>
      <c r="C459" s="5">
        <f>(pima_data!C459-MIN(pima_data!$C$1:$C$768))/(MAX(pima_data!$C$1:$C$768)-MIN(pima_data!$C$1:$C$768))</f>
        <v>0.688524590163934</v>
      </c>
      <c r="D459" s="5">
        <f>(pima_data!D459-MIN(pima_data!$D$1:$D$768))/(MAX(pima_data!$D$1:$D$768)-MIN(pima_data!$D$1:$D$768))</f>
        <v>0.484848484848485</v>
      </c>
      <c r="E459" s="5">
        <f>(pima_data!E459-MIN(pima_data!$E$1:$E$768))/(MAX(pima_data!$E$1:$E$768)-MIN(pima_data!$E$1:$E$768))</f>
        <v>0.280141843971631</v>
      </c>
      <c r="F459" s="5">
        <f>(pima_data!F459-MIN(pima_data!$F$1:$F$768))/(MAX(pima_data!$F$1:$F$768)-MIN(pima_data!$F$1:$F$768))</f>
        <v>0.560357675111774</v>
      </c>
      <c r="G459" s="5">
        <f>(pima_data!G459-MIN(pima_data!$G$1:$G$768))/(MAX(pima_data!$G$1:$G$768)-MIN(pima_data!$G$1:$G$768))</f>
        <v>0.394107600341588</v>
      </c>
      <c r="H459" s="5">
        <f>(pima_data!H459-MIN(pima_data!$H$1:$H$768))/(MAX(pima_data!$H$1:$H$768)-MIN(pima_data!$H$1:$H$768))</f>
        <v>0.5</v>
      </c>
    </row>
    <row r="460" spans="1:8">
      <c r="A460" s="5">
        <f>(pima_data!A460-MIN(pima_data!$A$1:$A$768))/(MAX(pima_data!$A$1:$A$768)-MIN(pima_data!$A$1:$A$768))</f>
        <v>0.529411764705882</v>
      </c>
      <c r="B460" s="5">
        <f>(pima_data!B460-MIN(pima_data!$B$1:$B$768))/(MAX(pima_data!$B$1:$B$768)-MIN(pima_data!$B$1:$B$768))</f>
        <v>0.673366834170854</v>
      </c>
      <c r="C460" s="5">
        <f>(pima_data!C460-MIN(pima_data!$C$1:$C$768))/(MAX(pima_data!$C$1:$C$768)-MIN(pima_data!$C$1:$C$768))</f>
        <v>0.60655737704918</v>
      </c>
      <c r="D460" s="5">
        <f>(pima_data!D460-MIN(pima_data!$D$1:$D$768))/(MAX(pima_data!$D$1:$D$768)-MIN(pima_data!$D$1:$D$768))</f>
        <v>0.333333333333333</v>
      </c>
      <c r="E460" s="5">
        <f>(pima_data!E460-MIN(pima_data!$E$1:$E$768))/(MAX(pima_data!$E$1:$E$768)-MIN(pima_data!$E$1:$E$768))</f>
        <v>0.0709219858156028</v>
      </c>
      <c r="F460" s="5">
        <f>(pima_data!F460-MIN(pima_data!$F$1:$F$768))/(MAX(pima_data!$F$1:$F$768)-MIN(pima_data!$F$1:$F$768))</f>
        <v>0.385991058122206</v>
      </c>
      <c r="G460" s="5">
        <f>(pima_data!G460-MIN(pima_data!$G$1:$G$768))/(MAX(pima_data!$G$1:$G$768)-MIN(pima_data!$G$1:$G$768))</f>
        <v>0.163108454312553</v>
      </c>
      <c r="H460" s="5">
        <f>(pima_data!H460-MIN(pima_data!$H$1:$H$768))/(MAX(pima_data!$H$1:$H$768)-MIN(pima_data!$H$1:$H$768))</f>
        <v>1</v>
      </c>
    </row>
    <row r="461" spans="1:8">
      <c r="A461" s="5">
        <f>(pima_data!A461-MIN(pima_data!$A$1:$A$768))/(MAX(pima_data!$A$1:$A$768)-MIN(pima_data!$A$1:$A$768))</f>
        <v>0.529411764705882</v>
      </c>
      <c r="B461" s="5">
        <f>(pima_data!B461-MIN(pima_data!$B$1:$B$768))/(MAX(pima_data!$B$1:$B$768)-MIN(pima_data!$B$1:$B$768))</f>
        <v>0.603015075376884</v>
      </c>
      <c r="C461" s="5">
        <f>(pima_data!C461-MIN(pima_data!$C$1:$C$768))/(MAX(pima_data!$C$1:$C$768)-MIN(pima_data!$C$1:$C$768))</f>
        <v>0.590163934426229</v>
      </c>
      <c r="D461" s="5">
        <f>(pima_data!D461-MIN(pima_data!$D$1:$D$768))/(MAX(pima_data!$D$1:$D$768)-MIN(pima_data!$D$1:$D$768))</f>
        <v>0.222222222222222</v>
      </c>
      <c r="E461" s="5">
        <f>(pima_data!E461-MIN(pima_data!$E$1:$E$768))/(MAX(pima_data!$E$1:$E$768)-MIN(pima_data!$E$1:$E$768))</f>
        <v>0.066193853427896</v>
      </c>
      <c r="F461" s="5">
        <f>(pima_data!F461-MIN(pima_data!$F$1:$F$768))/(MAX(pima_data!$F$1:$F$768)-MIN(pima_data!$F$1:$F$768))</f>
        <v>0.309985096870343</v>
      </c>
      <c r="G461" s="5">
        <f>(pima_data!G461-MIN(pima_data!$G$1:$G$768))/(MAX(pima_data!$G$1:$G$768)-MIN(pima_data!$G$1:$G$768))</f>
        <v>0.279675491033305</v>
      </c>
      <c r="H461" s="5">
        <f>(pima_data!H461-MIN(pima_data!$H$1:$H$768))/(MAX(pima_data!$H$1:$H$768)-MIN(pima_data!$H$1:$H$768))</f>
        <v>0.45</v>
      </c>
    </row>
    <row r="462" spans="1:8">
      <c r="A462" s="5">
        <f>(pima_data!A462-MIN(pima_data!$A$1:$A$768))/(MAX(pima_data!$A$1:$A$768)-MIN(pima_data!$A$1:$A$768))</f>
        <v>0.0588235294117647</v>
      </c>
      <c r="B462" s="5">
        <f>(pima_data!B462-MIN(pima_data!$B$1:$B$768))/(MAX(pima_data!$B$1:$B$768)-MIN(pima_data!$B$1:$B$768))</f>
        <v>0.35678391959799</v>
      </c>
      <c r="C462" s="5">
        <f>(pima_data!C462-MIN(pima_data!$C$1:$C$768))/(MAX(pima_data!$C$1:$C$768)-MIN(pima_data!$C$1:$C$768))</f>
        <v>0.508196721311475</v>
      </c>
      <c r="D462" s="5">
        <f>(pima_data!D462-MIN(pima_data!$D$1:$D$768))/(MAX(pima_data!$D$1:$D$768)-MIN(pima_data!$D$1:$D$768))</f>
        <v>0</v>
      </c>
      <c r="E462" s="5">
        <f>(pima_data!E462-MIN(pima_data!$E$1:$E$768))/(MAX(pima_data!$E$1:$E$768)-MIN(pima_data!$E$1:$E$768))</f>
        <v>0</v>
      </c>
      <c r="F462" s="5">
        <f>(pima_data!F462-MIN(pima_data!$F$1:$F$768))/(MAX(pima_data!$F$1:$F$768)-MIN(pima_data!$F$1:$F$768))</f>
        <v>0.324888226527571</v>
      </c>
      <c r="G462" s="5">
        <f>(pima_data!G462-MIN(pima_data!$G$1:$G$768))/(MAX(pima_data!$G$1:$G$768)-MIN(pima_data!$G$1:$G$768))</f>
        <v>0.144321093082835</v>
      </c>
      <c r="H462" s="5">
        <f>(pima_data!H462-MIN(pima_data!$H$1:$H$768))/(MAX(pima_data!$H$1:$H$768)-MIN(pima_data!$H$1:$H$768))</f>
        <v>0.0833333333333333</v>
      </c>
    </row>
    <row r="463" spans="1:8">
      <c r="A463" s="5">
        <f>(pima_data!A463-MIN(pima_data!$A$1:$A$768))/(MAX(pima_data!$A$1:$A$768)-MIN(pima_data!$A$1:$A$768))</f>
        <v>0.470588235294118</v>
      </c>
      <c r="B463" s="5">
        <f>(pima_data!B463-MIN(pima_data!$B$1:$B$768))/(MAX(pima_data!$B$1:$B$768)-MIN(pima_data!$B$1:$B$768))</f>
        <v>0.371859296482412</v>
      </c>
      <c r="C463" s="5">
        <f>(pima_data!C463-MIN(pima_data!$C$1:$C$768))/(MAX(pima_data!$C$1:$C$768)-MIN(pima_data!$C$1:$C$768))</f>
        <v>0.573770491803279</v>
      </c>
      <c r="D463" s="5">
        <f>(pima_data!D463-MIN(pima_data!$D$1:$D$768))/(MAX(pima_data!$D$1:$D$768)-MIN(pima_data!$D$1:$D$768))</f>
        <v>0.404040404040404</v>
      </c>
      <c r="E463" s="5">
        <f>(pima_data!E463-MIN(pima_data!$E$1:$E$768))/(MAX(pima_data!$E$1:$E$768)-MIN(pima_data!$E$1:$E$768))</f>
        <v>0.057919621749409</v>
      </c>
      <c r="F463" s="5">
        <f>(pima_data!F463-MIN(pima_data!$F$1:$F$768))/(MAX(pima_data!$F$1:$F$768)-MIN(pima_data!$F$1:$F$768))</f>
        <v>0.526080476900149</v>
      </c>
      <c r="G463" s="5">
        <f>(pima_data!G463-MIN(pima_data!$G$1:$G$768))/(MAX(pima_data!$G$1:$G$768)-MIN(pima_data!$G$1:$G$768))</f>
        <v>0.267719897523484</v>
      </c>
      <c r="H463" s="5">
        <f>(pima_data!H463-MIN(pima_data!$H$1:$H$768))/(MAX(pima_data!$H$1:$H$768)-MIN(pima_data!$H$1:$H$768))</f>
        <v>0.3</v>
      </c>
    </row>
    <row r="464" spans="1:8">
      <c r="A464" s="5">
        <f>(pima_data!A464-MIN(pima_data!$A$1:$A$768))/(MAX(pima_data!$A$1:$A$768)-MIN(pima_data!$A$1:$A$768))</f>
        <v>0.294117647058824</v>
      </c>
      <c r="B464" s="5">
        <f>(pima_data!B464-MIN(pima_data!$B$1:$B$768))/(MAX(pima_data!$B$1:$B$768)-MIN(pima_data!$B$1:$B$768))</f>
        <v>0.442211055276382</v>
      </c>
      <c r="C464" s="5">
        <f>(pima_data!C464-MIN(pima_data!$C$1:$C$768))/(MAX(pima_data!$C$1:$C$768)-MIN(pima_data!$C$1:$C$768))</f>
        <v>0.639344262295082</v>
      </c>
      <c r="D464" s="5">
        <f>(pima_data!D464-MIN(pima_data!$D$1:$D$768))/(MAX(pima_data!$D$1:$D$768)-MIN(pima_data!$D$1:$D$768))</f>
        <v>0.303030303030303</v>
      </c>
      <c r="E464" s="5">
        <f>(pima_data!E464-MIN(pima_data!$E$1:$E$768))/(MAX(pima_data!$E$1:$E$768)-MIN(pima_data!$E$1:$E$768))</f>
        <v>0</v>
      </c>
      <c r="F464" s="5">
        <f>(pima_data!F464-MIN(pima_data!$F$1:$F$768))/(MAX(pima_data!$F$1:$F$768)-MIN(pima_data!$F$1:$F$768))</f>
        <v>0.411326378539493</v>
      </c>
      <c r="G464" s="5">
        <f>(pima_data!G464-MIN(pima_data!$G$1:$G$768))/(MAX(pima_data!$G$1:$G$768)-MIN(pima_data!$G$1:$G$768))</f>
        <v>0.0768573868488471</v>
      </c>
      <c r="H464" s="5">
        <f>(pima_data!H464-MIN(pima_data!$H$1:$H$768))/(MAX(pima_data!$H$1:$H$768)-MIN(pima_data!$H$1:$H$768))</f>
        <v>0.266666666666667</v>
      </c>
    </row>
    <row r="465" spans="1:8">
      <c r="A465" s="5">
        <f>(pima_data!A465-MIN(pima_data!$A$1:$A$768))/(MAX(pima_data!$A$1:$A$768)-MIN(pima_data!$A$1:$A$768))</f>
        <v>0.588235294117647</v>
      </c>
      <c r="B465" s="5">
        <f>(pima_data!B465-MIN(pima_data!$B$1:$B$768))/(MAX(pima_data!$B$1:$B$768)-MIN(pima_data!$B$1:$B$768))</f>
        <v>0.577889447236181</v>
      </c>
      <c r="C465" s="5">
        <f>(pima_data!C465-MIN(pima_data!$C$1:$C$768))/(MAX(pima_data!$C$1:$C$768)-MIN(pima_data!$C$1:$C$768))</f>
        <v>0.80327868852459</v>
      </c>
      <c r="D465" s="5">
        <f>(pima_data!D465-MIN(pima_data!$D$1:$D$768))/(MAX(pima_data!$D$1:$D$768)-MIN(pima_data!$D$1:$D$768))</f>
        <v>0</v>
      </c>
      <c r="E465" s="5">
        <f>(pima_data!E465-MIN(pima_data!$E$1:$E$768))/(MAX(pima_data!$E$1:$E$768)-MIN(pima_data!$E$1:$E$768))</f>
        <v>0</v>
      </c>
      <c r="F465" s="5">
        <f>(pima_data!F465-MIN(pima_data!$F$1:$F$768))/(MAX(pima_data!$F$1:$F$768)-MIN(pima_data!$F$1:$F$768))</f>
        <v>0.357675111773472</v>
      </c>
      <c r="G465" s="5">
        <f>(pima_data!G465-MIN(pima_data!$G$1:$G$768))/(MAX(pima_data!$G$1:$G$768)-MIN(pima_data!$G$1:$G$768))</f>
        <v>0.403074295473954</v>
      </c>
      <c r="H465" s="5">
        <f>(pima_data!H465-MIN(pima_data!$H$1:$H$768))/(MAX(pima_data!$H$1:$H$768)-MIN(pima_data!$H$1:$H$768))</f>
        <v>0.216666666666667</v>
      </c>
    </row>
    <row r="466" spans="1:8">
      <c r="A466" s="5">
        <f>(pima_data!A466-MIN(pima_data!$A$1:$A$768))/(MAX(pima_data!$A$1:$A$768)-MIN(pima_data!$A$1:$A$768))</f>
        <v>0</v>
      </c>
      <c r="B466" s="5">
        <f>(pima_data!B466-MIN(pima_data!$B$1:$B$768))/(MAX(pima_data!$B$1:$B$768)-MIN(pima_data!$B$1:$B$768))</f>
        <v>0.623115577889447</v>
      </c>
      <c r="C466" s="5">
        <f>(pima_data!C466-MIN(pima_data!$C$1:$C$768))/(MAX(pima_data!$C$1:$C$768)-MIN(pima_data!$C$1:$C$768))</f>
        <v>0.459016393442623</v>
      </c>
      <c r="D466" s="5">
        <f>(pima_data!D466-MIN(pima_data!$D$1:$D$768))/(MAX(pima_data!$D$1:$D$768)-MIN(pima_data!$D$1:$D$768))</f>
        <v>0.131313131313131</v>
      </c>
      <c r="E466" s="5">
        <f>(pima_data!E466-MIN(pima_data!$E$1:$E$768))/(MAX(pima_data!$E$1:$E$768)-MIN(pima_data!$E$1:$E$768))</f>
        <v>0.124113475177305</v>
      </c>
      <c r="F466" s="5">
        <f>(pima_data!F466-MIN(pima_data!$F$1:$F$768))/(MAX(pima_data!$F$1:$F$768)-MIN(pima_data!$F$1:$F$768))</f>
        <v>0.324888226527571</v>
      </c>
      <c r="G466" s="5">
        <f>(pima_data!G466-MIN(pima_data!$G$1:$G$768))/(MAX(pima_data!$G$1:$G$768)-MIN(pima_data!$G$1:$G$768))</f>
        <v>0.159692570452605</v>
      </c>
      <c r="H466" s="5">
        <f>(pima_data!H466-MIN(pima_data!$H$1:$H$768))/(MAX(pima_data!$H$1:$H$768)-MIN(pima_data!$H$1:$H$768))</f>
        <v>0</v>
      </c>
    </row>
    <row r="467" spans="1:8">
      <c r="A467" s="5">
        <f>(pima_data!A467-MIN(pima_data!$A$1:$A$768))/(MAX(pima_data!$A$1:$A$768)-MIN(pima_data!$A$1:$A$768))</f>
        <v>0</v>
      </c>
      <c r="B467" s="5">
        <f>(pima_data!B467-MIN(pima_data!$B$1:$B$768))/(MAX(pima_data!$B$1:$B$768)-MIN(pima_data!$B$1:$B$768))</f>
        <v>0.371859296482412</v>
      </c>
      <c r="C467" s="5">
        <f>(pima_data!C467-MIN(pima_data!$C$1:$C$768))/(MAX(pima_data!$C$1:$C$768)-MIN(pima_data!$C$1:$C$768))</f>
        <v>0.426229508196721</v>
      </c>
      <c r="D467" s="5">
        <f>(pima_data!D467-MIN(pima_data!$D$1:$D$768))/(MAX(pima_data!$D$1:$D$768)-MIN(pima_data!$D$1:$D$768))</f>
        <v>0.101010101010101</v>
      </c>
      <c r="E467" s="5">
        <f>(pima_data!E467-MIN(pima_data!$E$1:$E$768))/(MAX(pima_data!$E$1:$E$768)-MIN(pima_data!$E$1:$E$768))</f>
        <v>0.0425531914893617</v>
      </c>
      <c r="F467" s="5">
        <f>(pima_data!F467-MIN(pima_data!$F$1:$F$768))/(MAX(pima_data!$F$1:$F$768)-MIN(pima_data!$F$1:$F$768))</f>
        <v>0.414307004470939</v>
      </c>
      <c r="G467" s="5">
        <f>(pima_data!G467-MIN(pima_data!$G$1:$G$768))/(MAX(pima_data!$G$1:$G$768)-MIN(pima_data!$G$1:$G$768))</f>
        <v>0.0815542271562767</v>
      </c>
      <c r="H467" s="5">
        <f>(pima_data!H467-MIN(pima_data!$H$1:$H$768))/(MAX(pima_data!$H$1:$H$768)-MIN(pima_data!$H$1:$H$768))</f>
        <v>0.0166666666666667</v>
      </c>
    </row>
    <row r="468" spans="1:8">
      <c r="A468" s="5">
        <f>(pima_data!A468-MIN(pima_data!$A$1:$A$768))/(MAX(pima_data!$A$1:$A$768)-MIN(pima_data!$A$1:$A$768))</f>
        <v>0</v>
      </c>
      <c r="B468" s="5">
        <f>(pima_data!B468-MIN(pima_data!$B$1:$B$768))/(MAX(pima_data!$B$1:$B$768)-MIN(pima_data!$B$1:$B$768))</f>
        <v>0.487437185929648</v>
      </c>
      <c r="C468" s="5">
        <f>(pima_data!C468-MIN(pima_data!$C$1:$C$768))/(MAX(pima_data!$C$1:$C$768)-MIN(pima_data!$C$1:$C$768))</f>
        <v>0.524590163934426</v>
      </c>
      <c r="D468" s="5">
        <f>(pima_data!D468-MIN(pima_data!$D$1:$D$768))/(MAX(pima_data!$D$1:$D$768)-MIN(pima_data!$D$1:$D$768))</f>
        <v>0.363636363636364</v>
      </c>
      <c r="E468" s="5">
        <f>(pima_data!E468-MIN(pima_data!$E$1:$E$768))/(MAX(pima_data!$E$1:$E$768)-MIN(pima_data!$E$1:$E$768))</f>
        <v>0.118203309692671</v>
      </c>
      <c r="F468" s="5">
        <f>(pima_data!F468-MIN(pima_data!$F$1:$F$768))/(MAX(pima_data!$F$1:$F$768)-MIN(pima_data!$F$1:$F$768))</f>
        <v>0.548435171385991</v>
      </c>
      <c r="G468" s="5">
        <f>(pima_data!G468-MIN(pima_data!$G$1:$G$768))/(MAX(pima_data!$G$1:$G$768)-MIN(pima_data!$G$1:$G$768))</f>
        <v>0.222886421861657</v>
      </c>
      <c r="H468" s="5">
        <f>(pima_data!H468-MIN(pima_data!$H$1:$H$768))/(MAX(pima_data!$H$1:$H$768)-MIN(pima_data!$H$1:$H$768))</f>
        <v>0.0666666666666667</v>
      </c>
    </row>
    <row r="469" spans="1:8">
      <c r="A469" s="5">
        <f>(pima_data!A469-MIN(pima_data!$A$1:$A$768))/(MAX(pima_data!$A$1:$A$768)-MIN(pima_data!$A$1:$A$768))</f>
        <v>0.470588235294118</v>
      </c>
      <c r="B469" s="5">
        <f>(pima_data!B469-MIN(pima_data!$B$1:$B$768))/(MAX(pima_data!$B$1:$B$768)-MIN(pima_data!$B$1:$B$768))</f>
        <v>0.603015075376884</v>
      </c>
      <c r="C469" s="5">
        <f>(pima_data!C469-MIN(pima_data!$C$1:$C$768))/(MAX(pima_data!$C$1:$C$768)-MIN(pima_data!$C$1:$C$768))</f>
        <v>0</v>
      </c>
      <c r="D469" s="5">
        <f>(pima_data!D469-MIN(pima_data!$D$1:$D$768))/(MAX(pima_data!$D$1:$D$768)-MIN(pima_data!$D$1:$D$768))</f>
        <v>0</v>
      </c>
      <c r="E469" s="5">
        <f>(pima_data!E469-MIN(pima_data!$E$1:$E$768))/(MAX(pima_data!$E$1:$E$768)-MIN(pima_data!$E$1:$E$768))</f>
        <v>0</v>
      </c>
      <c r="F469" s="5">
        <f>(pima_data!F469-MIN(pima_data!$F$1:$F$768))/(MAX(pima_data!$F$1:$F$768)-MIN(pima_data!$F$1:$F$768))</f>
        <v>0.447093889716841</v>
      </c>
      <c r="G469" s="5">
        <f>(pima_data!G469-MIN(pima_data!$G$1:$G$768))/(MAX(pima_data!$G$1:$G$768)-MIN(pima_data!$G$1:$G$768))</f>
        <v>0.0448334756618275</v>
      </c>
      <c r="H469" s="5">
        <f>(pima_data!H469-MIN(pima_data!$H$1:$H$768))/(MAX(pima_data!$H$1:$H$768)-MIN(pima_data!$H$1:$H$768))</f>
        <v>0.283333333333333</v>
      </c>
    </row>
    <row r="470" spans="1:8">
      <c r="A470" s="5">
        <f>(pima_data!A470-MIN(pima_data!$A$1:$A$768))/(MAX(pima_data!$A$1:$A$768)-MIN(pima_data!$A$1:$A$768))</f>
        <v>0.352941176470588</v>
      </c>
      <c r="B470" s="5">
        <f>(pima_data!B470-MIN(pima_data!$B$1:$B$768))/(MAX(pima_data!$B$1:$B$768)-MIN(pima_data!$B$1:$B$768))</f>
        <v>0.773869346733668</v>
      </c>
      <c r="C470" s="5">
        <f>(pima_data!C470-MIN(pima_data!$C$1:$C$768))/(MAX(pima_data!$C$1:$C$768)-MIN(pima_data!$C$1:$C$768))</f>
        <v>0.639344262295082</v>
      </c>
      <c r="D470" s="5">
        <f>(pima_data!D470-MIN(pima_data!$D$1:$D$768))/(MAX(pima_data!$D$1:$D$768)-MIN(pima_data!$D$1:$D$768))</f>
        <v>0.414141414141414</v>
      </c>
      <c r="E470" s="5">
        <f>(pima_data!E470-MIN(pima_data!$E$1:$E$768))/(MAX(pima_data!$E$1:$E$768)-MIN(pima_data!$E$1:$E$768))</f>
        <v>0.16548463356974</v>
      </c>
      <c r="F470" s="5">
        <f>(pima_data!F470-MIN(pima_data!$F$1:$F$768))/(MAX(pima_data!$F$1:$F$768)-MIN(pima_data!$F$1:$F$768))</f>
        <v>0.687034277198212</v>
      </c>
      <c r="G470" s="5">
        <f>(pima_data!G470-MIN(pima_data!$G$1:$G$768))/(MAX(pima_data!$G$1:$G$768)-MIN(pima_data!$G$1:$G$768))</f>
        <v>0.210503842869342</v>
      </c>
      <c r="H470" s="5">
        <f>(pima_data!H470-MIN(pima_data!$H$1:$H$768))/(MAX(pima_data!$H$1:$H$768)-MIN(pima_data!$H$1:$H$768))</f>
        <v>0.1</v>
      </c>
    </row>
    <row r="471" spans="1:8">
      <c r="A471" s="5">
        <f>(pima_data!A471-MIN(pima_data!$A$1:$A$768))/(MAX(pima_data!$A$1:$A$768)-MIN(pima_data!$A$1:$A$768))</f>
        <v>0.0588235294117647</v>
      </c>
      <c r="B471" s="5">
        <f>(pima_data!B471-MIN(pima_data!$B$1:$B$768))/(MAX(pima_data!$B$1:$B$768)-MIN(pima_data!$B$1:$B$768))</f>
        <v>0.723618090452261</v>
      </c>
      <c r="C471" s="5">
        <f>(pima_data!C471-MIN(pima_data!$C$1:$C$768))/(MAX(pima_data!$C$1:$C$768)-MIN(pima_data!$C$1:$C$768))</f>
        <v>0.672131147540984</v>
      </c>
      <c r="D471" s="5">
        <f>(pima_data!D471-MIN(pima_data!$D$1:$D$768))/(MAX(pima_data!$D$1:$D$768)-MIN(pima_data!$D$1:$D$768))</f>
        <v>0.404040404040404</v>
      </c>
      <c r="E471" s="5">
        <f>(pima_data!E471-MIN(pima_data!$E$1:$E$768))/(MAX(pima_data!$E$1:$E$768)-MIN(pima_data!$E$1:$E$768))</f>
        <v>0</v>
      </c>
      <c r="F471" s="5">
        <f>(pima_data!F471-MIN(pima_data!$F$1:$F$768))/(MAX(pima_data!$F$1:$F$768)-MIN(pima_data!$F$1:$F$768))</f>
        <v>0.615499254843517</v>
      </c>
      <c r="G471" s="5">
        <f>(pima_data!G471-MIN(pima_data!$G$1:$G$768))/(MAX(pima_data!$G$1:$G$768)-MIN(pima_data!$G$1:$G$768))</f>
        <v>0.225875320239112</v>
      </c>
      <c r="H471" s="5">
        <f>(pima_data!H471-MIN(pima_data!$H$1:$H$768))/(MAX(pima_data!$H$1:$H$768)-MIN(pima_data!$H$1:$H$768))</f>
        <v>0.116666666666667</v>
      </c>
    </row>
    <row r="472" spans="1:8">
      <c r="A472" s="5">
        <f>(pima_data!A472-MIN(pima_data!$A$1:$A$768))/(MAX(pima_data!$A$1:$A$768)-MIN(pima_data!$A$1:$A$768))</f>
        <v>0</v>
      </c>
      <c r="B472" s="5">
        <f>(pima_data!B472-MIN(pima_data!$B$1:$B$768))/(MAX(pima_data!$B$1:$B$768)-MIN(pima_data!$B$1:$B$768))</f>
        <v>0.688442211055276</v>
      </c>
      <c r="C472" s="5">
        <f>(pima_data!C472-MIN(pima_data!$C$1:$C$768))/(MAX(pima_data!$C$1:$C$768)-MIN(pima_data!$C$1:$C$768))</f>
        <v>0.573770491803279</v>
      </c>
      <c r="D472" s="5">
        <f>(pima_data!D472-MIN(pima_data!$D$1:$D$768))/(MAX(pima_data!$D$1:$D$768)-MIN(pima_data!$D$1:$D$768))</f>
        <v>0.383838383838384</v>
      </c>
      <c r="E472" s="5">
        <f>(pima_data!E472-MIN(pima_data!$E$1:$E$768))/(MAX(pima_data!$E$1:$E$768)-MIN(pima_data!$E$1:$E$768))</f>
        <v>0</v>
      </c>
      <c r="F472" s="5">
        <f>(pima_data!F472-MIN(pima_data!$F$1:$F$768))/(MAX(pima_data!$F$1:$F$768)-MIN(pima_data!$F$1:$F$768))</f>
        <v>0.49478390461997</v>
      </c>
      <c r="G472" s="5">
        <f>(pima_data!G472-MIN(pima_data!$G$1:$G$768))/(MAX(pima_data!$G$1:$G$768)-MIN(pima_data!$G$1:$G$768))</f>
        <v>0.0392826643894108</v>
      </c>
      <c r="H472" s="5">
        <f>(pima_data!H472-MIN(pima_data!$H$1:$H$768))/(MAX(pima_data!$H$1:$H$768)-MIN(pima_data!$H$1:$H$768))</f>
        <v>0.0166666666666667</v>
      </c>
    </row>
    <row r="473" spans="1:8">
      <c r="A473" s="5">
        <f>(pima_data!A473-MIN(pima_data!$A$1:$A$768))/(MAX(pima_data!$A$1:$A$768)-MIN(pima_data!$A$1:$A$768))</f>
        <v>0</v>
      </c>
      <c r="B473" s="5">
        <f>(pima_data!B473-MIN(pima_data!$B$1:$B$768))/(MAX(pima_data!$B$1:$B$768)-MIN(pima_data!$B$1:$B$768))</f>
        <v>0.597989949748744</v>
      </c>
      <c r="C473" s="5">
        <f>(pima_data!C473-MIN(pima_data!$C$1:$C$768))/(MAX(pima_data!$C$1:$C$768)-MIN(pima_data!$C$1:$C$768))</f>
        <v>0.540983606557377</v>
      </c>
      <c r="D473" s="5">
        <f>(pima_data!D473-MIN(pima_data!$D$1:$D$768))/(MAX(pima_data!$D$1:$D$768)-MIN(pima_data!$D$1:$D$768))</f>
        <v>0.272727272727273</v>
      </c>
      <c r="E473" s="5">
        <f>(pima_data!E473-MIN(pima_data!$E$1:$E$768))/(MAX(pima_data!$E$1:$E$768)-MIN(pima_data!$E$1:$E$768))</f>
        <v>0</v>
      </c>
      <c r="F473" s="5">
        <f>(pima_data!F473-MIN(pima_data!$F$1:$F$768))/(MAX(pima_data!$F$1:$F$768)-MIN(pima_data!$F$1:$F$768))</f>
        <v>0.578241430700447</v>
      </c>
      <c r="G473" s="5">
        <f>(pima_data!G473-MIN(pima_data!$G$1:$G$768))/(MAX(pima_data!$G$1:$G$768)-MIN(pima_data!$G$1:$G$768))</f>
        <v>0.0772843723313407</v>
      </c>
      <c r="H473" s="5">
        <f>(pima_data!H473-MIN(pima_data!$H$1:$H$768))/(MAX(pima_data!$H$1:$H$768)-MIN(pima_data!$H$1:$H$768))</f>
        <v>0.0166666666666667</v>
      </c>
    </row>
    <row r="474" spans="1:8">
      <c r="A474" s="5">
        <f>(pima_data!A474-MIN(pima_data!$A$1:$A$768))/(MAX(pima_data!$A$1:$A$768)-MIN(pima_data!$A$1:$A$768))</f>
        <v>0.411764705882353</v>
      </c>
      <c r="B474" s="5">
        <f>(pima_data!B474-MIN(pima_data!$B$1:$B$768))/(MAX(pima_data!$B$1:$B$768)-MIN(pima_data!$B$1:$B$768))</f>
        <v>0.683417085427136</v>
      </c>
      <c r="C474" s="5">
        <f>(pima_data!C474-MIN(pima_data!$C$1:$C$768))/(MAX(pima_data!$C$1:$C$768)-MIN(pima_data!$C$1:$C$768))</f>
        <v>0.737704918032787</v>
      </c>
      <c r="D474" s="5">
        <f>(pima_data!D474-MIN(pima_data!$D$1:$D$768))/(MAX(pima_data!$D$1:$D$768)-MIN(pima_data!$D$1:$D$768))</f>
        <v>0</v>
      </c>
      <c r="E474" s="5">
        <f>(pima_data!E474-MIN(pima_data!$E$1:$E$768))/(MAX(pima_data!$E$1:$E$768)-MIN(pima_data!$E$1:$E$768))</f>
        <v>0</v>
      </c>
      <c r="F474" s="5">
        <f>(pima_data!F474-MIN(pima_data!$F$1:$F$768))/(MAX(pima_data!$F$1:$F$768)-MIN(pima_data!$F$1:$F$768))</f>
        <v>0.445603576751118</v>
      </c>
      <c r="G474" s="5">
        <f>(pima_data!G474-MIN(pima_data!$G$1:$G$768))/(MAX(pima_data!$G$1:$G$768)-MIN(pima_data!$G$1:$G$768))</f>
        <v>0.0563620836891546</v>
      </c>
      <c r="H474" s="5">
        <f>(pima_data!H474-MIN(pima_data!$H$1:$H$768))/(MAX(pima_data!$H$1:$H$768)-MIN(pima_data!$H$1:$H$768))</f>
        <v>0.483333333333333</v>
      </c>
    </row>
    <row r="475" spans="1:8">
      <c r="A475" s="5">
        <f>(pima_data!A475-MIN(pima_data!$A$1:$A$768))/(MAX(pima_data!$A$1:$A$768)-MIN(pima_data!$A$1:$A$768))</f>
        <v>0.235294117647059</v>
      </c>
      <c r="B475" s="5">
        <f>(pima_data!B475-MIN(pima_data!$B$1:$B$768))/(MAX(pima_data!$B$1:$B$768)-MIN(pima_data!$B$1:$B$768))</f>
        <v>0.57286432160804</v>
      </c>
      <c r="C475" s="5">
        <f>(pima_data!C475-MIN(pima_data!$C$1:$C$768))/(MAX(pima_data!$C$1:$C$768)-MIN(pima_data!$C$1:$C$768))</f>
        <v>0.524590163934426</v>
      </c>
      <c r="D475" s="5">
        <f>(pima_data!D475-MIN(pima_data!$D$1:$D$768))/(MAX(pima_data!$D$1:$D$768)-MIN(pima_data!$D$1:$D$768))</f>
        <v>0</v>
      </c>
      <c r="E475" s="5">
        <f>(pima_data!E475-MIN(pima_data!$E$1:$E$768))/(MAX(pima_data!$E$1:$E$768)-MIN(pima_data!$E$1:$E$768))</f>
        <v>0</v>
      </c>
      <c r="F475" s="5">
        <f>(pima_data!F475-MIN(pima_data!$F$1:$F$768))/(MAX(pima_data!$F$1:$F$768)-MIN(pima_data!$F$1:$F$768))</f>
        <v>0.43070044709389</v>
      </c>
      <c r="G475" s="5">
        <f>(pima_data!G475-MIN(pima_data!$G$1:$G$768))/(MAX(pima_data!$G$1:$G$768)-MIN(pima_data!$G$1:$G$768))</f>
        <v>0.0204953031596926</v>
      </c>
      <c r="H475" s="5">
        <f>(pima_data!H475-MIN(pima_data!$H$1:$H$768))/(MAX(pima_data!$H$1:$H$768)-MIN(pima_data!$H$1:$H$768))</f>
        <v>0.05</v>
      </c>
    </row>
    <row r="476" spans="1:8">
      <c r="A476" s="5">
        <f>(pima_data!A476-MIN(pima_data!$A$1:$A$768))/(MAX(pima_data!$A$1:$A$768)-MIN(pima_data!$A$1:$A$768))</f>
        <v>0</v>
      </c>
      <c r="B476" s="5">
        <f>(pima_data!B476-MIN(pima_data!$B$1:$B$768))/(MAX(pima_data!$B$1:$B$768)-MIN(pima_data!$B$1:$B$768))</f>
        <v>0.688442211055276</v>
      </c>
      <c r="C476" s="5">
        <f>(pima_data!C476-MIN(pima_data!$C$1:$C$768))/(MAX(pima_data!$C$1:$C$768)-MIN(pima_data!$C$1:$C$768))</f>
        <v>0.688524590163934</v>
      </c>
      <c r="D476" s="5">
        <f>(pima_data!D476-MIN(pima_data!$D$1:$D$768))/(MAX(pima_data!$D$1:$D$768)-MIN(pima_data!$D$1:$D$768))</f>
        <v>0.272727272727273</v>
      </c>
      <c r="E476" s="5">
        <f>(pima_data!E476-MIN(pima_data!$E$1:$E$768))/(MAX(pima_data!$E$1:$E$768)-MIN(pima_data!$E$1:$E$768))</f>
        <v>0</v>
      </c>
      <c r="F476" s="5">
        <f>(pima_data!F476-MIN(pima_data!$F$1:$F$768))/(MAX(pima_data!$F$1:$F$768)-MIN(pima_data!$F$1:$F$768))</f>
        <v>0.406855439642325</v>
      </c>
      <c r="G476" s="5">
        <f>(pima_data!G476-MIN(pima_data!$G$1:$G$768))/(MAX(pima_data!$G$1:$G$768)-MIN(pima_data!$G$1:$G$768))</f>
        <v>0.0653287788215201</v>
      </c>
      <c r="H476" s="5">
        <f>(pima_data!H476-MIN(pima_data!$H$1:$H$768))/(MAX(pima_data!$H$1:$H$768)-MIN(pima_data!$H$1:$H$768))</f>
        <v>0.633333333333333</v>
      </c>
    </row>
    <row r="477" spans="1:8">
      <c r="A477" s="5">
        <f>(pima_data!A477-MIN(pima_data!$A$1:$A$768))/(MAX(pima_data!$A$1:$A$768)-MIN(pima_data!$A$1:$A$768))</f>
        <v>0.117647058823529</v>
      </c>
      <c r="B477" s="5">
        <f>(pima_data!B477-MIN(pima_data!$B$1:$B$768))/(MAX(pima_data!$B$1:$B$768)-MIN(pima_data!$B$1:$B$768))</f>
        <v>0.527638190954774</v>
      </c>
      <c r="C477" s="5">
        <f>(pima_data!C477-MIN(pima_data!$C$1:$C$768))/(MAX(pima_data!$C$1:$C$768)-MIN(pima_data!$C$1:$C$768))</f>
        <v>0.655737704918033</v>
      </c>
      <c r="D477" s="5">
        <f>(pima_data!D477-MIN(pima_data!$D$1:$D$768))/(MAX(pima_data!$D$1:$D$768)-MIN(pima_data!$D$1:$D$768))</f>
        <v>0.454545454545455</v>
      </c>
      <c r="E477" s="5">
        <f>(pima_data!E477-MIN(pima_data!$E$1:$E$768))/(MAX(pima_data!$E$1:$E$768)-MIN(pima_data!$E$1:$E$768))</f>
        <v>0.225768321513002</v>
      </c>
      <c r="F477" s="5">
        <f>(pima_data!F477-MIN(pima_data!$F$1:$F$768))/(MAX(pima_data!$F$1:$F$768)-MIN(pima_data!$F$1:$F$768))</f>
        <v>0.502235469448584</v>
      </c>
      <c r="G477" s="5">
        <f>(pima_data!G477-MIN(pima_data!$G$1:$G$768))/(MAX(pima_data!$G$1:$G$768)-MIN(pima_data!$G$1:$G$768))</f>
        <v>0.270281810418446</v>
      </c>
      <c r="H477" s="5">
        <f>(pima_data!H477-MIN(pima_data!$H$1:$H$768))/(MAX(pima_data!$H$1:$H$768)-MIN(pima_data!$H$1:$H$768))</f>
        <v>0.133333333333333</v>
      </c>
    </row>
    <row r="478" spans="1:8">
      <c r="A478" s="5">
        <f>(pima_data!A478-MIN(pima_data!$A$1:$A$768))/(MAX(pima_data!$A$1:$A$768)-MIN(pima_data!$A$1:$A$768))</f>
        <v>0.411764705882353</v>
      </c>
      <c r="B478" s="5">
        <f>(pima_data!B478-MIN(pima_data!$B$1:$B$768))/(MAX(pima_data!$B$1:$B$768)-MIN(pima_data!$B$1:$B$768))</f>
        <v>0.57286432160804</v>
      </c>
      <c r="C478" s="5">
        <f>(pima_data!C478-MIN(pima_data!$C$1:$C$768))/(MAX(pima_data!$C$1:$C$768)-MIN(pima_data!$C$1:$C$768))</f>
        <v>0.622950819672131</v>
      </c>
      <c r="D478" s="5">
        <f>(pima_data!D478-MIN(pima_data!$D$1:$D$768))/(MAX(pima_data!$D$1:$D$768)-MIN(pima_data!$D$1:$D$768))</f>
        <v>0.171717171717172</v>
      </c>
      <c r="E478" s="5">
        <f>(pima_data!E478-MIN(pima_data!$E$1:$E$768))/(MAX(pima_data!$E$1:$E$768)-MIN(pima_data!$E$1:$E$768))</f>
        <v>0.130023640661939</v>
      </c>
      <c r="F478" s="5">
        <f>(pima_data!F478-MIN(pima_data!$F$1:$F$768))/(MAX(pima_data!$F$1:$F$768)-MIN(pima_data!$F$1:$F$768))</f>
        <v>0.354694485842027</v>
      </c>
      <c r="G478" s="5">
        <f>(pima_data!G478-MIN(pima_data!$G$1:$G$768))/(MAX(pima_data!$G$1:$G$768)-MIN(pima_data!$G$1:$G$768))</f>
        <v>0.165670367207515</v>
      </c>
      <c r="H478" s="5">
        <f>(pima_data!H478-MIN(pima_data!$H$1:$H$768))/(MAX(pima_data!$H$1:$H$768)-MIN(pima_data!$H$1:$H$768))</f>
        <v>0.166666666666667</v>
      </c>
    </row>
    <row r="479" spans="1:8">
      <c r="A479" s="5">
        <f>(pima_data!A479-MIN(pima_data!$A$1:$A$768))/(MAX(pima_data!$A$1:$A$768)-MIN(pima_data!$A$1:$A$768))</f>
        <v>0.470588235294118</v>
      </c>
      <c r="B479" s="5">
        <f>(pima_data!B479-MIN(pima_data!$B$1:$B$768))/(MAX(pima_data!$B$1:$B$768)-MIN(pima_data!$B$1:$B$768))</f>
        <v>0.633165829145729</v>
      </c>
      <c r="C479" s="5">
        <f>(pima_data!C479-MIN(pima_data!$C$1:$C$768))/(MAX(pima_data!$C$1:$C$768)-MIN(pima_data!$C$1:$C$768))</f>
        <v>0.60655737704918</v>
      </c>
      <c r="D479" s="5">
        <f>(pima_data!D479-MIN(pima_data!$D$1:$D$768))/(MAX(pima_data!$D$1:$D$768)-MIN(pima_data!$D$1:$D$768))</f>
        <v>0.383838383838384</v>
      </c>
      <c r="E479" s="5">
        <f>(pima_data!E479-MIN(pima_data!$E$1:$E$768))/(MAX(pima_data!$E$1:$E$768)-MIN(pima_data!$E$1:$E$768))</f>
        <v>0.0886524822695035</v>
      </c>
      <c r="F479" s="5">
        <f>(pima_data!F479-MIN(pima_data!$F$1:$F$768))/(MAX(pima_data!$F$1:$F$768)-MIN(pima_data!$F$1:$F$768))</f>
        <v>0.385991058122206</v>
      </c>
      <c r="G479" s="5">
        <f>(pima_data!G479-MIN(pima_data!$G$1:$G$768))/(MAX(pima_data!$G$1:$G$768)-MIN(pima_data!$G$1:$G$768))</f>
        <v>0.035866780529462</v>
      </c>
      <c r="H479" s="5">
        <f>(pima_data!H479-MIN(pima_data!$H$1:$H$768))/(MAX(pima_data!$H$1:$H$768)-MIN(pima_data!$H$1:$H$768))</f>
        <v>0.3</v>
      </c>
    </row>
    <row r="480" spans="1:8">
      <c r="A480" s="5">
        <f>(pima_data!A480-MIN(pima_data!$A$1:$A$768))/(MAX(pima_data!$A$1:$A$768)-MIN(pima_data!$A$1:$A$768))</f>
        <v>0.235294117647059</v>
      </c>
      <c r="B480" s="5">
        <f>(pima_data!B480-MIN(pima_data!$B$1:$B$768))/(MAX(pima_data!$B$1:$B$768)-MIN(pima_data!$B$1:$B$768))</f>
        <v>0.663316582914573</v>
      </c>
      <c r="C480" s="5">
        <f>(pima_data!C480-MIN(pima_data!$C$1:$C$768))/(MAX(pima_data!$C$1:$C$768)-MIN(pima_data!$C$1:$C$768))</f>
        <v>0.704918032786885</v>
      </c>
      <c r="D480" s="5">
        <f>(pima_data!D480-MIN(pima_data!$D$1:$D$768))/(MAX(pima_data!$D$1:$D$768)-MIN(pima_data!$D$1:$D$768))</f>
        <v>0.313131313131313</v>
      </c>
      <c r="E480" s="5">
        <f>(pima_data!E480-MIN(pima_data!$E$1:$E$768))/(MAX(pima_data!$E$1:$E$768)-MIN(pima_data!$E$1:$E$768))</f>
        <v>0</v>
      </c>
      <c r="F480" s="5">
        <f>(pima_data!F480-MIN(pima_data!$F$1:$F$768))/(MAX(pima_data!$F$1:$F$768)-MIN(pima_data!$F$1:$F$768))</f>
        <v>0.417287630402385</v>
      </c>
      <c r="G480" s="5">
        <f>(pima_data!G480-MIN(pima_data!$G$1:$G$768))/(MAX(pima_data!$G$1:$G$768)-MIN(pima_data!$G$1:$G$768))</f>
        <v>0.145602049530316</v>
      </c>
      <c r="H480" s="5">
        <f>(pima_data!H480-MIN(pima_data!$H$1:$H$768))/(MAX(pima_data!$H$1:$H$768)-MIN(pima_data!$H$1:$H$768))</f>
        <v>0.7</v>
      </c>
    </row>
    <row r="481" spans="1:8">
      <c r="A481" s="5">
        <f>(pima_data!A481-MIN(pima_data!$A$1:$A$768))/(MAX(pima_data!$A$1:$A$768)-MIN(pima_data!$A$1:$A$768))</f>
        <v>0.176470588235294</v>
      </c>
      <c r="B481" s="5">
        <f>(pima_data!B481-MIN(pima_data!$B$1:$B$768))/(MAX(pima_data!$B$1:$B$768)-MIN(pima_data!$B$1:$B$768))</f>
        <v>0.793969849246231</v>
      </c>
      <c r="C481" s="5">
        <f>(pima_data!C481-MIN(pima_data!$C$1:$C$768))/(MAX(pima_data!$C$1:$C$768)-MIN(pima_data!$C$1:$C$768))</f>
        <v>0.573770491803279</v>
      </c>
      <c r="D481" s="5">
        <f>(pima_data!D481-MIN(pima_data!$D$1:$D$768))/(MAX(pima_data!$D$1:$D$768)-MIN(pima_data!$D$1:$D$768))</f>
        <v>0.303030303030303</v>
      </c>
      <c r="E481" s="5">
        <f>(pima_data!E481-MIN(pima_data!$E$1:$E$768))/(MAX(pima_data!$E$1:$E$768)-MIN(pima_data!$E$1:$E$768))</f>
        <v>0.387706855791962</v>
      </c>
      <c r="F481" s="5">
        <f>(pima_data!F481-MIN(pima_data!$F$1:$F$768))/(MAX(pima_data!$F$1:$F$768)-MIN(pima_data!$F$1:$F$768))</f>
        <v>0.529061102831595</v>
      </c>
      <c r="G481" s="5">
        <f>(pima_data!G481-MIN(pima_data!$G$1:$G$768))/(MAX(pima_data!$G$1:$G$768)-MIN(pima_data!$G$1:$G$768))</f>
        <v>0.113578138343296</v>
      </c>
      <c r="H481" s="5">
        <f>(pima_data!H481-MIN(pima_data!$H$1:$H$768))/(MAX(pima_data!$H$1:$H$768)-MIN(pima_data!$H$1:$H$768))</f>
        <v>0.233333333333333</v>
      </c>
    </row>
    <row r="482" spans="1:8">
      <c r="A482" s="5">
        <f>(pima_data!A482-MIN(pima_data!$A$1:$A$768))/(MAX(pima_data!$A$1:$A$768)-MIN(pima_data!$A$1:$A$768))</f>
        <v>0</v>
      </c>
      <c r="B482" s="5">
        <f>(pima_data!B482-MIN(pima_data!$B$1:$B$768))/(MAX(pima_data!$B$1:$B$768)-MIN(pima_data!$B$1:$B$768))</f>
        <v>0.618090452261307</v>
      </c>
      <c r="C482" s="5">
        <f>(pima_data!C482-MIN(pima_data!$C$1:$C$768))/(MAX(pima_data!$C$1:$C$768)-MIN(pima_data!$C$1:$C$768))</f>
        <v>0.721311475409836</v>
      </c>
      <c r="D482" s="5">
        <f>(pima_data!D482-MIN(pima_data!$D$1:$D$768))/(MAX(pima_data!$D$1:$D$768)-MIN(pima_data!$D$1:$D$768))</f>
        <v>0.373737373737374</v>
      </c>
      <c r="E482" s="5">
        <f>(pima_data!E482-MIN(pima_data!$E$1:$E$768))/(MAX(pima_data!$E$1:$E$768)-MIN(pima_data!$E$1:$E$768))</f>
        <v>0</v>
      </c>
      <c r="F482" s="5">
        <f>(pima_data!F482-MIN(pima_data!$F$1:$F$768))/(MAX(pima_data!$F$1:$F$768)-MIN(pima_data!$F$1:$F$768))</f>
        <v>0.524590163934426</v>
      </c>
      <c r="G482" s="5">
        <f>(pima_data!G482-MIN(pima_data!$G$1:$G$768))/(MAX(pima_data!$G$1:$G$768)-MIN(pima_data!$G$1:$G$768))</f>
        <v>0.0508112724167378</v>
      </c>
      <c r="H482" s="5">
        <f>(pima_data!H482-MIN(pima_data!$H$1:$H$768))/(MAX(pima_data!$H$1:$H$768)-MIN(pima_data!$H$1:$H$768))</f>
        <v>0.133333333333333</v>
      </c>
    </row>
    <row r="483" spans="1:8">
      <c r="A483" s="5">
        <f>(pima_data!A483-MIN(pima_data!$A$1:$A$768))/(MAX(pima_data!$A$1:$A$768)-MIN(pima_data!$A$1:$A$768))</f>
        <v>0.235294117647059</v>
      </c>
      <c r="B483" s="5">
        <f>(pima_data!B483-MIN(pima_data!$B$1:$B$768))/(MAX(pima_data!$B$1:$B$768)-MIN(pima_data!$B$1:$B$768))</f>
        <v>0.42713567839196</v>
      </c>
      <c r="C483" s="5">
        <f>(pima_data!C483-MIN(pima_data!$C$1:$C$768))/(MAX(pima_data!$C$1:$C$768)-MIN(pima_data!$C$1:$C$768))</f>
        <v>0.475409836065574</v>
      </c>
      <c r="D483" s="5">
        <f>(pima_data!D483-MIN(pima_data!$D$1:$D$768))/(MAX(pima_data!$D$1:$D$768)-MIN(pima_data!$D$1:$D$768))</f>
        <v>0.222222222222222</v>
      </c>
      <c r="E483" s="5">
        <f>(pima_data!E483-MIN(pima_data!$E$1:$E$768))/(MAX(pima_data!$E$1:$E$768)-MIN(pima_data!$E$1:$E$768))</f>
        <v>0.057919621749409</v>
      </c>
      <c r="F483" s="5">
        <f>(pima_data!F483-MIN(pima_data!$F$1:$F$768))/(MAX(pima_data!$F$1:$F$768)-MIN(pima_data!$F$1:$F$768))</f>
        <v>0.414307004470939</v>
      </c>
      <c r="G483" s="5">
        <f>(pima_data!G483-MIN(pima_data!$G$1:$G$768))/(MAX(pima_data!$G$1:$G$768)-MIN(pima_data!$G$1:$G$768))</f>
        <v>0.0973526900085397</v>
      </c>
      <c r="H483" s="5">
        <f>(pima_data!H483-MIN(pima_data!$H$1:$H$768))/(MAX(pima_data!$H$1:$H$768)-MIN(pima_data!$H$1:$H$768))</f>
        <v>0.116666666666667</v>
      </c>
    </row>
    <row r="484" spans="1:8">
      <c r="A484" s="5">
        <f>(pima_data!A484-MIN(pima_data!$A$1:$A$768))/(MAX(pima_data!$A$1:$A$768)-MIN(pima_data!$A$1:$A$768))</f>
        <v>0</v>
      </c>
      <c r="B484" s="5">
        <f>(pima_data!B484-MIN(pima_data!$B$1:$B$768))/(MAX(pima_data!$B$1:$B$768)-MIN(pima_data!$B$1:$B$768))</f>
        <v>0.422110552763819</v>
      </c>
      <c r="C484" s="5">
        <f>(pima_data!C484-MIN(pima_data!$C$1:$C$768))/(MAX(pima_data!$C$1:$C$768)-MIN(pima_data!$C$1:$C$768))</f>
        <v>0.672131147540984</v>
      </c>
      <c r="D484" s="5">
        <f>(pima_data!D484-MIN(pima_data!$D$1:$D$768))/(MAX(pima_data!$D$1:$D$768)-MIN(pima_data!$D$1:$D$768))</f>
        <v>0.313131313131313</v>
      </c>
      <c r="E484" s="5">
        <f>(pima_data!E484-MIN(pima_data!$E$1:$E$768))/(MAX(pima_data!$E$1:$E$768)-MIN(pima_data!$E$1:$E$768))</f>
        <v>0.147754137115839</v>
      </c>
      <c r="F484" s="5">
        <f>(pima_data!F484-MIN(pima_data!$F$1:$F$768))/(MAX(pima_data!$F$1:$F$768)-MIN(pima_data!$F$1:$F$768))</f>
        <v>0.56929955290611</v>
      </c>
      <c r="G484" s="5">
        <f>(pima_data!G484-MIN(pima_data!$G$1:$G$768))/(MAX(pima_data!$G$1:$G$768)-MIN(pima_data!$G$1:$G$768))</f>
        <v>0.0661827497865073</v>
      </c>
      <c r="H484" s="5">
        <f>(pima_data!H484-MIN(pima_data!$H$1:$H$768))/(MAX(pima_data!$H$1:$H$768)-MIN(pima_data!$H$1:$H$768))</f>
        <v>0.0333333333333333</v>
      </c>
    </row>
    <row r="485" spans="1:8">
      <c r="A485" s="5">
        <f>(pima_data!A485-MIN(pima_data!$A$1:$A$768))/(MAX(pima_data!$A$1:$A$768)-MIN(pima_data!$A$1:$A$768))</f>
        <v>0</v>
      </c>
      <c r="B485" s="5">
        <f>(pima_data!B485-MIN(pima_data!$B$1:$B$768))/(MAX(pima_data!$B$1:$B$768)-MIN(pima_data!$B$1:$B$768))</f>
        <v>0.728643216080402</v>
      </c>
      <c r="C485" s="5">
        <f>(pima_data!C485-MIN(pima_data!$C$1:$C$768))/(MAX(pima_data!$C$1:$C$768)-MIN(pima_data!$C$1:$C$768))</f>
        <v>0</v>
      </c>
      <c r="D485" s="5">
        <f>(pima_data!D485-MIN(pima_data!$D$1:$D$768))/(MAX(pima_data!$D$1:$D$768)-MIN(pima_data!$D$1:$D$768))</f>
        <v>0</v>
      </c>
      <c r="E485" s="5">
        <f>(pima_data!E485-MIN(pima_data!$E$1:$E$768))/(MAX(pima_data!$E$1:$E$768)-MIN(pima_data!$E$1:$E$768))</f>
        <v>0</v>
      </c>
      <c r="F485" s="5">
        <f>(pima_data!F485-MIN(pima_data!$F$1:$F$768))/(MAX(pima_data!$F$1:$F$768)-MIN(pima_data!$F$1:$F$768))</f>
        <v>0.658718330849479</v>
      </c>
      <c r="G485" s="5">
        <f>(pima_data!G485-MIN(pima_data!$G$1:$G$768))/(MAX(pima_data!$G$1:$G$768)-MIN(pima_data!$G$1:$G$768))</f>
        <v>0.235695986336465</v>
      </c>
      <c r="H485" s="5">
        <f>(pima_data!H485-MIN(pima_data!$H$1:$H$768))/(MAX(pima_data!$H$1:$H$768)-MIN(pima_data!$H$1:$H$768))</f>
        <v>0.166666666666667</v>
      </c>
    </row>
    <row r="486" spans="1:8">
      <c r="A486" s="5">
        <f>(pima_data!A486-MIN(pima_data!$A$1:$A$768))/(MAX(pima_data!$A$1:$A$768)-MIN(pima_data!$A$1:$A$768))</f>
        <v>0</v>
      </c>
      <c r="B486" s="5">
        <f>(pima_data!B486-MIN(pima_data!$B$1:$B$768))/(MAX(pima_data!$B$1:$B$768)-MIN(pima_data!$B$1:$B$768))</f>
        <v>0.678391959798995</v>
      </c>
      <c r="C486" s="5">
        <f>(pima_data!C486-MIN(pima_data!$C$1:$C$768))/(MAX(pima_data!$C$1:$C$768)-MIN(pima_data!$C$1:$C$768))</f>
        <v>0.557377049180328</v>
      </c>
      <c r="D486" s="5">
        <f>(pima_data!D486-MIN(pima_data!$D$1:$D$768))/(MAX(pima_data!$D$1:$D$768)-MIN(pima_data!$D$1:$D$768))</f>
        <v>0.424242424242424</v>
      </c>
      <c r="E486" s="5">
        <f>(pima_data!E486-MIN(pima_data!$E$1:$E$768))/(MAX(pima_data!$E$1:$E$768)-MIN(pima_data!$E$1:$E$768))</f>
        <v>0.295508274231678</v>
      </c>
      <c r="F486" s="5">
        <f>(pima_data!F486-MIN(pima_data!$F$1:$F$768))/(MAX(pima_data!$F$1:$F$768)-MIN(pima_data!$F$1:$F$768))</f>
        <v>0.630402384500745</v>
      </c>
      <c r="G486" s="5">
        <f>(pima_data!G486-MIN(pima_data!$G$1:$G$768))/(MAX(pima_data!$G$1:$G$768)-MIN(pima_data!$G$1:$G$768))</f>
        <v>0.122544833475662</v>
      </c>
      <c r="H486" s="5">
        <f>(pima_data!H486-MIN(pima_data!$H$1:$H$768))/(MAX(pima_data!$H$1:$H$768)-MIN(pima_data!$H$1:$H$768))</f>
        <v>0.05</v>
      </c>
    </row>
    <row r="487" spans="1:8">
      <c r="A487" s="5">
        <f>(pima_data!A487-MIN(pima_data!$A$1:$A$768))/(MAX(pima_data!$A$1:$A$768)-MIN(pima_data!$A$1:$A$768))</f>
        <v>0.0588235294117647</v>
      </c>
      <c r="B487" s="5">
        <f>(pima_data!B487-MIN(pima_data!$B$1:$B$768))/(MAX(pima_data!$B$1:$B$768)-MIN(pima_data!$B$1:$B$768))</f>
        <v>0.698492462311558</v>
      </c>
      <c r="C487" s="5">
        <f>(pima_data!C487-MIN(pima_data!$C$1:$C$768))/(MAX(pima_data!$C$1:$C$768)-MIN(pima_data!$C$1:$C$768))</f>
        <v>0.508196721311475</v>
      </c>
      <c r="D487" s="5">
        <f>(pima_data!D487-MIN(pima_data!$D$1:$D$768))/(MAX(pima_data!$D$1:$D$768)-MIN(pima_data!$D$1:$D$768))</f>
        <v>0.414141414141414</v>
      </c>
      <c r="E487" s="5">
        <f>(pima_data!E487-MIN(pima_data!$E$1:$E$768))/(MAX(pima_data!$E$1:$E$768)-MIN(pima_data!$E$1:$E$768))</f>
        <v>0.567375886524823</v>
      </c>
      <c r="F487" s="5">
        <f>(pima_data!F487-MIN(pima_data!$F$1:$F$768))/(MAX(pima_data!$F$1:$F$768)-MIN(pima_data!$F$1:$F$768))</f>
        <v>0.60655737704918</v>
      </c>
      <c r="G487" s="5">
        <f>(pima_data!G487-MIN(pima_data!$G$1:$G$768))/(MAX(pima_data!$G$1:$G$768)-MIN(pima_data!$G$1:$G$768))</f>
        <v>0.195559350982067</v>
      </c>
      <c r="H487" s="5">
        <f>(pima_data!H487-MIN(pima_data!$H$1:$H$768))/(MAX(pima_data!$H$1:$H$768)-MIN(pima_data!$H$1:$H$768))</f>
        <v>0</v>
      </c>
    </row>
    <row r="488" spans="1:8">
      <c r="A488" s="5">
        <f>(pima_data!A488-MIN(pima_data!$A$1:$A$768))/(MAX(pima_data!$A$1:$A$768)-MIN(pima_data!$A$1:$A$768))</f>
        <v>0</v>
      </c>
      <c r="B488" s="5">
        <f>(pima_data!B488-MIN(pima_data!$B$1:$B$768))/(MAX(pima_data!$B$1:$B$768)-MIN(pima_data!$B$1:$B$768))</f>
        <v>0.869346733668342</v>
      </c>
      <c r="C488" s="5">
        <f>(pima_data!C488-MIN(pima_data!$C$1:$C$768))/(MAX(pima_data!$C$1:$C$768)-MIN(pima_data!$C$1:$C$768))</f>
        <v>0.639344262295082</v>
      </c>
      <c r="D488" s="5">
        <f>(pima_data!D488-MIN(pima_data!$D$1:$D$768))/(MAX(pima_data!$D$1:$D$768)-MIN(pima_data!$D$1:$D$768))</f>
        <v>0.323232323232323</v>
      </c>
      <c r="E488" s="5">
        <f>(pima_data!E488-MIN(pima_data!$E$1:$E$768))/(MAX(pima_data!$E$1:$E$768)-MIN(pima_data!$E$1:$E$768))</f>
        <v>0.313238770685579</v>
      </c>
      <c r="F488" s="5">
        <f>(pima_data!F488-MIN(pima_data!$F$1:$F$768))/(MAX(pima_data!$F$1:$F$768)-MIN(pima_data!$F$1:$F$768))</f>
        <v>0.692995529061103</v>
      </c>
      <c r="G488" s="5">
        <f>(pima_data!G488-MIN(pima_data!$G$1:$G$768))/(MAX(pima_data!$G$1:$G$768)-MIN(pima_data!$G$1:$G$768))</f>
        <v>0.461571306575576</v>
      </c>
      <c r="H488" s="5">
        <f>(pima_data!H488-MIN(pima_data!$H$1:$H$768))/(MAX(pima_data!$H$1:$H$768)-MIN(pima_data!$H$1:$H$768))</f>
        <v>0.616666666666667</v>
      </c>
    </row>
    <row r="489" spans="1:8">
      <c r="A489" s="5">
        <f>(pima_data!A489-MIN(pima_data!$A$1:$A$768))/(MAX(pima_data!$A$1:$A$768)-MIN(pima_data!$A$1:$A$768))</f>
        <v>0.235294117647059</v>
      </c>
      <c r="B489" s="5">
        <f>(pima_data!B489-MIN(pima_data!$B$1:$B$768))/(MAX(pima_data!$B$1:$B$768)-MIN(pima_data!$B$1:$B$768))</f>
        <v>0.49748743718593</v>
      </c>
      <c r="C489" s="5">
        <f>(pima_data!C489-MIN(pima_data!$C$1:$C$768))/(MAX(pima_data!$C$1:$C$768)-MIN(pima_data!$C$1:$C$768))</f>
        <v>0.590163934426229</v>
      </c>
      <c r="D489" s="5">
        <f>(pima_data!D489-MIN(pima_data!$D$1:$D$768))/(MAX(pima_data!$D$1:$D$768)-MIN(pima_data!$D$1:$D$768))</f>
        <v>0.171717171717172</v>
      </c>
      <c r="E489" s="5">
        <f>(pima_data!E489-MIN(pima_data!$E$1:$E$768))/(MAX(pima_data!$E$1:$E$768)-MIN(pima_data!$E$1:$E$768))</f>
        <v>0</v>
      </c>
      <c r="F489" s="5">
        <f>(pima_data!F489-MIN(pima_data!$F$1:$F$768))/(MAX(pima_data!$F$1:$F$768)-MIN(pima_data!$F$1:$F$768))</f>
        <v>0.381520119225037</v>
      </c>
      <c r="G489" s="5">
        <f>(pima_data!G489-MIN(pima_data!$G$1:$G$768))/(MAX(pima_data!$G$1:$G$768)-MIN(pima_data!$G$1:$G$768))</f>
        <v>0.0922288642186165</v>
      </c>
      <c r="H489" s="5">
        <f>(pima_data!H489-MIN(pima_data!$H$1:$H$768))/(MAX(pima_data!$H$1:$H$768)-MIN(pima_data!$H$1:$H$768))</f>
        <v>0.116666666666667</v>
      </c>
    </row>
    <row r="490" spans="1:8">
      <c r="A490" s="5">
        <f>(pima_data!A490-MIN(pima_data!$A$1:$A$768))/(MAX(pima_data!$A$1:$A$768)-MIN(pima_data!$A$1:$A$768))</f>
        <v>0.470588235294118</v>
      </c>
      <c r="B490" s="5">
        <f>(pima_data!B490-MIN(pima_data!$B$1:$B$768))/(MAX(pima_data!$B$1:$B$768)-MIN(pima_data!$B$1:$B$768))</f>
        <v>0.974874371859296</v>
      </c>
      <c r="C490" s="5">
        <f>(pima_data!C490-MIN(pima_data!$C$1:$C$768))/(MAX(pima_data!$C$1:$C$768)-MIN(pima_data!$C$1:$C$768))</f>
        <v>0.655737704918033</v>
      </c>
      <c r="D490" s="5">
        <f>(pima_data!D490-MIN(pima_data!$D$1:$D$768))/(MAX(pima_data!$D$1:$D$768)-MIN(pima_data!$D$1:$D$768))</f>
        <v>0</v>
      </c>
      <c r="E490" s="5">
        <f>(pima_data!E490-MIN(pima_data!$E$1:$E$768))/(MAX(pima_data!$E$1:$E$768)-MIN(pima_data!$E$1:$E$768))</f>
        <v>0</v>
      </c>
      <c r="F490" s="5">
        <f>(pima_data!F490-MIN(pima_data!$F$1:$F$768))/(MAX(pima_data!$F$1:$F$768)-MIN(pima_data!$F$1:$F$768))</f>
        <v>0.388971684053651</v>
      </c>
      <c r="G490" s="5">
        <f>(pima_data!G490-MIN(pima_data!$G$1:$G$768))/(MAX(pima_data!$G$1:$G$768)-MIN(pima_data!$G$1:$G$768))</f>
        <v>0.201964133219471</v>
      </c>
      <c r="H490" s="5">
        <f>(pima_data!H490-MIN(pima_data!$H$1:$H$768))/(MAX(pima_data!$H$1:$H$768)-MIN(pima_data!$H$1:$H$768))</f>
        <v>0.766666666666667</v>
      </c>
    </row>
    <row r="491" spans="1:8">
      <c r="A491" s="5">
        <f>(pima_data!A491-MIN(pima_data!$A$1:$A$768))/(MAX(pima_data!$A$1:$A$768)-MIN(pima_data!$A$1:$A$768))</f>
        <v>0.117647058823529</v>
      </c>
      <c r="B491" s="5">
        <f>(pima_data!B491-MIN(pima_data!$B$1:$B$768))/(MAX(pima_data!$B$1:$B$768)-MIN(pima_data!$B$1:$B$768))</f>
        <v>0.417085427135678</v>
      </c>
      <c r="C491" s="5">
        <f>(pima_data!C491-MIN(pima_data!$C$1:$C$768))/(MAX(pima_data!$C$1:$C$768)-MIN(pima_data!$C$1:$C$768))</f>
        <v>0.532786885245902</v>
      </c>
      <c r="D491" s="5">
        <f>(pima_data!D491-MIN(pima_data!$D$1:$D$768))/(MAX(pima_data!$D$1:$D$768)-MIN(pima_data!$D$1:$D$768))</f>
        <v>0.282828282828283</v>
      </c>
      <c r="E491" s="5">
        <f>(pima_data!E491-MIN(pima_data!$E$1:$E$768))/(MAX(pima_data!$E$1:$E$768)-MIN(pima_data!$E$1:$E$768))</f>
        <v>0.0780141843971631</v>
      </c>
      <c r="F491" s="5">
        <f>(pima_data!F491-MIN(pima_data!$F$1:$F$768))/(MAX(pima_data!$F$1:$F$768)-MIN(pima_data!$F$1:$F$768))</f>
        <v>0.548435171385991</v>
      </c>
      <c r="G491" s="5">
        <f>(pima_data!G491-MIN(pima_data!$G$1:$G$768))/(MAX(pima_data!$G$1:$G$768)-MIN(pima_data!$G$1:$G$768))</f>
        <v>0.235269000853971</v>
      </c>
      <c r="H491" s="5">
        <f>(pima_data!H491-MIN(pima_data!$H$1:$H$768))/(MAX(pima_data!$H$1:$H$768)-MIN(pima_data!$H$1:$H$768))</f>
        <v>0.05</v>
      </c>
    </row>
    <row r="492" spans="1:8">
      <c r="A492" s="5">
        <f>(pima_data!A492-MIN(pima_data!$A$1:$A$768))/(MAX(pima_data!$A$1:$A$768)-MIN(pima_data!$A$1:$A$768))</f>
        <v>0.117647058823529</v>
      </c>
      <c r="B492" s="5">
        <f>(pima_data!B492-MIN(pima_data!$B$1:$B$768))/(MAX(pima_data!$B$1:$B$768)-MIN(pima_data!$B$1:$B$768))</f>
        <v>0.447236180904523</v>
      </c>
      <c r="C492" s="5">
        <f>(pima_data!C492-MIN(pima_data!$C$1:$C$768))/(MAX(pima_data!$C$1:$C$768)-MIN(pima_data!$C$1:$C$768))</f>
        <v>0.737704918032787</v>
      </c>
      <c r="D492" s="5">
        <f>(pima_data!D492-MIN(pima_data!$D$1:$D$768))/(MAX(pima_data!$D$1:$D$768)-MIN(pima_data!$D$1:$D$768))</f>
        <v>0.303030303030303</v>
      </c>
      <c r="E492" s="5">
        <f>(pima_data!E492-MIN(pima_data!$E$1:$E$768))/(MAX(pima_data!$E$1:$E$768)-MIN(pima_data!$E$1:$E$768))</f>
        <v>0</v>
      </c>
      <c r="F492" s="5">
        <f>(pima_data!F492-MIN(pima_data!$F$1:$F$768))/(MAX(pima_data!$F$1:$F$768)-MIN(pima_data!$F$1:$F$768))</f>
        <v>0.499254843517139</v>
      </c>
      <c r="G492" s="5">
        <f>(pima_data!G492-MIN(pima_data!$G$1:$G$768))/(MAX(pima_data!$G$1:$G$768)-MIN(pima_data!$G$1:$G$768))</f>
        <v>0.0913748932536294</v>
      </c>
      <c r="H492" s="5">
        <f>(pima_data!H492-MIN(pima_data!$H$1:$H$768))/(MAX(pima_data!$H$1:$H$768)-MIN(pima_data!$H$1:$H$768))</f>
        <v>0.35</v>
      </c>
    </row>
    <row r="493" spans="1:8">
      <c r="A493" s="5">
        <f>(pima_data!A493-MIN(pima_data!$A$1:$A$768))/(MAX(pima_data!$A$1:$A$768)-MIN(pima_data!$A$1:$A$768))</f>
        <v>0.235294117647059</v>
      </c>
      <c r="B493" s="5">
        <f>(pima_data!B493-MIN(pima_data!$B$1:$B$768))/(MAX(pima_data!$B$1:$B$768)-MIN(pima_data!$B$1:$B$768))</f>
        <v>0.49748743718593</v>
      </c>
      <c r="C493" s="5">
        <f>(pima_data!C493-MIN(pima_data!$C$1:$C$768))/(MAX(pima_data!$C$1:$C$768)-MIN(pima_data!$C$1:$C$768))</f>
        <v>0.557377049180328</v>
      </c>
      <c r="D493" s="5">
        <f>(pima_data!D493-MIN(pima_data!$D$1:$D$768))/(MAX(pima_data!$D$1:$D$768)-MIN(pima_data!$D$1:$D$768))</f>
        <v>0.383838383838384</v>
      </c>
      <c r="E493" s="5">
        <f>(pima_data!E493-MIN(pima_data!$E$1:$E$768))/(MAX(pima_data!$E$1:$E$768)-MIN(pima_data!$E$1:$E$768))</f>
        <v>0</v>
      </c>
      <c r="F493" s="5">
        <f>(pima_data!F493-MIN(pima_data!$F$1:$F$768))/(MAX(pima_data!$F$1:$F$768)-MIN(pima_data!$F$1:$F$768))</f>
        <v>0.488822652757079</v>
      </c>
      <c r="G493" s="5">
        <f>(pima_data!G493-MIN(pima_data!$G$1:$G$768))/(MAX(pima_data!$G$1:$G$768)-MIN(pima_data!$G$1:$G$768))</f>
        <v>0.0286080273270709</v>
      </c>
      <c r="H493" s="5">
        <f>(pima_data!H493-MIN(pima_data!$H$1:$H$768))/(MAX(pima_data!$H$1:$H$768)-MIN(pima_data!$H$1:$H$768))</f>
        <v>0.2</v>
      </c>
    </row>
    <row r="494" spans="1:8">
      <c r="A494" s="5">
        <f>(pima_data!A494-MIN(pima_data!$A$1:$A$768))/(MAX(pima_data!$A$1:$A$768)-MIN(pima_data!$A$1:$A$768))</f>
        <v>0.235294117647059</v>
      </c>
      <c r="B494" s="5">
        <f>(pima_data!B494-MIN(pima_data!$B$1:$B$768))/(MAX(pima_data!$B$1:$B$768)-MIN(pima_data!$B$1:$B$768))</f>
        <v>0.628140703517588</v>
      </c>
      <c r="C494" s="5">
        <f>(pima_data!C494-MIN(pima_data!$C$1:$C$768))/(MAX(pima_data!$C$1:$C$768)-MIN(pima_data!$C$1:$C$768))</f>
        <v>0.573770491803279</v>
      </c>
      <c r="D494" s="5">
        <f>(pima_data!D494-MIN(pima_data!$D$1:$D$768))/(MAX(pima_data!$D$1:$D$768)-MIN(pima_data!$D$1:$D$768))</f>
        <v>0.181818181818182</v>
      </c>
      <c r="E494" s="5">
        <f>(pima_data!E494-MIN(pima_data!$E$1:$E$768))/(MAX(pima_data!$E$1:$E$768)-MIN(pima_data!$E$1:$E$768))</f>
        <v>0.144208037825059</v>
      </c>
      <c r="F494" s="5">
        <f>(pima_data!F494-MIN(pima_data!$F$1:$F$768))/(MAX(pima_data!$F$1:$F$768)-MIN(pima_data!$F$1:$F$768))</f>
        <v>0.43070044709389</v>
      </c>
      <c r="G494" s="5">
        <f>(pima_data!G494-MIN(pima_data!$G$1:$G$768))/(MAX(pima_data!$G$1:$G$768)-MIN(pima_data!$G$1:$G$768))</f>
        <v>0.455166524338172</v>
      </c>
      <c r="H494" s="5">
        <f>(pima_data!H494-MIN(pima_data!$H$1:$H$768))/(MAX(pima_data!$H$1:$H$768)-MIN(pima_data!$H$1:$H$768))</f>
        <v>0.4</v>
      </c>
    </row>
    <row r="495" spans="1:8">
      <c r="A495" s="5">
        <f>(pima_data!A495-MIN(pima_data!$A$1:$A$768))/(MAX(pima_data!$A$1:$A$768)-MIN(pima_data!$A$1:$A$768))</f>
        <v>0.176470588235294</v>
      </c>
      <c r="B495" s="5">
        <f>(pima_data!B495-MIN(pima_data!$B$1:$B$768))/(MAX(pima_data!$B$1:$B$768)-MIN(pima_data!$B$1:$B$768))</f>
        <v>0.402010050251256</v>
      </c>
      <c r="C495" s="5">
        <f>(pima_data!C495-MIN(pima_data!$C$1:$C$768))/(MAX(pima_data!$C$1:$C$768)-MIN(pima_data!$C$1:$C$768))</f>
        <v>0</v>
      </c>
      <c r="D495" s="5">
        <f>(pima_data!D495-MIN(pima_data!$D$1:$D$768))/(MAX(pima_data!$D$1:$D$768)-MIN(pima_data!$D$1:$D$768))</f>
        <v>0</v>
      </c>
      <c r="E495" s="5">
        <f>(pima_data!E495-MIN(pima_data!$E$1:$E$768))/(MAX(pima_data!$E$1:$E$768)-MIN(pima_data!$E$1:$E$768))</f>
        <v>0</v>
      </c>
      <c r="F495" s="5">
        <f>(pima_data!F495-MIN(pima_data!$F$1:$F$768))/(MAX(pima_data!$F$1:$F$768)-MIN(pima_data!$F$1:$F$768))</f>
        <v>0</v>
      </c>
      <c r="G495" s="5">
        <f>(pima_data!G495-MIN(pima_data!$G$1:$G$768))/(MAX(pima_data!$G$1:$G$768)-MIN(pima_data!$G$1:$G$768))</f>
        <v>0.0409906063193851</v>
      </c>
      <c r="H495" s="5">
        <f>(pima_data!H495-MIN(pima_data!$H$1:$H$768))/(MAX(pima_data!$H$1:$H$768)-MIN(pima_data!$H$1:$H$768))</f>
        <v>0.0166666666666667</v>
      </c>
    </row>
    <row r="496" spans="1:8">
      <c r="A496" s="5">
        <f>(pima_data!A496-MIN(pima_data!$A$1:$A$768))/(MAX(pima_data!$A$1:$A$768)-MIN(pima_data!$A$1:$A$768))</f>
        <v>0.352941176470588</v>
      </c>
      <c r="B496" s="5">
        <f>(pima_data!B496-MIN(pima_data!$B$1:$B$768))/(MAX(pima_data!$B$1:$B$768)-MIN(pima_data!$B$1:$B$768))</f>
        <v>0.834170854271357</v>
      </c>
      <c r="C496" s="5">
        <f>(pima_data!C496-MIN(pima_data!$C$1:$C$768))/(MAX(pima_data!$C$1:$C$768)-MIN(pima_data!$C$1:$C$768))</f>
        <v>0.60655737704918</v>
      </c>
      <c r="D496" s="5">
        <f>(pima_data!D496-MIN(pima_data!$D$1:$D$768))/(MAX(pima_data!$D$1:$D$768)-MIN(pima_data!$D$1:$D$768))</f>
        <v>0</v>
      </c>
      <c r="E496" s="5">
        <f>(pima_data!E496-MIN(pima_data!$E$1:$E$768))/(MAX(pima_data!$E$1:$E$768)-MIN(pima_data!$E$1:$E$768))</f>
        <v>0</v>
      </c>
      <c r="F496" s="5">
        <f>(pima_data!F496-MIN(pima_data!$F$1:$F$768))/(MAX(pima_data!$F$1:$F$768)-MIN(pima_data!$F$1:$F$768))</f>
        <v>0.396423248882265</v>
      </c>
      <c r="G496" s="5">
        <f>(pima_data!G496-MIN(pima_data!$G$1:$G$768))/(MAX(pima_data!$G$1:$G$768)-MIN(pima_data!$G$1:$G$768))</f>
        <v>0.0964987190435525</v>
      </c>
      <c r="H496" s="5">
        <f>(pima_data!H496-MIN(pima_data!$H$1:$H$768))/(MAX(pima_data!$H$1:$H$768)-MIN(pima_data!$H$1:$H$768))</f>
        <v>0.75</v>
      </c>
    </row>
    <row r="497" spans="1:8">
      <c r="A497" s="5">
        <f>(pima_data!A497-MIN(pima_data!$A$1:$A$768))/(MAX(pima_data!$A$1:$A$768)-MIN(pima_data!$A$1:$A$768))</f>
        <v>0.294117647058824</v>
      </c>
      <c r="B497" s="5">
        <f>(pima_data!B497-MIN(pima_data!$B$1:$B$768))/(MAX(pima_data!$B$1:$B$768)-MIN(pima_data!$B$1:$B$768))</f>
        <v>0.552763819095477</v>
      </c>
      <c r="C497" s="5">
        <f>(pima_data!C497-MIN(pima_data!$C$1:$C$768))/(MAX(pima_data!$C$1:$C$768)-MIN(pima_data!$C$1:$C$768))</f>
        <v>0.557377049180328</v>
      </c>
      <c r="D497" s="5">
        <f>(pima_data!D497-MIN(pima_data!$D$1:$D$768))/(MAX(pima_data!$D$1:$D$768)-MIN(pima_data!$D$1:$D$768))</f>
        <v>0</v>
      </c>
      <c r="E497" s="5">
        <f>(pima_data!E497-MIN(pima_data!$E$1:$E$768))/(MAX(pima_data!$E$1:$E$768)-MIN(pima_data!$E$1:$E$768))</f>
        <v>0</v>
      </c>
      <c r="F497" s="5">
        <f>(pima_data!F497-MIN(pima_data!$F$1:$F$768))/(MAX(pima_data!$F$1:$F$768)-MIN(pima_data!$F$1:$F$768))</f>
        <v>0.387481371087929</v>
      </c>
      <c r="G497" s="5">
        <f>(pima_data!G497-MIN(pima_data!$G$1:$G$768))/(MAX(pima_data!$G$1:$G$768)-MIN(pima_data!$G$1:$G$768))</f>
        <v>0.0913748932536294</v>
      </c>
      <c r="H497" s="5">
        <f>(pima_data!H497-MIN(pima_data!$H$1:$H$768))/(MAX(pima_data!$H$1:$H$768)-MIN(pima_data!$H$1:$H$768))</f>
        <v>0.15</v>
      </c>
    </row>
    <row r="498" spans="1:8">
      <c r="A498" s="5">
        <f>(pima_data!A498-MIN(pima_data!$A$1:$A$768))/(MAX(pima_data!$A$1:$A$768)-MIN(pima_data!$A$1:$A$768))</f>
        <v>0.117647058823529</v>
      </c>
      <c r="B498" s="5">
        <f>(pima_data!B498-MIN(pima_data!$B$1:$B$768))/(MAX(pima_data!$B$1:$B$768)-MIN(pima_data!$B$1:$B$768))</f>
        <v>0.407035175879397</v>
      </c>
      <c r="C498" s="5">
        <f>(pima_data!C498-MIN(pima_data!$C$1:$C$768))/(MAX(pima_data!$C$1:$C$768)-MIN(pima_data!$C$1:$C$768))</f>
        <v>0.590163934426229</v>
      </c>
      <c r="D498" s="5">
        <f>(pima_data!D498-MIN(pima_data!$D$1:$D$768))/(MAX(pima_data!$D$1:$D$768)-MIN(pima_data!$D$1:$D$768))</f>
        <v>0.151515151515152</v>
      </c>
      <c r="E498" s="5">
        <f>(pima_data!E498-MIN(pima_data!$E$1:$E$768))/(MAX(pima_data!$E$1:$E$768)-MIN(pima_data!$E$1:$E$768))</f>
        <v>0.0898345153664303</v>
      </c>
      <c r="F498" s="5">
        <f>(pima_data!F498-MIN(pima_data!$F$1:$F$768))/(MAX(pima_data!$F$1:$F$768)-MIN(pima_data!$F$1:$F$768))</f>
        <v>0.448584202682563</v>
      </c>
      <c r="G498" s="5">
        <f>(pima_data!G498-MIN(pima_data!$G$1:$G$768))/(MAX(pima_data!$G$1:$G$768)-MIN(pima_data!$G$1:$G$768))</f>
        <v>0.200256191289496</v>
      </c>
      <c r="H498" s="5">
        <f>(pima_data!H498-MIN(pima_data!$H$1:$H$768))/(MAX(pima_data!$H$1:$H$768)-MIN(pima_data!$H$1:$H$768))</f>
        <v>0.0666666666666667</v>
      </c>
    </row>
    <row r="499" spans="1:8">
      <c r="A499" s="5">
        <f>(pima_data!A499-MIN(pima_data!$A$1:$A$768))/(MAX(pima_data!$A$1:$A$768)-MIN(pima_data!$A$1:$A$768))</f>
        <v>0.411764705882353</v>
      </c>
      <c r="B499" s="5">
        <f>(pima_data!B499-MIN(pima_data!$B$1:$B$768))/(MAX(pima_data!$B$1:$B$768)-MIN(pima_data!$B$1:$B$768))</f>
        <v>0.979899497487437</v>
      </c>
      <c r="C499" s="5">
        <f>(pima_data!C499-MIN(pima_data!$C$1:$C$768))/(MAX(pima_data!$C$1:$C$768)-MIN(pima_data!$C$1:$C$768))</f>
        <v>0.573770491803279</v>
      </c>
      <c r="D499" s="5">
        <f>(pima_data!D499-MIN(pima_data!$D$1:$D$768))/(MAX(pima_data!$D$1:$D$768)-MIN(pima_data!$D$1:$D$768))</f>
        <v>0.333333333333333</v>
      </c>
      <c r="E499" s="5">
        <f>(pima_data!E499-MIN(pima_data!$E$1:$E$768))/(MAX(pima_data!$E$1:$E$768)-MIN(pima_data!$E$1:$E$768))</f>
        <v>0.171394799054374</v>
      </c>
      <c r="F499" s="5">
        <f>(pima_data!F499-MIN(pima_data!$F$1:$F$768))/(MAX(pima_data!$F$1:$F$768)-MIN(pima_data!$F$1:$F$768))</f>
        <v>0.374068554396423</v>
      </c>
      <c r="G499" s="5">
        <f>(pima_data!G499-MIN(pima_data!$G$1:$G$768))/(MAX(pima_data!$G$1:$G$768)-MIN(pima_data!$G$1:$G$768))</f>
        <v>0.0362937660119556</v>
      </c>
      <c r="H499" s="5">
        <f>(pima_data!H499-MIN(pima_data!$H$1:$H$768))/(MAX(pima_data!$H$1:$H$768)-MIN(pima_data!$H$1:$H$768))</f>
        <v>0.566666666666667</v>
      </c>
    </row>
    <row r="500" spans="1:8">
      <c r="A500" s="5">
        <f>(pima_data!A500-MIN(pima_data!$A$1:$A$768))/(MAX(pima_data!$A$1:$A$768)-MIN(pima_data!$A$1:$A$768))</f>
        <v>0.352941176470588</v>
      </c>
      <c r="B500" s="5">
        <f>(pima_data!B500-MIN(pima_data!$B$1:$B$768))/(MAX(pima_data!$B$1:$B$768)-MIN(pima_data!$B$1:$B$768))</f>
        <v>0.773869346733668</v>
      </c>
      <c r="C500" s="5">
        <f>(pima_data!C500-MIN(pima_data!$C$1:$C$768))/(MAX(pima_data!$C$1:$C$768)-MIN(pima_data!$C$1:$C$768))</f>
        <v>0.60655737704918</v>
      </c>
      <c r="D500" s="5">
        <f>(pima_data!D500-MIN(pima_data!$D$1:$D$768))/(MAX(pima_data!$D$1:$D$768)-MIN(pima_data!$D$1:$D$768))</f>
        <v>0.323232323232323</v>
      </c>
      <c r="E500" s="5">
        <f>(pima_data!E500-MIN(pima_data!$E$1:$E$768))/(MAX(pima_data!$E$1:$E$768)-MIN(pima_data!$E$1:$E$768))</f>
        <v>0.228132387706856</v>
      </c>
      <c r="F500" s="5">
        <f>(pima_data!F500-MIN(pima_data!$F$1:$F$768))/(MAX(pima_data!$F$1:$F$768)-MIN(pima_data!$F$1:$F$768))</f>
        <v>0.436661698956781</v>
      </c>
      <c r="G500" s="5">
        <f>(pima_data!G500-MIN(pima_data!$G$1:$G$768))/(MAX(pima_data!$G$1:$G$768)-MIN(pima_data!$G$1:$G$768))</f>
        <v>0.324935952177626</v>
      </c>
      <c r="H500" s="5">
        <f>(pima_data!H500-MIN(pima_data!$H$1:$H$768))/(MAX(pima_data!$H$1:$H$768)-MIN(pima_data!$H$1:$H$768))</f>
        <v>0.3</v>
      </c>
    </row>
    <row r="501" spans="1:8">
      <c r="A501" s="5">
        <f>(pima_data!A501-MIN(pima_data!$A$1:$A$768))/(MAX(pima_data!$A$1:$A$768)-MIN(pima_data!$A$1:$A$768))</f>
        <v>0.117647058823529</v>
      </c>
      <c r="B501" s="5">
        <f>(pima_data!B501-MIN(pima_data!$B$1:$B$768))/(MAX(pima_data!$B$1:$B$768)-MIN(pima_data!$B$1:$B$768))</f>
        <v>0.587939698492462</v>
      </c>
      <c r="C501" s="5">
        <f>(pima_data!C501-MIN(pima_data!$C$1:$C$768))/(MAX(pima_data!$C$1:$C$768)-MIN(pima_data!$C$1:$C$768))</f>
        <v>0.737704918032787</v>
      </c>
      <c r="D501" s="5">
        <f>(pima_data!D501-MIN(pima_data!$D$1:$D$768))/(MAX(pima_data!$D$1:$D$768)-MIN(pima_data!$D$1:$D$768))</f>
        <v>0.191919191919192</v>
      </c>
      <c r="E501" s="5">
        <f>(pima_data!E501-MIN(pima_data!$E$1:$E$768))/(MAX(pima_data!$E$1:$E$768)-MIN(pima_data!$E$1:$E$768))</f>
        <v>0.0839243498817967</v>
      </c>
      <c r="F501" s="5">
        <f>(pima_data!F501-MIN(pima_data!$F$1:$F$768))/(MAX(pima_data!$F$1:$F$768)-MIN(pima_data!$F$1:$F$768))</f>
        <v>0.375558867362146</v>
      </c>
      <c r="G501" s="5">
        <f>(pima_data!G501-MIN(pima_data!$G$1:$G$768))/(MAX(pima_data!$G$1:$G$768)-MIN(pima_data!$G$1:$G$768))</f>
        <v>0.100341588385995</v>
      </c>
      <c r="H501" s="5">
        <f>(pima_data!H501-MIN(pima_data!$H$1:$H$768))/(MAX(pima_data!$H$1:$H$768)-MIN(pima_data!$H$1:$H$768))</f>
        <v>0</v>
      </c>
    </row>
    <row r="502" spans="1:8">
      <c r="A502" s="5">
        <f>(pima_data!A502-MIN(pima_data!$A$1:$A$768))/(MAX(pima_data!$A$1:$A$768)-MIN(pima_data!$A$1:$A$768))</f>
        <v>0.176470588235294</v>
      </c>
      <c r="B502" s="5">
        <f>(pima_data!B502-MIN(pima_data!$B$1:$B$768))/(MAX(pima_data!$B$1:$B$768)-MIN(pima_data!$B$1:$B$768))</f>
        <v>0.422110552763819</v>
      </c>
      <c r="C502" s="5">
        <f>(pima_data!C502-MIN(pima_data!$C$1:$C$768))/(MAX(pima_data!$C$1:$C$768)-MIN(pima_data!$C$1:$C$768))</f>
        <v>0.590163934426229</v>
      </c>
      <c r="D502" s="5">
        <f>(pima_data!D502-MIN(pima_data!$D$1:$D$768))/(MAX(pima_data!$D$1:$D$768)-MIN(pima_data!$D$1:$D$768))</f>
        <v>0.323232323232323</v>
      </c>
      <c r="E502" s="5">
        <f>(pima_data!E502-MIN(pima_data!$E$1:$E$768))/(MAX(pima_data!$E$1:$E$768)-MIN(pima_data!$E$1:$E$768))</f>
        <v>0</v>
      </c>
      <c r="F502" s="5">
        <f>(pima_data!F502-MIN(pima_data!$F$1:$F$768))/(MAX(pima_data!$F$1:$F$768)-MIN(pima_data!$F$1:$F$768))</f>
        <v>0.554396423248882</v>
      </c>
      <c r="G502" s="5">
        <f>(pima_data!G502-MIN(pima_data!$G$1:$G$768))/(MAX(pima_data!$G$1:$G$768)-MIN(pima_data!$G$1:$G$768))</f>
        <v>0.0807002561912895</v>
      </c>
      <c r="H502" s="5">
        <f>(pima_data!H502-MIN(pima_data!$H$1:$H$768))/(MAX(pima_data!$H$1:$H$768)-MIN(pima_data!$H$1:$H$768))</f>
        <v>0.116666666666667</v>
      </c>
    </row>
    <row r="503" spans="1:8">
      <c r="A503" s="5">
        <f>(pima_data!A503-MIN(pima_data!$A$1:$A$768))/(MAX(pima_data!$A$1:$A$768)-MIN(pima_data!$A$1:$A$768))</f>
        <v>0.352941176470588</v>
      </c>
      <c r="B503" s="5">
        <f>(pima_data!B503-MIN(pima_data!$B$1:$B$768))/(MAX(pima_data!$B$1:$B$768)-MIN(pima_data!$B$1:$B$768))</f>
        <v>0</v>
      </c>
      <c r="C503" s="5">
        <f>(pima_data!C503-MIN(pima_data!$C$1:$C$768))/(MAX(pima_data!$C$1:$C$768)-MIN(pima_data!$C$1:$C$768))</f>
        <v>0.557377049180328</v>
      </c>
      <c r="D503" s="5">
        <f>(pima_data!D503-MIN(pima_data!$D$1:$D$768))/(MAX(pima_data!$D$1:$D$768)-MIN(pima_data!$D$1:$D$768))</f>
        <v>0.414141414141414</v>
      </c>
      <c r="E503" s="5">
        <f>(pima_data!E503-MIN(pima_data!$E$1:$E$768))/(MAX(pima_data!$E$1:$E$768)-MIN(pima_data!$E$1:$E$768))</f>
        <v>0</v>
      </c>
      <c r="F503" s="5">
        <f>(pima_data!F503-MIN(pima_data!$F$1:$F$768))/(MAX(pima_data!$F$1:$F$768)-MIN(pima_data!$F$1:$F$768))</f>
        <v>0.581222056631893</v>
      </c>
      <c r="G503" s="5">
        <f>(pima_data!G503-MIN(pima_data!$G$1:$G$768))/(MAX(pima_data!$G$1:$G$768)-MIN(pima_data!$G$1:$G$768))</f>
        <v>0.277113578138343</v>
      </c>
      <c r="H503" s="5">
        <f>(pima_data!H503-MIN(pima_data!$H$1:$H$768))/(MAX(pima_data!$H$1:$H$768)-MIN(pima_data!$H$1:$H$768))</f>
        <v>0.333333333333333</v>
      </c>
    </row>
    <row r="504" spans="1:8">
      <c r="A504" s="5">
        <f>(pima_data!A504-MIN(pima_data!$A$1:$A$768))/(MAX(pima_data!$A$1:$A$768)-MIN(pima_data!$A$1:$A$768))</f>
        <v>0.411764705882353</v>
      </c>
      <c r="B504" s="5">
        <f>(pima_data!B504-MIN(pima_data!$B$1:$B$768))/(MAX(pima_data!$B$1:$B$768)-MIN(pima_data!$B$1:$B$768))</f>
        <v>0.472361809045226</v>
      </c>
      <c r="C504" s="5">
        <f>(pima_data!C504-MIN(pima_data!$C$1:$C$768))/(MAX(pima_data!$C$1:$C$768)-MIN(pima_data!$C$1:$C$768))</f>
        <v>0.524590163934426</v>
      </c>
      <c r="D504" s="5">
        <f>(pima_data!D504-MIN(pima_data!$D$1:$D$768))/(MAX(pima_data!$D$1:$D$768)-MIN(pima_data!$D$1:$D$768))</f>
        <v>0.252525252525253</v>
      </c>
      <c r="E504" s="5">
        <f>(pima_data!E504-MIN(pima_data!$E$1:$E$768))/(MAX(pima_data!$E$1:$E$768)-MIN(pima_data!$E$1:$E$768))</f>
        <v>0.0933806146572104</v>
      </c>
      <c r="F504" s="5">
        <f>(pima_data!F504-MIN(pima_data!$F$1:$F$768))/(MAX(pima_data!$F$1:$F$768)-MIN(pima_data!$F$1:$F$768))</f>
        <v>0.496274217585693</v>
      </c>
      <c r="G504" s="5">
        <f>(pima_data!G504-MIN(pima_data!$G$1:$G$768))/(MAX(pima_data!$G$1:$G$768)-MIN(pima_data!$G$1:$G$768))</f>
        <v>0.281810418445773</v>
      </c>
      <c r="H504" s="5">
        <f>(pima_data!H504-MIN(pima_data!$H$1:$H$768))/(MAX(pima_data!$H$1:$H$768)-MIN(pima_data!$H$1:$H$768))</f>
        <v>0.333333333333333</v>
      </c>
    </row>
    <row r="505" spans="1:8">
      <c r="A505" s="5">
        <f>(pima_data!A505-MIN(pima_data!$A$1:$A$768))/(MAX(pima_data!$A$1:$A$768)-MIN(pima_data!$A$1:$A$768))</f>
        <v>0.176470588235294</v>
      </c>
      <c r="B505" s="5">
        <f>(pima_data!B505-MIN(pima_data!$B$1:$B$768))/(MAX(pima_data!$B$1:$B$768)-MIN(pima_data!$B$1:$B$768))</f>
        <v>0.482412060301508</v>
      </c>
      <c r="C505" s="5">
        <f>(pima_data!C505-MIN(pima_data!$C$1:$C$768))/(MAX(pima_data!$C$1:$C$768)-MIN(pima_data!$C$1:$C$768))</f>
        <v>0.639344262295082</v>
      </c>
      <c r="D505" s="5">
        <f>(pima_data!D505-MIN(pima_data!$D$1:$D$768))/(MAX(pima_data!$D$1:$D$768)-MIN(pima_data!$D$1:$D$768))</f>
        <v>0.393939393939394</v>
      </c>
      <c r="E505" s="5">
        <f>(pima_data!E505-MIN(pima_data!$E$1:$E$768))/(MAX(pima_data!$E$1:$E$768)-MIN(pima_data!$E$1:$E$768))</f>
        <v>0</v>
      </c>
      <c r="F505" s="5">
        <f>(pima_data!F505-MIN(pima_data!$F$1:$F$768))/(MAX(pima_data!$F$1:$F$768)-MIN(pima_data!$F$1:$F$768))</f>
        <v>0.555886736214605</v>
      </c>
      <c r="G505" s="5">
        <f>(pima_data!G505-MIN(pima_data!$G$1:$G$768))/(MAX(pima_data!$G$1:$G$768)-MIN(pima_data!$G$1:$G$768))</f>
        <v>0.0683176771989752</v>
      </c>
      <c r="H505" s="5">
        <f>(pima_data!H505-MIN(pima_data!$H$1:$H$768))/(MAX(pima_data!$H$1:$H$768)-MIN(pima_data!$H$1:$H$768))</f>
        <v>0.316666666666667</v>
      </c>
    </row>
    <row r="506" spans="1:8">
      <c r="A506" s="5">
        <f>(pima_data!A506-MIN(pima_data!$A$1:$A$768))/(MAX(pima_data!$A$1:$A$768)-MIN(pima_data!$A$1:$A$768))</f>
        <v>0.588235294117647</v>
      </c>
      <c r="B506" s="5">
        <f>(pima_data!B506-MIN(pima_data!$B$1:$B$768))/(MAX(pima_data!$B$1:$B$768)-MIN(pima_data!$B$1:$B$768))</f>
        <v>0.376884422110553</v>
      </c>
      <c r="C506" s="5">
        <f>(pima_data!C506-MIN(pima_data!$C$1:$C$768))/(MAX(pima_data!$C$1:$C$768)-MIN(pima_data!$C$1:$C$768))</f>
        <v>0.672131147540984</v>
      </c>
      <c r="D506" s="5">
        <f>(pima_data!D506-MIN(pima_data!$D$1:$D$768))/(MAX(pima_data!$D$1:$D$768)-MIN(pima_data!$D$1:$D$768))</f>
        <v>0</v>
      </c>
      <c r="E506" s="5">
        <f>(pima_data!E506-MIN(pima_data!$E$1:$E$768))/(MAX(pima_data!$E$1:$E$768)-MIN(pima_data!$E$1:$E$768))</f>
        <v>0</v>
      </c>
      <c r="F506" s="5">
        <f>(pima_data!F506-MIN(pima_data!$F$1:$F$768))/(MAX(pima_data!$F$1:$F$768)-MIN(pima_data!$F$1:$F$768))</f>
        <v>0.496274217585693</v>
      </c>
      <c r="G506" s="5">
        <f>(pima_data!G506-MIN(pima_data!$G$1:$G$768))/(MAX(pima_data!$G$1:$G$768)-MIN(pima_data!$G$1:$G$768))</f>
        <v>0.0789923142613151</v>
      </c>
      <c r="H506" s="5">
        <f>(pima_data!H506-MIN(pima_data!$H$1:$H$768))/(MAX(pima_data!$H$1:$H$768)-MIN(pima_data!$H$1:$H$768))</f>
        <v>0.283333333333333</v>
      </c>
    </row>
    <row r="507" spans="1:8">
      <c r="A507" s="5">
        <f>(pima_data!A507-MIN(pima_data!$A$1:$A$768))/(MAX(pima_data!$A$1:$A$768)-MIN(pima_data!$A$1:$A$768))</f>
        <v>0</v>
      </c>
      <c r="B507" s="5">
        <f>(pima_data!B507-MIN(pima_data!$B$1:$B$768))/(MAX(pima_data!$B$1:$B$768)-MIN(pima_data!$B$1:$B$768))</f>
        <v>0.904522613065327</v>
      </c>
      <c r="C507" s="5">
        <f>(pima_data!C507-MIN(pima_data!$C$1:$C$768))/(MAX(pima_data!$C$1:$C$768)-MIN(pima_data!$C$1:$C$768))</f>
        <v>0.737704918032787</v>
      </c>
      <c r="D507" s="5">
        <f>(pima_data!D507-MIN(pima_data!$D$1:$D$768))/(MAX(pima_data!$D$1:$D$768)-MIN(pima_data!$D$1:$D$768))</f>
        <v>0.262626262626263</v>
      </c>
      <c r="E507" s="5">
        <f>(pima_data!E507-MIN(pima_data!$E$1:$E$768))/(MAX(pima_data!$E$1:$E$768)-MIN(pima_data!$E$1:$E$768))</f>
        <v>0.106382978723404</v>
      </c>
      <c r="F507" s="5">
        <f>(pima_data!F507-MIN(pima_data!$F$1:$F$768))/(MAX(pima_data!$F$1:$F$768)-MIN(pima_data!$F$1:$F$768))</f>
        <v>0.543964232488823</v>
      </c>
      <c r="G507" s="5">
        <f>(pima_data!G507-MIN(pima_data!$G$1:$G$768))/(MAX(pima_data!$G$1:$G$768)-MIN(pima_data!$G$1:$G$768))</f>
        <v>0.100768573868488</v>
      </c>
      <c r="H507" s="5">
        <f>(pima_data!H507-MIN(pima_data!$H$1:$H$768))/(MAX(pima_data!$H$1:$H$768)-MIN(pima_data!$H$1:$H$768))</f>
        <v>0.233333333333333</v>
      </c>
    </row>
    <row r="508" spans="1:8">
      <c r="A508" s="5">
        <f>(pima_data!A508-MIN(pima_data!$A$1:$A$768))/(MAX(pima_data!$A$1:$A$768)-MIN(pima_data!$A$1:$A$768))</f>
        <v>0.0588235294117647</v>
      </c>
      <c r="B508" s="5">
        <f>(pima_data!B508-MIN(pima_data!$B$1:$B$768))/(MAX(pima_data!$B$1:$B$768)-MIN(pima_data!$B$1:$B$768))</f>
        <v>0.653266331658292</v>
      </c>
      <c r="C508" s="5">
        <f>(pima_data!C508-MIN(pima_data!$C$1:$C$768))/(MAX(pima_data!$C$1:$C$768)-MIN(pima_data!$C$1:$C$768))</f>
        <v>0.491803278688525</v>
      </c>
      <c r="D508" s="5">
        <f>(pima_data!D508-MIN(pima_data!$D$1:$D$768))/(MAX(pima_data!$D$1:$D$768)-MIN(pima_data!$D$1:$D$768))</f>
        <v>0.232323232323232</v>
      </c>
      <c r="E508" s="5">
        <f>(pima_data!E508-MIN(pima_data!$E$1:$E$768))/(MAX(pima_data!$E$1:$E$768)-MIN(pima_data!$E$1:$E$768))</f>
        <v>0.200945626477541</v>
      </c>
      <c r="F508" s="5">
        <f>(pima_data!F508-MIN(pima_data!$F$1:$F$768))/(MAX(pima_data!$F$1:$F$768)-MIN(pima_data!$F$1:$F$768))</f>
        <v>0.426229508196721</v>
      </c>
      <c r="G508" s="5">
        <f>(pima_data!G508-MIN(pima_data!$G$1:$G$768))/(MAX(pima_data!$G$1:$G$768)-MIN(pima_data!$G$1:$G$768))</f>
        <v>0.262169086251067</v>
      </c>
      <c r="H508" s="5">
        <f>(pima_data!H508-MIN(pima_data!$H$1:$H$768))/(MAX(pima_data!$H$1:$H$768)-MIN(pima_data!$H$1:$H$768))</f>
        <v>0</v>
      </c>
    </row>
    <row r="509" spans="1:8">
      <c r="A509" s="5">
        <f>(pima_data!A509-MIN(pima_data!$A$1:$A$768))/(MAX(pima_data!$A$1:$A$768)-MIN(pima_data!$A$1:$A$768))</f>
        <v>0.117647058823529</v>
      </c>
      <c r="B509" s="5">
        <f>(pima_data!B509-MIN(pima_data!$B$1:$B$768))/(MAX(pima_data!$B$1:$B$768)-MIN(pima_data!$B$1:$B$768))</f>
        <v>0.422110552763819</v>
      </c>
      <c r="C509" s="5">
        <f>(pima_data!C509-MIN(pima_data!$C$1:$C$768))/(MAX(pima_data!$C$1:$C$768)-MIN(pima_data!$C$1:$C$768))</f>
        <v>0.409836065573771</v>
      </c>
      <c r="D509" s="5">
        <f>(pima_data!D509-MIN(pima_data!$D$1:$D$768))/(MAX(pima_data!$D$1:$D$768)-MIN(pima_data!$D$1:$D$768))</f>
        <v>0.232323232323232</v>
      </c>
      <c r="E509" s="5">
        <f>(pima_data!E509-MIN(pima_data!$E$1:$E$768))/(MAX(pima_data!$E$1:$E$768)-MIN(pima_data!$E$1:$E$768))</f>
        <v>0.0898345153664303</v>
      </c>
      <c r="F509" s="5">
        <f>(pima_data!F509-MIN(pima_data!$F$1:$F$768))/(MAX(pima_data!$F$1:$F$768)-MIN(pima_data!$F$1:$F$768))</f>
        <v>0.453055141579732</v>
      </c>
      <c r="G509" s="5">
        <f>(pima_data!G509-MIN(pima_data!$G$1:$G$768))/(MAX(pima_data!$G$1:$G$768)-MIN(pima_data!$G$1:$G$768))</f>
        <v>0.3800170794193</v>
      </c>
      <c r="H509" s="5">
        <f>(pima_data!H509-MIN(pima_data!$H$1:$H$768))/(MAX(pima_data!$H$1:$H$768)-MIN(pima_data!$H$1:$H$768))</f>
        <v>0</v>
      </c>
    </row>
    <row r="510" spans="1:8">
      <c r="A510" s="5">
        <f>(pima_data!A510-MIN(pima_data!$A$1:$A$768))/(MAX(pima_data!$A$1:$A$768)-MIN(pima_data!$A$1:$A$768))</f>
        <v>0.470588235294118</v>
      </c>
      <c r="B510" s="5">
        <f>(pima_data!B510-MIN(pima_data!$B$1:$B$768))/(MAX(pima_data!$B$1:$B$768)-MIN(pima_data!$B$1:$B$768))</f>
        <v>0.603015075376884</v>
      </c>
      <c r="C510" s="5">
        <f>(pima_data!C510-MIN(pima_data!$C$1:$C$768))/(MAX(pima_data!$C$1:$C$768)-MIN(pima_data!$C$1:$C$768))</f>
        <v>0.639344262295082</v>
      </c>
      <c r="D510" s="5">
        <f>(pima_data!D510-MIN(pima_data!$D$1:$D$768))/(MAX(pima_data!$D$1:$D$768)-MIN(pima_data!$D$1:$D$768))</f>
        <v>0</v>
      </c>
      <c r="E510" s="5">
        <f>(pima_data!E510-MIN(pima_data!$E$1:$E$768))/(MAX(pima_data!$E$1:$E$768)-MIN(pima_data!$E$1:$E$768))</f>
        <v>0</v>
      </c>
      <c r="F510" s="5">
        <f>(pima_data!F510-MIN(pima_data!$F$1:$F$768))/(MAX(pima_data!$F$1:$F$768)-MIN(pima_data!$F$1:$F$768))</f>
        <v>0.3725782414307</v>
      </c>
      <c r="G510" s="5">
        <f>(pima_data!G510-MIN(pima_data!$G$1:$G$768))/(MAX(pima_data!$G$1:$G$768)-MIN(pima_data!$G$1:$G$768))</f>
        <v>0.14133219470538</v>
      </c>
      <c r="H510" s="5">
        <f>(pima_data!H510-MIN(pima_data!$H$1:$H$768))/(MAX(pima_data!$H$1:$H$768)-MIN(pima_data!$H$1:$H$768))</f>
        <v>0.716666666666667</v>
      </c>
    </row>
    <row r="511" spans="1:8">
      <c r="A511" s="5">
        <f>(pima_data!A511-MIN(pima_data!$A$1:$A$768))/(MAX(pima_data!$A$1:$A$768)-MIN(pima_data!$A$1:$A$768))</f>
        <v>0.705882352941177</v>
      </c>
      <c r="B511" s="5">
        <f>(pima_data!B511-MIN(pima_data!$B$1:$B$768))/(MAX(pima_data!$B$1:$B$768)-MIN(pima_data!$B$1:$B$768))</f>
        <v>0.422110552763819</v>
      </c>
      <c r="C511" s="5">
        <f>(pima_data!C511-MIN(pima_data!$C$1:$C$768))/(MAX(pima_data!$C$1:$C$768)-MIN(pima_data!$C$1:$C$768))</f>
        <v>0.590163934426229</v>
      </c>
      <c r="D511" s="5">
        <f>(pima_data!D511-MIN(pima_data!$D$1:$D$768))/(MAX(pima_data!$D$1:$D$768)-MIN(pima_data!$D$1:$D$768))</f>
        <v>0.313131313131313</v>
      </c>
      <c r="E511" s="5">
        <f>(pima_data!E511-MIN(pima_data!$E$1:$E$768))/(MAX(pima_data!$E$1:$E$768)-MIN(pima_data!$E$1:$E$768))</f>
        <v>0</v>
      </c>
      <c r="F511" s="5">
        <f>(pima_data!F511-MIN(pima_data!$F$1:$F$768))/(MAX(pima_data!$F$1:$F$768)-MIN(pima_data!$F$1:$F$768))</f>
        <v>0.442622950819672</v>
      </c>
      <c r="G511" s="5">
        <f>(pima_data!G511-MIN(pima_data!$G$1:$G$768))/(MAX(pima_data!$G$1:$G$768)-MIN(pima_data!$G$1:$G$768))</f>
        <v>0.0935098206660973</v>
      </c>
      <c r="H511" s="5">
        <f>(pima_data!H511-MIN(pima_data!$H$1:$H$768))/(MAX(pima_data!$H$1:$H$768)-MIN(pima_data!$H$1:$H$768))</f>
        <v>0.416666666666667</v>
      </c>
    </row>
    <row r="512" spans="1:8">
      <c r="A512" s="5">
        <f>(pima_data!A512-MIN(pima_data!$A$1:$A$768))/(MAX(pima_data!$A$1:$A$768)-MIN(pima_data!$A$1:$A$768))</f>
        <v>0</v>
      </c>
      <c r="B512" s="5">
        <f>(pima_data!B512-MIN(pima_data!$B$1:$B$768))/(MAX(pima_data!$B$1:$B$768)-MIN(pima_data!$B$1:$B$768))</f>
        <v>0.698492462311558</v>
      </c>
      <c r="C512" s="5">
        <f>(pima_data!C512-MIN(pima_data!$C$1:$C$768))/(MAX(pima_data!$C$1:$C$768)-MIN(pima_data!$C$1:$C$768))</f>
        <v>0.508196721311475</v>
      </c>
      <c r="D512" s="5">
        <f>(pima_data!D512-MIN(pima_data!$D$1:$D$768))/(MAX(pima_data!$D$1:$D$768)-MIN(pima_data!$D$1:$D$768))</f>
        <v>0.171717171717172</v>
      </c>
      <c r="E512" s="5">
        <f>(pima_data!E512-MIN(pima_data!$E$1:$E$768))/(MAX(pima_data!$E$1:$E$768)-MIN(pima_data!$E$1:$E$768))</f>
        <v>0.24822695035461</v>
      </c>
      <c r="F512" s="5">
        <f>(pima_data!F512-MIN(pima_data!$F$1:$F$768))/(MAX(pima_data!$F$1:$F$768)-MIN(pima_data!$F$1:$F$768))</f>
        <v>0.329359165424739</v>
      </c>
      <c r="G512" s="5">
        <f>(pima_data!G512-MIN(pima_data!$G$1:$G$768))/(MAX(pima_data!$G$1:$G$768)-MIN(pima_data!$G$1:$G$768))</f>
        <v>0.0550811272416738</v>
      </c>
      <c r="H512" s="5">
        <f>(pima_data!H512-MIN(pima_data!$H$1:$H$768))/(MAX(pima_data!$H$1:$H$768)-MIN(pima_data!$H$1:$H$768))</f>
        <v>0</v>
      </c>
    </row>
    <row r="513" spans="1:8">
      <c r="A513" s="5">
        <f>(pima_data!A513-MIN(pima_data!$A$1:$A$768))/(MAX(pima_data!$A$1:$A$768)-MIN(pima_data!$A$1:$A$768))</f>
        <v>0.529411764705882</v>
      </c>
      <c r="B513" s="5">
        <f>(pima_data!B513-MIN(pima_data!$B$1:$B$768))/(MAX(pima_data!$B$1:$B$768)-MIN(pima_data!$B$1:$B$768))</f>
        <v>0.457286432160804</v>
      </c>
      <c r="C513" s="5">
        <f>(pima_data!C513-MIN(pima_data!$C$1:$C$768))/(MAX(pima_data!$C$1:$C$768)-MIN(pima_data!$C$1:$C$768))</f>
        <v>0.557377049180328</v>
      </c>
      <c r="D513" s="5">
        <f>(pima_data!D513-MIN(pima_data!$D$1:$D$768))/(MAX(pima_data!$D$1:$D$768)-MIN(pima_data!$D$1:$D$768))</f>
        <v>0</v>
      </c>
      <c r="E513" s="5">
        <f>(pima_data!E513-MIN(pima_data!$E$1:$E$768))/(MAX(pima_data!$E$1:$E$768)-MIN(pima_data!$E$1:$E$768))</f>
        <v>0</v>
      </c>
      <c r="F513" s="5">
        <f>(pima_data!F513-MIN(pima_data!$F$1:$F$768))/(MAX(pima_data!$F$1:$F$768)-MIN(pima_data!$F$1:$F$768))</f>
        <v>0.360655737704918</v>
      </c>
      <c r="G513" s="5">
        <f>(pima_data!G513-MIN(pima_data!$G$1:$G$768))/(MAX(pima_data!$G$1:$G$768)-MIN(pima_data!$G$1:$G$768))</f>
        <v>0.0520922288642186</v>
      </c>
      <c r="H513" s="5">
        <f>(pima_data!H513-MIN(pima_data!$H$1:$H$768))/(MAX(pima_data!$H$1:$H$768)-MIN(pima_data!$H$1:$H$768))</f>
        <v>0.616666666666667</v>
      </c>
    </row>
    <row r="514" spans="1:8">
      <c r="A514" s="5">
        <f>(pima_data!A514-MIN(pima_data!$A$1:$A$768))/(MAX(pima_data!$A$1:$A$768)-MIN(pima_data!$A$1:$A$768))</f>
        <v>0.117647058823529</v>
      </c>
      <c r="B514" s="5">
        <f>(pima_data!B514-MIN(pima_data!$B$1:$B$768))/(MAX(pima_data!$B$1:$B$768)-MIN(pima_data!$B$1:$B$768))</f>
        <v>0.457286432160804</v>
      </c>
      <c r="C514" s="5">
        <f>(pima_data!C514-MIN(pima_data!$C$1:$C$768))/(MAX(pima_data!$C$1:$C$768)-MIN(pima_data!$C$1:$C$768))</f>
        <v>0.508196721311475</v>
      </c>
      <c r="D514" s="5">
        <f>(pima_data!D514-MIN(pima_data!$D$1:$D$768))/(MAX(pima_data!$D$1:$D$768)-MIN(pima_data!$D$1:$D$768))</f>
        <v>0</v>
      </c>
      <c r="E514" s="5">
        <f>(pima_data!E514-MIN(pima_data!$E$1:$E$768))/(MAX(pima_data!$E$1:$E$768)-MIN(pima_data!$E$1:$E$768))</f>
        <v>0</v>
      </c>
      <c r="F514" s="5">
        <f>(pima_data!F514-MIN(pima_data!$F$1:$F$768))/(MAX(pima_data!$F$1:$F$768)-MIN(pima_data!$F$1:$F$768))</f>
        <v>0.406855439642325</v>
      </c>
      <c r="G514" s="5">
        <f>(pima_data!G514-MIN(pima_data!$G$1:$G$768))/(MAX(pima_data!$G$1:$G$768)-MIN(pima_data!$G$1:$G$768))</f>
        <v>0.190862510674637</v>
      </c>
      <c r="H514" s="5">
        <f>(pima_data!H514-MIN(pima_data!$H$1:$H$768))/(MAX(pima_data!$H$1:$H$768)-MIN(pima_data!$H$1:$H$768))</f>
        <v>0.0166666666666667</v>
      </c>
    </row>
    <row r="515" spans="1:8">
      <c r="A515" s="5">
        <f>(pima_data!A515-MIN(pima_data!$A$1:$A$768))/(MAX(pima_data!$A$1:$A$768)-MIN(pima_data!$A$1:$A$768))</f>
        <v>0.176470588235294</v>
      </c>
      <c r="B515" s="5">
        <f>(pima_data!B515-MIN(pima_data!$B$1:$B$768))/(MAX(pima_data!$B$1:$B$768)-MIN(pima_data!$B$1:$B$768))</f>
        <v>0.49748743718593</v>
      </c>
      <c r="C515" s="5">
        <f>(pima_data!C515-MIN(pima_data!$C$1:$C$768))/(MAX(pima_data!$C$1:$C$768)-MIN(pima_data!$C$1:$C$768))</f>
        <v>0.442622950819672</v>
      </c>
      <c r="D515" s="5">
        <f>(pima_data!D515-MIN(pima_data!$D$1:$D$768))/(MAX(pima_data!$D$1:$D$768)-MIN(pima_data!$D$1:$D$768))</f>
        <v>0.191919191919192</v>
      </c>
      <c r="E515" s="5">
        <f>(pima_data!E515-MIN(pima_data!$E$1:$E$768))/(MAX(pima_data!$E$1:$E$768)-MIN(pima_data!$E$1:$E$768))</f>
        <v>0.101654846335697</v>
      </c>
      <c r="F515" s="5">
        <f>(pima_data!F515-MIN(pima_data!$F$1:$F$768))/(MAX(pima_data!$F$1:$F$768)-MIN(pima_data!$F$1:$F$768))</f>
        <v>0.381520119225037</v>
      </c>
      <c r="G515" s="5">
        <f>(pima_data!G515-MIN(pima_data!$G$1:$G$768))/(MAX(pima_data!$G$1:$G$768)-MIN(pima_data!$G$1:$G$768))</f>
        <v>0.0324508966695132</v>
      </c>
      <c r="H515" s="5">
        <f>(pima_data!H515-MIN(pima_data!$H$1:$H$768))/(MAX(pima_data!$H$1:$H$768)-MIN(pima_data!$H$1:$H$768))</f>
        <v>0.05</v>
      </c>
    </row>
    <row r="516" spans="1:8">
      <c r="A516" s="5">
        <f>(pima_data!A516-MIN(pima_data!$A$1:$A$768))/(MAX(pima_data!$A$1:$A$768)-MIN(pima_data!$A$1:$A$768))</f>
        <v>0.176470588235294</v>
      </c>
      <c r="B516" s="5">
        <f>(pima_data!B516-MIN(pima_data!$B$1:$B$768))/(MAX(pima_data!$B$1:$B$768)-MIN(pima_data!$B$1:$B$768))</f>
        <v>0.819095477386935</v>
      </c>
      <c r="C516" s="5">
        <f>(pima_data!C516-MIN(pima_data!$C$1:$C$768))/(MAX(pima_data!$C$1:$C$768)-MIN(pima_data!$C$1:$C$768))</f>
        <v>0.573770491803279</v>
      </c>
      <c r="D516" s="5">
        <f>(pima_data!D516-MIN(pima_data!$D$1:$D$768))/(MAX(pima_data!$D$1:$D$768)-MIN(pima_data!$D$1:$D$768))</f>
        <v>0.181818181818182</v>
      </c>
      <c r="E516" s="5">
        <f>(pima_data!E516-MIN(pima_data!$E$1:$E$768))/(MAX(pima_data!$E$1:$E$768)-MIN(pima_data!$E$1:$E$768))</f>
        <v>0.124113475177305</v>
      </c>
      <c r="F516" s="5">
        <f>(pima_data!F516-MIN(pima_data!$F$1:$F$768))/(MAX(pima_data!$F$1:$F$768)-MIN(pima_data!$F$1:$F$768))</f>
        <v>0.470938897168405</v>
      </c>
      <c r="G516" s="5">
        <f>(pima_data!G516-MIN(pima_data!$G$1:$G$768))/(MAX(pima_data!$G$1:$G$768)-MIN(pima_data!$G$1:$G$768))</f>
        <v>0.0811272416737831</v>
      </c>
      <c r="H516" s="5">
        <f>(pima_data!H516-MIN(pima_data!$H$1:$H$768))/(MAX(pima_data!$H$1:$H$768)-MIN(pima_data!$H$1:$H$768))</f>
        <v>0.116666666666667</v>
      </c>
    </row>
    <row r="517" spans="1:8">
      <c r="A517" s="5">
        <f>(pima_data!A517-MIN(pima_data!$A$1:$A$768))/(MAX(pima_data!$A$1:$A$768)-MIN(pima_data!$A$1:$A$768))</f>
        <v>0.529411764705882</v>
      </c>
      <c r="B517" s="5">
        <f>(pima_data!B517-MIN(pima_data!$B$1:$B$768))/(MAX(pima_data!$B$1:$B$768)-MIN(pima_data!$B$1:$B$768))</f>
        <v>0.728643216080402</v>
      </c>
      <c r="C517" s="5">
        <f>(pima_data!C517-MIN(pima_data!$C$1:$C$768))/(MAX(pima_data!$C$1:$C$768)-MIN(pima_data!$C$1:$C$768))</f>
        <v>0.721311475409836</v>
      </c>
      <c r="D517" s="5">
        <f>(pima_data!D517-MIN(pima_data!$D$1:$D$768))/(MAX(pima_data!$D$1:$D$768)-MIN(pima_data!$D$1:$D$768))</f>
        <v>0.343434343434343</v>
      </c>
      <c r="E517" s="5">
        <f>(pima_data!E517-MIN(pima_data!$E$1:$E$768))/(MAX(pima_data!$E$1:$E$768)-MIN(pima_data!$E$1:$E$768))</f>
        <v>0.195035460992908</v>
      </c>
      <c r="F517" s="5">
        <f>(pima_data!F517-MIN(pima_data!$F$1:$F$768))/(MAX(pima_data!$F$1:$F$768)-MIN(pima_data!$F$1:$F$768))</f>
        <v>0.451564828614009</v>
      </c>
      <c r="G517" s="5">
        <f>(pima_data!G517-MIN(pima_data!$G$1:$G$768))/(MAX(pima_data!$G$1:$G$768)-MIN(pima_data!$G$1:$G$768))</f>
        <v>0.295900939368061</v>
      </c>
      <c r="H517" s="5">
        <f>(pima_data!H517-MIN(pima_data!$H$1:$H$768))/(MAX(pima_data!$H$1:$H$768)-MIN(pima_data!$H$1:$H$768))</f>
        <v>0.533333333333333</v>
      </c>
    </row>
    <row r="518" spans="1:8">
      <c r="A518" s="5">
        <f>(pima_data!A518-MIN(pima_data!$A$1:$A$768))/(MAX(pima_data!$A$1:$A$768)-MIN(pima_data!$A$1:$A$768))</f>
        <v>0.411764705882353</v>
      </c>
      <c r="B518" s="5">
        <f>(pima_data!B518-MIN(pima_data!$B$1:$B$768))/(MAX(pima_data!$B$1:$B$768)-MIN(pima_data!$B$1:$B$768))</f>
        <v>0.628140703517588</v>
      </c>
      <c r="C518" s="5">
        <f>(pima_data!C518-MIN(pima_data!$C$1:$C$768))/(MAX(pima_data!$C$1:$C$768)-MIN(pima_data!$C$1:$C$768))</f>
        <v>0.704918032786885</v>
      </c>
      <c r="D518" s="5">
        <f>(pima_data!D518-MIN(pima_data!$D$1:$D$768))/(MAX(pima_data!$D$1:$D$768)-MIN(pima_data!$D$1:$D$768))</f>
        <v>0</v>
      </c>
      <c r="E518" s="5">
        <f>(pima_data!E518-MIN(pima_data!$E$1:$E$768))/(MAX(pima_data!$E$1:$E$768)-MIN(pima_data!$E$1:$E$768))</f>
        <v>0</v>
      </c>
      <c r="F518" s="5">
        <f>(pima_data!F518-MIN(pima_data!$F$1:$F$768))/(MAX(pima_data!$F$1:$F$768)-MIN(pima_data!$F$1:$F$768))</f>
        <v>0.560357675111774</v>
      </c>
      <c r="G518" s="5">
        <f>(pima_data!G518-MIN(pima_data!$G$1:$G$768))/(MAX(pima_data!$G$1:$G$768)-MIN(pima_data!$G$1:$G$768))</f>
        <v>0.0964987190435525</v>
      </c>
      <c r="H518" s="5">
        <f>(pima_data!H518-MIN(pima_data!$H$1:$H$768))/(MAX(pima_data!$H$1:$H$768)-MIN(pima_data!$H$1:$H$768))</f>
        <v>0.5</v>
      </c>
    </row>
    <row r="519" spans="1:8">
      <c r="A519" s="5">
        <f>(pima_data!A519-MIN(pima_data!$A$1:$A$768))/(MAX(pima_data!$A$1:$A$768)-MIN(pima_data!$A$1:$A$768))</f>
        <v>0.764705882352941</v>
      </c>
      <c r="B519" s="5">
        <f>(pima_data!B519-MIN(pima_data!$B$1:$B$768))/(MAX(pima_data!$B$1:$B$768)-MIN(pima_data!$B$1:$B$768))</f>
        <v>0.381909547738693</v>
      </c>
      <c r="C519" s="5">
        <f>(pima_data!C519-MIN(pima_data!$C$1:$C$768))/(MAX(pima_data!$C$1:$C$768)-MIN(pima_data!$C$1:$C$768))</f>
        <v>0.491803278688525</v>
      </c>
      <c r="D519" s="5">
        <f>(pima_data!D519-MIN(pima_data!$D$1:$D$768))/(MAX(pima_data!$D$1:$D$768)-MIN(pima_data!$D$1:$D$768))</f>
        <v>0</v>
      </c>
      <c r="E519" s="5">
        <f>(pima_data!E519-MIN(pima_data!$E$1:$E$768))/(MAX(pima_data!$E$1:$E$768)-MIN(pima_data!$E$1:$E$768))</f>
        <v>0</v>
      </c>
      <c r="F519" s="5">
        <f>(pima_data!F519-MIN(pima_data!$F$1:$F$768))/(MAX(pima_data!$F$1:$F$768)-MIN(pima_data!$F$1:$F$768))</f>
        <v>0.488822652757079</v>
      </c>
      <c r="G519" s="5">
        <f>(pima_data!G519-MIN(pima_data!$G$1:$G$768))/(MAX(pima_data!$G$1:$G$768)-MIN(pima_data!$G$1:$G$768))</f>
        <v>0.0435525192143467</v>
      </c>
      <c r="H519" s="5">
        <f>(pima_data!H519-MIN(pima_data!$H$1:$H$768))/(MAX(pima_data!$H$1:$H$768)-MIN(pima_data!$H$1:$H$768))</f>
        <v>0.333333333333333</v>
      </c>
    </row>
    <row r="520" spans="1:8">
      <c r="A520" s="5">
        <f>(pima_data!A520-MIN(pima_data!$A$1:$A$768))/(MAX(pima_data!$A$1:$A$768)-MIN(pima_data!$A$1:$A$768))</f>
        <v>0.352941176470588</v>
      </c>
      <c r="B520" s="5">
        <f>(pima_data!B520-MIN(pima_data!$B$1:$B$768))/(MAX(pima_data!$B$1:$B$768)-MIN(pima_data!$B$1:$B$768))</f>
        <v>0.648241206030151</v>
      </c>
      <c r="C520" s="5">
        <f>(pima_data!C520-MIN(pima_data!$C$1:$C$768))/(MAX(pima_data!$C$1:$C$768)-MIN(pima_data!$C$1:$C$768))</f>
        <v>0.737704918032787</v>
      </c>
      <c r="D520" s="5">
        <f>(pima_data!D520-MIN(pima_data!$D$1:$D$768))/(MAX(pima_data!$D$1:$D$768)-MIN(pima_data!$D$1:$D$768))</f>
        <v>0.0707070707070707</v>
      </c>
      <c r="E520" s="5">
        <f>(pima_data!E520-MIN(pima_data!$E$1:$E$768))/(MAX(pima_data!$E$1:$E$768)-MIN(pima_data!$E$1:$E$768))</f>
        <v>0.385342789598109</v>
      </c>
      <c r="F520" s="5">
        <f>(pima_data!F520-MIN(pima_data!$F$1:$F$768))/(MAX(pima_data!$F$1:$F$768)-MIN(pima_data!$F$1:$F$768))</f>
        <v>0.292101341281669</v>
      </c>
      <c r="G520" s="5">
        <f>(pima_data!G520-MIN(pima_data!$G$1:$G$768))/(MAX(pima_data!$G$1:$G$768)-MIN(pima_data!$G$1:$G$768))</f>
        <v>0.215200683176772</v>
      </c>
      <c r="H520" s="5">
        <f>(pima_data!H520-MIN(pima_data!$H$1:$H$768))/(MAX(pima_data!$H$1:$H$768)-MIN(pima_data!$H$1:$H$768))</f>
        <v>0.65</v>
      </c>
    </row>
    <row r="521" spans="1:8">
      <c r="A521" s="5">
        <f>(pima_data!A521-MIN(pima_data!$A$1:$A$768))/(MAX(pima_data!$A$1:$A$768)-MIN(pima_data!$A$1:$A$768))</f>
        <v>0.117647058823529</v>
      </c>
      <c r="B521" s="5">
        <f>(pima_data!B521-MIN(pima_data!$B$1:$B$768))/(MAX(pima_data!$B$1:$B$768)-MIN(pima_data!$B$1:$B$768))</f>
        <v>0.341708542713568</v>
      </c>
      <c r="C521" s="5">
        <f>(pima_data!C521-MIN(pima_data!$C$1:$C$768))/(MAX(pima_data!$C$1:$C$768)-MIN(pima_data!$C$1:$C$768))</f>
        <v>0.573770491803279</v>
      </c>
      <c r="D521" s="5">
        <f>(pima_data!D521-MIN(pima_data!$D$1:$D$768))/(MAX(pima_data!$D$1:$D$768)-MIN(pima_data!$D$1:$D$768))</f>
        <v>0.323232323232323</v>
      </c>
      <c r="E521" s="5">
        <f>(pima_data!E521-MIN(pima_data!$E$1:$E$768))/(MAX(pima_data!$E$1:$E$768)-MIN(pima_data!$E$1:$E$768))</f>
        <v>0.0780141843971631</v>
      </c>
      <c r="F521" s="5">
        <f>(pima_data!F521-MIN(pima_data!$F$1:$F$768))/(MAX(pima_data!$F$1:$F$768)-MIN(pima_data!$F$1:$F$768))</f>
        <v>0.3725782414307</v>
      </c>
      <c r="G521" s="5">
        <f>(pima_data!G521-MIN(pima_data!$G$1:$G$768))/(MAX(pima_data!$G$1:$G$768)-MIN(pima_data!$G$1:$G$768))</f>
        <v>0.0465414175918019</v>
      </c>
      <c r="H521" s="5">
        <f>(pima_data!H521-MIN(pima_data!$H$1:$H$768))/(MAX(pima_data!$H$1:$H$768)-MIN(pima_data!$H$1:$H$768))</f>
        <v>0.0666666666666667</v>
      </c>
    </row>
    <row r="522" spans="1:8">
      <c r="A522" s="5">
        <f>(pima_data!A522-MIN(pima_data!$A$1:$A$768))/(MAX(pima_data!$A$1:$A$768)-MIN(pima_data!$A$1:$A$768))</f>
        <v>0.176470588235294</v>
      </c>
      <c r="B522" s="5">
        <f>(pima_data!B522-MIN(pima_data!$B$1:$B$768))/(MAX(pima_data!$B$1:$B$768)-MIN(pima_data!$B$1:$B$768))</f>
        <v>0.623115577889447</v>
      </c>
      <c r="C522" s="5">
        <f>(pima_data!C522-MIN(pima_data!$C$1:$C$768))/(MAX(pima_data!$C$1:$C$768)-MIN(pima_data!$C$1:$C$768))</f>
        <v>0.655737704918033</v>
      </c>
      <c r="D522" s="5">
        <f>(pima_data!D522-MIN(pima_data!$D$1:$D$768))/(MAX(pima_data!$D$1:$D$768)-MIN(pima_data!$D$1:$D$768))</f>
        <v>0.333333333333333</v>
      </c>
      <c r="E522" s="5">
        <f>(pima_data!E522-MIN(pima_data!$E$1:$E$768))/(MAX(pima_data!$E$1:$E$768)-MIN(pima_data!$E$1:$E$768))</f>
        <v>0.153664302600473</v>
      </c>
      <c r="F522" s="5">
        <f>(pima_data!F522-MIN(pima_data!$F$1:$F$768))/(MAX(pima_data!$F$1:$F$768)-MIN(pima_data!$F$1:$F$768))</f>
        <v>0.49478390461997</v>
      </c>
      <c r="G522" s="5">
        <f>(pima_data!G522-MIN(pima_data!$G$1:$G$768))/(MAX(pima_data!$G$1:$G$768)-MIN(pima_data!$G$1:$G$768))</f>
        <v>0.0969257045260461</v>
      </c>
      <c r="H522" s="5">
        <f>(pima_data!H522-MIN(pima_data!$H$1:$H$768))/(MAX(pima_data!$H$1:$H$768)-MIN(pima_data!$H$1:$H$768))</f>
        <v>0.0833333333333333</v>
      </c>
    </row>
    <row r="523" spans="1:8">
      <c r="A523" s="5">
        <f>(pima_data!A523-MIN(pima_data!$A$1:$A$768))/(MAX(pima_data!$A$1:$A$768)-MIN(pima_data!$A$1:$A$768))</f>
        <v>0.352941176470588</v>
      </c>
      <c r="B523" s="5">
        <f>(pima_data!B523-MIN(pima_data!$B$1:$B$768))/(MAX(pima_data!$B$1:$B$768)-MIN(pima_data!$B$1:$B$768))</f>
        <v>0.57286432160804</v>
      </c>
      <c r="C523" s="5">
        <f>(pima_data!C523-MIN(pima_data!$C$1:$C$768))/(MAX(pima_data!$C$1:$C$768)-MIN(pima_data!$C$1:$C$768))</f>
        <v>0</v>
      </c>
      <c r="D523" s="5">
        <f>(pima_data!D523-MIN(pima_data!$D$1:$D$768))/(MAX(pima_data!$D$1:$D$768)-MIN(pima_data!$D$1:$D$768))</f>
        <v>0</v>
      </c>
      <c r="E523" s="5">
        <f>(pima_data!E523-MIN(pima_data!$E$1:$E$768))/(MAX(pima_data!$E$1:$E$768)-MIN(pima_data!$E$1:$E$768))</f>
        <v>0</v>
      </c>
      <c r="F523" s="5">
        <f>(pima_data!F523-MIN(pima_data!$F$1:$F$768))/(MAX(pima_data!$F$1:$F$768)-MIN(pima_data!$F$1:$F$768))</f>
        <v>0</v>
      </c>
      <c r="G523" s="5">
        <f>(pima_data!G523-MIN(pima_data!$G$1:$G$768))/(MAX(pima_data!$G$1:$G$768)-MIN(pima_data!$G$1:$G$768))</f>
        <v>0.0473953885567891</v>
      </c>
      <c r="H523" s="5">
        <f>(pima_data!H523-MIN(pima_data!$H$1:$H$768))/(MAX(pima_data!$H$1:$H$768)-MIN(pima_data!$H$1:$H$768))</f>
        <v>0.0833333333333333</v>
      </c>
    </row>
    <row r="524" spans="1:8">
      <c r="A524" s="5">
        <f>(pima_data!A524-MIN(pima_data!$A$1:$A$768))/(MAX(pima_data!$A$1:$A$768)-MIN(pima_data!$A$1:$A$768))</f>
        <v>0.529411764705882</v>
      </c>
      <c r="B524" s="5">
        <f>(pima_data!B524-MIN(pima_data!$B$1:$B$768))/(MAX(pima_data!$B$1:$B$768)-MIN(pima_data!$B$1:$B$768))</f>
        <v>0.653266331658292</v>
      </c>
      <c r="C524" s="5">
        <f>(pima_data!C524-MIN(pima_data!$C$1:$C$768))/(MAX(pima_data!$C$1:$C$768)-MIN(pima_data!$C$1:$C$768))</f>
        <v>0.573770491803279</v>
      </c>
      <c r="D524" s="5">
        <f>(pima_data!D524-MIN(pima_data!$D$1:$D$768))/(MAX(pima_data!$D$1:$D$768)-MIN(pima_data!$D$1:$D$768))</f>
        <v>0</v>
      </c>
      <c r="E524" s="5">
        <f>(pima_data!E524-MIN(pima_data!$E$1:$E$768))/(MAX(pima_data!$E$1:$E$768)-MIN(pima_data!$E$1:$E$768))</f>
        <v>0</v>
      </c>
      <c r="F524" s="5">
        <f>(pima_data!F524-MIN(pima_data!$F$1:$F$768))/(MAX(pima_data!$F$1:$F$768)-MIN(pima_data!$F$1:$F$768))</f>
        <v>0.509687034277198</v>
      </c>
      <c r="G524" s="5">
        <f>(pima_data!G524-MIN(pima_data!$G$1:$G$768))/(MAX(pima_data!$G$1:$G$768)-MIN(pima_data!$G$1:$G$768))</f>
        <v>0.245089666951324</v>
      </c>
      <c r="H524" s="5">
        <f>(pima_data!H524-MIN(pima_data!$H$1:$H$768))/(MAX(pima_data!$H$1:$H$768)-MIN(pima_data!$H$1:$H$768))</f>
        <v>0.4</v>
      </c>
    </row>
    <row r="525" spans="1:8">
      <c r="A525" s="5">
        <f>(pima_data!A525-MIN(pima_data!$A$1:$A$768))/(MAX(pima_data!$A$1:$A$768)-MIN(pima_data!$A$1:$A$768))</f>
        <v>0.176470588235294</v>
      </c>
      <c r="B525" s="5">
        <f>(pima_data!B525-MIN(pima_data!$B$1:$B$768))/(MAX(pima_data!$B$1:$B$768)-MIN(pima_data!$B$1:$B$768))</f>
        <v>0.628140703517588</v>
      </c>
      <c r="C525" s="5">
        <f>(pima_data!C525-MIN(pima_data!$C$1:$C$768))/(MAX(pima_data!$C$1:$C$768)-MIN(pima_data!$C$1:$C$768))</f>
        <v>0.475409836065574</v>
      </c>
      <c r="D525" s="5">
        <f>(pima_data!D525-MIN(pima_data!$D$1:$D$768))/(MAX(pima_data!$D$1:$D$768)-MIN(pima_data!$D$1:$D$768))</f>
        <v>0</v>
      </c>
      <c r="E525" s="5">
        <f>(pima_data!E525-MIN(pima_data!$E$1:$E$768))/(MAX(pima_data!$E$1:$E$768)-MIN(pima_data!$E$1:$E$768))</f>
        <v>0</v>
      </c>
      <c r="F525" s="5">
        <f>(pima_data!F525-MIN(pima_data!$F$1:$F$768))/(MAX(pima_data!$F$1:$F$768)-MIN(pima_data!$F$1:$F$768))</f>
        <v>0.470938897168405</v>
      </c>
      <c r="G525" s="5">
        <f>(pima_data!G525-MIN(pima_data!$G$1:$G$768))/(MAX(pima_data!$G$1:$G$768)-MIN(pima_data!$G$1:$G$768))</f>
        <v>0.0311699402220324</v>
      </c>
      <c r="H525" s="5">
        <f>(pima_data!H525-MIN(pima_data!$H$1:$H$768))/(MAX(pima_data!$H$1:$H$768)-MIN(pima_data!$H$1:$H$768))</f>
        <v>0.05</v>
      </c>
    </row>
    <row r="526" spans="1:8">
      <c r="A526" s="5">
        <f>(pima_data!A526-MIN(pima_data!$A$1:$A$768))/(MAX(pima_data!$A$1:$A$768)-MIN(pima_data!$A$1:$A$768))</f>
        <v>0.176470588235294</v>
      </c>
      <c r="B526" s="5">
        <f>(pima_data!B526-MIN(pima_data!$B$1:$B$768))/(MAX(pima_data!$B$1:$B$768)-MIN(pima_data!$B$1:$B$768))</f>
        <v>0.437185929648241</v>
      </c>
      <c r="C526" s="5">
        <f>(pima_data!C526-MIN(pima_data!$C$1:$C$768))/(MAX(pima_data!$C$1:$C$768)-MIN(pima_data!$C$1:$C$768))</f>
        <v>0.491803278688525</v>
      </c>
      <c r="D526" s="5">
        <f>(pima_data!D526-MIN(pima_data!$D$1:$D$768))/(MAX(pima_data!$D$1:$D$768)-MIN(pima_data!$D$1:$D$768))</f>
        <v>0.181818181818182</v>
      </c>
      <c r="E526" s="5">
        <f>(pima_data!E526-MIN(pima_data!$E$1:$E$768))/(MAX(pima_data!$E$1:$E$768)-MIN(pima_data!$E$1:$E$768))</f>
        <v>0</v>
      </c>
      <c r="F526" s="5">
        <f>(pima_data!F526-MIN(pima_data!$F$1:$F$768))/(MAX(pima_data!$F$1:$F$768)-MIN(pima_data!$F$1:$F$768))</f>
        <v>0.324888226527571</v>
      </c>
      <c r="G526" s="5">
        <f>(pima_data!G526-MIN(pima_data!$G$1:$G$768))/(MAX(pima_data!$G$1:$G$768)-MIN(pima_data!$G$1:$G$768))</f>
        <v>0.156276686592656</v>
      </c>
      <c r="H526" s="5">
        <f>(pima_data!H526-MIN(pima_data!$H$1:$H$768))/(MAX(pima_data!$H$1:$H$768)-MIN(pima_data!$H$1:$H$768))</f>
        <v>0</v>
      </c>
    </row>
    <row r="527" spans="1:8">
      <c r="A527" s="5">
        <f>(pima_data!A527-MIN(pima_data!$A$1:$A$768))/(MAX(pima_data!$A$1:$A$768)-MIN(pima_data!$A$1:$A$768))</f>
        <v>0.0588235294117647</v>
      </c>
      <c r="B527" s="5">
        <f>(pima_data!B527-MIN(pima_data!$B$1:$B$768))/(MAX(pima_data!$B$1:$B$768)-MIN(pima_data!$B$1:$B$768))</f>
        <v>0.487437185929648</v>
      </c>
      <c r="C527" s="5">
        <f>(pima_data!C527-MIN(pima_data!$C$1:$C$768))/(MAX(pima_data!$C$1:$C$768)-MIN(pima_data!$C$1:$C$768))</f>
        <v>0.524590163934426</v>
      </c>
      <c r="D527" s="5">
        <f>(pima_data!D527-MIN(pima_data!$D$1:$D$768))/(MAX(pima_data!$D$1:$D$768)-MIN(pima_data!$D$1:$D$768))</f>
        <v>0.191919191919192</v>
      </c>
      <c r="E527" s="5">
        <f>(pima_data!E527-MIN(pima_data!$E$1:$E$768))/(MAX(pima_data!$E$1:$E$768)-MIN(pima_data!$E$1:$E$768))</f>
        <v>0.0969267139479905</v>
      </c>
      <c r="F527" s="5">
        <f>(pima_data!F527-MIN(pima_data!$F$1:$F$768))/(MAX(pima_data!$F$1:$F$768)-MIN(pima_data!$F$1:$F$768))</f>
        <v>0.27123695976155</v>
      </c>
      <c r="G527" s="5">
        <f>(pima_data!G527-MIN(pima_data!$G$1:$G$768))/(MAX(pima_data!$G$1:$G$768)-MIN(pima_data!$G$1:$G$768))</f>
        <v>0.0943637916310845</v>
      </c>
      <c r="H527" s="5">
        <f>(pima_data!H527-MIN(pima_data!$H$1:$H$768))/(MAX(pima_data!$H$1:$H$768)-MIN(pima_data!$H$1:$H$768))</f>
        <v>0</v>
      </c>
    </row>
    <row r="528" spans="1:8">
      <c r="A528" s="5">
        <f>(pima_data!A528-MIN(pima_data!$A$1:$A$768))/(MAX(pima_data!$A$1:$A$768)-MIN(pima_data!$A$1:$A$768))</f>
        <v>0.176470588235294</v>
      </c>
      <c r="B528" s="5">
        <f>(pima_data!B528-MIN(pima_data!$B$1:$B$768))/(MAX(pima_data!$B$1:$B$768)-MIN(pima_data!$B$1:$B$768))</f>
        <v>0.582914572864322</v>
      </c>
      <c r="C528" s="5">
        <f>(pima_data!C528-MIN(pima_data!$C$1:$C$768))/(MAX(pima_data!$C$1:$C$768)-MIN(pima_data!$C$1:$C$768))</f>
        <v>0.60655737704918</v>
      </c>
      <c r="D528" s="5">
        <f>(pima_data!D528-MIN(pima_data!$D$1:$D$768))/(MAX(pima_data!$D$1:$D$768)-MIN(pima_data!$D$1:$D$768))</f>
        <v>0.151515151515152</v>
      </c>
      <c r="E528" s="5">
        <f>(pima_data!E528-MIN(pima_data!$E$1:$E$768))/(MAX(pima_data!$E$1:$E$768)-MIN(pima_data!$E$1:$E$768))</f>
        <v>0.124113475177305</v>
      </c>
      <c r="F528" s="5">
        <f>(pima_data!F528-MIN(pima_data!$F$1:$F$768))/(MAX(pima_data!$F$1:$F$768)-MIN(pima_data!$F$1:$F$768))</f>
        <v>0.391952309985097</v>
      </c>
      <c r="G528" s="5">
        <f>(pima_data!G528-MIN(pima_data!$G$1:$G$768))/(MAX(pima_data!$G$1:$G$768)-MIN(pima_data!$G$1:$G$768))</f>
        <v>0.0123825789923143</v>
      </c>
      <c r="H528" s="5">
        <f>(pima_data!H528-MIN(pima_data!$H$1:$H$768))/(MAX(pima_data!$H$1:$H$768)-MIN(pima_data!$H$1:$H$768))</f>
        <v>0.05</v>
      </c>
    </row>
    <row r="529" spans="1:8">
      <c r="A529" s="5">
        <f>(pima_data!A529-MIN(pima_data!$A$1:$A$768))/(MAX(pima_data!$A$1:$A$768)-MIN(pima_data!$A$1:$A$768))</f>
        <v>0</v>
      </c>
      <c r="B529" s="5">
        <f>(pima_data!B529-MIN(pima_data!$B$1:$B$768))/(MAX(pima_data!$B$1:$B$768)-MIN(pima_data!$B$1:$B$768))</f>
        <v>0.587939698492462</v>
      </c>
      <c r="C529" s="5">
        <f>(pima_data!C529-MIN(pima_data!$C$1:$C$768))/(MAX(pima_data!$C$1:$C$768)-MIN(pima_data!$C$1:$C$768))</f>
        <v>0.540983606557377</v>
      </c>
      <c r="D529" s="5">
        <f>(pima_data!D529-MIN(pima_data!$D$1:$D$768))/(MAX(pima_data!$D$1:$D$768)-MIN(pima_data!$D$1:$D$768))</f>
        <v>0.313131313131313</v>
      </c>
      <c r="E529" s="5">
        <f>(pima_data!E529-MIN(pima_data!$E$1:$E$768))/(MAX(pima_data!$E$1:$E$768)-MIN(pima_data!$E$1:$E$768))</f>
        <v>0.222222222222222</v>
      </c>
      <c r="F529" s="5">
        <f>(pima_data!F529-MIN(pima_data!$F$1:$F$768))/(MAX(pima_data!$F$1:$F$768)-MIN(pima_data!$F$1:$F$768))</f>
        <v>0.459016393442623</v>
      </c>
      <c r="G529" s="5">
        <f>(pima_data!G529-MIN(pima_data!$G$1:$G$768))/(MAX(pima_data!$G$1:$G$768)-MIN(pima_data!$G$1:$G$768))</f>
        <v>0.177198975234842</v>
      </c>
      <c r="H529" s="5">
        <f>(pima_data!H529-MIN(pima_data!$H$1:$H$768))/(MAX(pima_data!$H$1:$H$768)-MIN(pima_data!$H$1:$H$768))</f>
        <v>0.0166666666666667</v>
      </c>
    </row>
    <row r="530" spans="1:8">
      <c r="A530" s="5">
        <f>(pima_data!A530-MIN(pima_data!$A$1:$A$768))/(MAX(pima_data!$A$1:$A$768)-MIN(pima_data!$A$1:$A$768))</f>
        <v>0</v>
      </c>
      <c r="B530" s="5">
        <f>(pima_data!B530-MIN(pima_data!$B$1:$B$768))/(MAX(pima_data!$B$1:$B$768)-MIN(pima_data!$B$1:$B$768))</f>
        <v>0.557788944723618</v>
      </c>
      <c r="C530" s="5">
        <f>(pima_data!C530-MIN(pima_data!$C$1:$C$768))/(MAX(pima_data!$C$1:$C$768)-MIN(pima_data!$C$1:$C$768))</f>
        <v>0.532786885245902</v>
      </c>
      <c r="D530" s="5">
        <f>(pima_data!D530-MIN(pima_data!$D$1:$D$768))/(MAX(pima_data!$D$1:$D$768)-MIN(pima_data!$D$1:$D$768))</f>
        <v>0</v>
      </c>
      <c r="E530" s="5">
        <f>(pima_data!E530-MIN(pima_data!$E$1:$E$768))/(MAX(pima_data!$E$1:$E$768)-MIN(pima_data!$E$1:$E$768))</f>
        <v>0</v>
      </c>
      <c r="F530" s="5">
        <f>(pima_data!F530-MIN(pima_data!$F$1:$F$768))/(MAX(pima_data!$F$1:$F$768)-MIN(pima_data!$F$1:$F$768))</f>
        <v>0.366616989567809</v>
      </c>
      <c r="G530" s="5">
        <f>(pima_data!G530-MIN(pima_data!$G$1:$G$768))/(MAX(pima_data!$G$1:$G$768)-MIN(pima_data!$G$1:$G$768))</f>
        <v>0.248505550811272</v>
      </c>
      <c r="H530" s="5">
        <f>(pima_data!H530-MIN(pima_data!$H$1:$H$768))/(MAX(pima_data!$H$1:$H$768)-MIN(pima_data!$H$1:$H$768))</f>
        <v>0.166666666666667</v>
      </c>
    </row>
    <row r="531" spans="1:8">
      <c r="A531" s="5">
        <f>(pima_data!A531-MIN(pima_data!$A$1:$A$768))/(MAX(pima_data!$A$1:$A$768)-MIN(pima_data!$A$1:$A$768))</f>
        <v>0.117647058823529</v>
      </c>
      <c r="B531" s="5">
        <f>(pima_data!B531-MIN(pima_data!$B$1:$B$768))/(MAX(pima_data!$B$1:$B$768)-MIN(pima_data!$B$1:$B$768))</f>
        <v>0.613065326633166</v>
      </c>
      <c r="C531" s="5">
        <f>(pima_data!C531-MIN(pima_data!$C$1:$C$768))/(MAX(pima_data!$C$1:$C$768)-MIN(pima_data!$C$1:$C$768))</f>
        <v>0.491803278688525</v>
      </c>
      <c r="D531" s="5">
        <f>(pima_data!D531-MIN(pima_data!$D$1:$D$768))/(MAX(pima_data!$D$1:$D$768)-MIN(pima_data!$D$1:$D$768))</f>
        <v>0.181818181818182</v>
      </c>
      <c r="E531" s="5">
        <f>(pima_data!E531-MIN(pima_data!$E$1:$E$768))/(MAX(pima_data!$E$1:$E$768)-MIN(pima_data!$E$1:$E$768))</f>
        <v>0.125295508274232</v>
      </c>
      <c r="F531" s="5">
        <f>(pima_data!F531-MIN(pima_data!$F$1:$F$768))/(MAX(pima_data!$F$1:$F$768)-MIN(pima_data!$F$1:$F$768))</f>
        <v>0.444113263785395</v>
      </c>
      <c r="G531" s="5">
        <f>(pima_data!G531-MIN(pima_data!$G$1:$G$768))/(MAX(pima_data!$G$1:$G$768)-MIN(pima_data!$G$1:$G$768))</f>
        <v>0.272843723313407</v>
      </c>
      <c r="H531" s="5">
        <f>(pima_data!H531-MIN(pima_data!$H$1:$H$768))/(MAX(pima_data!$H$1:$H$768)-MIN(pima_data!$H$1:$H$768))</f>
        <v>0.0166666666666667</v>
      </c>
    </row>
    <row r="532" spans="1:8">
      <c r="A532" s="5">
        <f>(pima_data!A532-MIN(pima_data!$A$1:$A$768))/(MAX(pima_data!$A$1:$A$768)-MIN(pima_data!$A$1:$A$768))</f>
        <v>0</v>
      </c>
      <c r="B532" s="5">
        <f>(pima_data!B532-MIN(pima_data!$B$1:$B$768))/(MAX(pima_data!$B$1:$B$768)-MIN(pima_data!$B$1:$B$768))</f>
        <v>0.537688442211055</v>
      </c>
      <c r="C532" s="5">
        <f>(pima_data!C532-MIN(pima_data!$C$1:$C$768))/(MAX(pima_data!$C$1:$C$768)-MIN(pima_data!$C$1:$C$768))</f>
        <v>0.622950819672131</v>
      </c>
      <c r="D532" s="5">
        <f>(pima_data!D532-MIN(pima_data!$D$1:$D$768))/(MAX(pima_data!$D$1:$D$768)-MIN(pima_data!$D$1:$D$768))</f>
        <v>0</v>
      </c>
      <c r="E532" s="5">
        <f>(pima_data!E532-MIN(pima_data!$E$1:$E$768))/(MAX(pima_data!$E$1:$E$768)-MIN(pima_data!$E$1:$E$768))</f>
        <v>0</v>
      </c>
      <c r="F532" s="5">
        <f>(pima_data!F532-MIN(pima_data!$F$1:$F$768))/(MAX(pima_data!$F$1:$F$768)-MIN(pima_data!$F$1:$F$768))</f>
        <v>0.675111773472429</v>
      </c>
      <c r="G532" s="5">
        <f>(pima_data!G532-MIN(pima_data!$G$1:$G$768))/(MAX(pima_data!$G$1:$G$768)-MIN(pima_data!$G$1:$G$768))</f>
        <v>0.259607173356106</v>
      </c>
      <c r="H532" s="5">
        <f>(pima_data!H532-MIN(pima_data!$H$1:$H$768))/(MAX(pima_data!$H$1:$H$768)-MIN(pima_data!$H$1:$H$768))</f>
        <v>0.05</v>
      </c>
    </row>
    <row r="533" spans="1:8">
      <c r="A533" s="5">
        <f>(pima_data!A533-MIN(pima_data!$A$1:$A$768))/(MAX(pima_data!$A$1:$A$768)-MIN(pima_data!$A$1:$A$768))</f>
        <v>0.0588235294117647</v>
      </c>
      <c r="B533" s="5">
        <f>(pima_data!B533-MIN(pima_data!$B$1:$B$768))/(MAX(pima_data!$B$1:$B$768)-MIN(pima_data!$B$1:$B$768))</f>
        <v>0.4321608040201</v>
      </c>
      <c r="C533" s="5">
        <f>(pima_data!C533-MIN(pima_data!$C$1:$C$768))/(MAX(pima_data!$C$1:$C$768)-MIN(pima_data!$C$1:$C$768))</f>
        <v>0.540983606557377</v>
      </c>
      <c r="D533" s="5">
        <f>(pima_data!D533-MIN(pima_data!$D$1:$D$768))/(MAX(pima_data!$D$1:$D$768)-MIN(pima_data!$D$1:$D$768))</f>
        <v>0.525252525252525</v>
      </c>
      <c r="E533" s="5">
        <f>(pima_data!E533-MIN(pima_data!$E$1:$E$768))/(MAX(pima_data!$E$1:$E$768)-MIN(pima_data!$E$1:$E$768))</f>
        <v>0.0768321513002364</v>
      </c>
      <c r="F533" s="5">
        <f>(pima_data!F533-MIN(pima_data!$F$1:$F$768))/(MAX(pima_data!$F$1:$F$768)-MIN(pima_data!$F$1:$F$768))</f>
        <v>0.615499254843517</v>
      </c>
      <c r="G533" s="5">
        <f>(pima_data!G533-MIN(pima_data!$G$1:$G$768))/(MAX(pima_data!$G$1:$G$768)-MIN(pima_data!$G$1:$G$768))</f>
        <v>0.358240819812126</v>
      </c>
      <c r="H533" s="5">
        <f>(pima_data!H533-MIN(pima_data!$H$1:$H$768))/(MAX(pima_data!$H$1:$H$768)-MIN(pima_data!$H$1:$H$768))</f>
        <v>0.133333333333333</v>
      </c>
    </row>
    <row r="534" spans="1:8">
      <c r="A534" s="5">
        <f>(pima_data!A534-MIN(pima_data!$A$1:$A$768))/(MAX(pima_data!$A$1:$A$768)-MIN(pima_data!$A$1:$A$768))</f>
        <v>0.352941176470588</v>
      </c>
      <c r="B534" s="5">
        <f>(pima_data!B534-MIN(pima_data!$B$1:$B$768))/(MAX(pima_data!$B$1:$B$768)-MIN(pima_data!$B$1:$B$768))</f>
        <v>0.457286432160804</v>
      </c>
      <c r="C534" s="5">
        <f>(pima_data!C534-MIN(pima_data!$C$1:$C$768))/(MAX(pima_data!$C$1:$C$768)-MIN(pima_data!$C$1:$C$768))</f>
        <v>0</v>
      </c>
      <c r="D534" s="5">
        <f>(pima_data!D534-MIN(pima_data!$D$1:$D$768))/(MAX(pima_data!$D$1:$D$768)-MIN(pima_data!$D$1:$D$768))</f>
        <v>0</v>
      </c>
      <c r="E534" s="5">
        <f>(pima_data!E534-MIN(pima_data!$E$1:$E$768))/(MAX(pima_data!$E$1:$E$768)-MIN(pima_data!$E$1:$E$768))</f>
        <v>0</v>
      </c>
      <c r="F534" s="5">
        <f>(pima_data!F534-MIN(pima_data!$F$1:$F$768))/(MAX(pima_data!$F$1:$F$768)-MIN(pima_data!$F$1:$F$768))</f>
        <v>0.444113263785395</v>
      </c>
      <c r="G534" s="5">
        <f>(pima_data!G534-MIN(pima_data!$G$1:$G$768))/(MAX(pima_data!$G$1:$G$768)-MIN(pima_data!$G$1:$G$768))</f>
        <v>0.180614859094791</v>
      </c>
      <c r="H534" s="5">
        <f>(pima_data!H534-MIN(pima_data!$H$1:$H$768))/(MAX(pima_data!$H$1:$H$768)-MIN(pima_data!$H$1:$H$768))</f>
        <v>0.166666666666667</v>
      </c>
    </row>
    <row r="535" spans="1:8">
      <c r="A535" s="5">
        <f>(pima_data!A535-MIN(pima_data!$A$1:$A$768))/(MAX(pima_data!$A$1:$A$768)-MIN(pima_data!$A$1:$A$768))</f>
        <v>0.0588235294117647</v>
      </c>
      <c r="B535" s="5">
        <f>(pima_data!B535-MIN(pima_data!$B$1:$B$768))/(MAX(pima_data!$B$1:$B$768)-MIN(pima_data!$B$1:$B$768))</f>
        <v>0.386934673366834</v>
      </c>
      <c r="C535" s="5">
        <f>(pima_data!C535-MIN(pima_data!$C$1:$C$768))/(MAX(pima_data!$C$1:$C$768)-MIN(pima_data!$C$1:$C$768))</f>
        <v>0.459016393442623</v>
      </c>
      <c r="D535" s="5">
        <f>(pima_data!D535-MIN(pima_data!$D$1:$D$768))/(MAX(pima_data!$D$1:$D$768)-MIN(pima_data!$D$1:$D$768))</f>
        <v>0.303030303030303</v>
      </c>
      <c r="E535" s="5">
        <f>(pima_data!E535-MIN(pima_data!$E$1:$E$768))/(MAX(pima_data!$E$1:$E$768)-MIN(pima_data!$E$1:$E$768))</f>
        <v>0.066193853427896</v>
      </c>
      <c r="F535" s="5">
        <f>(pima_data!F535-MIN(pima_data!$F$1:$F$768))/(MAX(pima_data!$F$1:$F$768)-MIN(pima_data!$F$1:$F$768))</f>
        <v>0.496274217585693</v>
      </c>
      <c r="G535" s="5">
        <f>(pima_data!G535-MIN(pima_data!$G$1:$G$768))/(MAX(pima_data!$G$1:$G$768)-MIN(pima_data!$G$1:$G$768))</f>
        <v>0.500853970964987</v>
      </c>
      <c r="H535" s="5">
        <f>(pima_data!H535-MIN(pima_data!$H$1:$H$768))/(MAX(pima_data!$H$1:$H$768)-MIN(pima_data!$H$1:$H$768))</f>
        <v>0.05</v>
      </c>
    </row>
    <row r="536" spans="1:8">
      <c r="A536" s="5">
        <f>(pima_data!A536-MIN(pima_data!$A$1:$A$768))/(MAX(pima_data!$A$1:$A$768)-MIN(pima_data!$A$1:$A$768))</f>
        <v>0.235294117647059</v>
      </c>
      <c r="B536" s="5">
        <f>(pima_data!B536-MIN(pima_data!$B$1:$B$768))/(MAX(pima_data!$B$1:$B$768)-MIN(pima_data!$B$1:$B$768))</f>
        <v>0.663316582914573</v>
      </c>
      <c r="C536" s="5">
        <f>(pima_data!C536-MIN(pima_data!$C$1:$C$768))/(MAX(pima_data!$C$1:$C$768)-MIN(pima_data!$C$1:$C$768))</f>
        <v>0</v>
      </c>
      <c r="D536" s="5">
        <f>(pima_data!D536-MIN(pima_data!$D$1:$D$768))/(MAX(pima_data!$D$1:$D$768)-MIN(pima_data!$D$1:$D$768))</f>
        <v>0</v>
      </c>
      <c r="E536" s="5">
        <f>(pima_data!E536-MIN(pima_data!$E$1:$E$768))/(MAX(pima_data!$E$1:$E$768)-MIN(pima_data!$E$1:$E$768))</f>
        <v>0</v>
      </c>
      <c r="F536" s="5">
        <f>(pima_data!F536-MIN(pima_data!$F$1:$F$768))/(MAX(pima_data!$F$1:$F$768)-MIN(pima_data!$F$1:$F$768))</f>
        <v>0.490312965722802</v>
      </c>
      <c r="G536" s="5">
        <f>(pima_data!G536-MIN(pima_data!$G$1:$G$768))/(MAX(pima_data!$G$1:$G$768)-MIN(pima_data!$G$1:$G$768))</f>
        <v>0.0956447480785653</v>
      </c>
      <c r="H536" s="5">
        <f>(pima_data!H536-MIN(pima_data!$H$1:$H$768))/(MAX(pima_data!$H$1:$H$768)-MIN(pima_data!$H$1:$H$768))</f>
        <v>0.0333333333333333</v>
      </c>
    </row>
    <row r="537" spans="1:8">
      <c r="A537" s="5">
        <f>(pima_data!A537-MIN(pima_data!$A$1:$A$768))/(MAX(pima_data!$A$1:$A$768)-MIN(pima_data!$A$1:$A$768))</f>
        <v>0</v>
      </c>
      <c r="B537" s="5">
        <f>(pima_data!B537-MIN(pima_data!$B$1:$B$768))/(MAX(pima_data!$B$1:$B$768)-MIN(pima_data!$B$1:$B$768))</f>
        <v>0.527638190954774</v>
      </c>
      <c r="C537" s="5">
        <f>(pima_data!C537-MIN(pima_data!$C$1:$C$768))/(MAX(pima_data!$C$1:$C$768)-MIN(pima_data!$C$1:$C$768))</f>
        <v>0.737704918032787</v>
      </c>
      <c r="D537" s="5">
        <f>(pima_data!D537-MIN(pima_data!$D$1:$D$768))/(MAX(pima_data!$D$1:$D$768)-MIN(pima_data!$D$1:$D$768))</f>
        <v>0</v>
      </c>
      <c r="E537" s="5">
        <f>(pima_data!E537-MIN(pima_data!$E$1:$E$768))/(MAX(pima_data!$E$1:$E$768)-MIN(pima_data!$E$1:$E$768))</f>
        <v>0</v>
      </c>
      <c r="F537" s="5">
        <f>(pima_data!F537-MIN(pima_data!$F$1:$F$768))/(MAX(pima_data!$F$1:$F$768)-MIN(pima_data!$F$1:$F$768))</f>
        <v>0.441132637853949</v>
      </c>
      <c r="G537" s="5">
        <f>(pima_data!G537-MIN(pima_data!$G$1:$G$768))/(MAX(pima_data!$G$1:$G$768)-MIN(pima_data!$G$1:$G$768))</f>
        <v>0.0508112724167378</v>
      </c>
      <c r="H537" s="5">
        <f>(pima_data!H537-MIN(pima_data!$H$1:$H$768))/(MAX(pima_data!$H$1:$H$768)-MIN(pima_data!$H$1:$H$768))</f>
        <v>0.416666666666667</v>
      </c>
    </row>
    <row r="538" spans="1:8">
      <c r="A538" s="5">
        <f>(pima_data!A538-MIN(pima_data!$A$1:$A$768))/(MAX(pima_data!$A$1:$A$768)-MIN(pima_data!$A$1:$A$768))</f>
        <v>0</v>
      </c>
      <c r="B538" s="5">
        <f>(pima_data!B538-MIN(pima_data!$B$1:$B$768))/(MAX(pima_data!$B$1:$B$768)-MIN(pima_data!$B$1:$B$768))</f>
        <v>0.28643216080402</v>
      </c>
      <c r="C538" s="5">
        <f>(pima_data!C538-MIN(pima_data!$C$1:$C$768))/(MAX(pima_data!$C$1:$C$768)-MIN(pima_data!$C$1:$C$768))</f>
        <v>0.491803278688525</v>
      </c>
      <c r="D538" s="5">
        <f>(pima_data!D538-MIN(pima_data!$D$1:$D$768))/(MAX(pima_data!$D$1:$D$768)-MIN(pima_data!$D$1:$D$768))</f>
        <v>0</v>
      </c>
      <c r="E538" s="5">
        <f>(pima_data!E538-MIN(pima_data!$E$1:$E$768))/(MAX(pima_data!$E$1:$E$768)-MIN(pima_data!$E$1:$E$768))</f>
        <v>0</v>
      </c>
      <c r="F538" s="5">
        <f>(pima_data!F538-MIN(pima_data!$F$1:$F$768))/(MAX(pima_data!$F$1:$F$768)-MIN(pima_data!$F$1:$F$768))</f>
        <v>0.323397913561848</v>
      </c>
      <c r="G538" s="5">
        <f>(pima_data!G538-MIN(pima_data!$G$1:$G$768))/(MAX(pima_data!$G$1:$G$768)-MIN(pima_data!$G$1:$G$768))</f>
        <v>0.280529461998292</v>
      </c>
      <c r="H538" s="5">
        <f>(pima_data!H538-MIN(pima_data!$H$1:$H$768))/(MAX(pima_data!$H$1:$H$768)-MIN(pima_data!$H$1:$H$768))</f>
        <v>0.766666666666667</v>
      </c>
    </row>
    <row r="539" spans="1:8">
      <c r="A539" s="5">
        <f>(pima_data!A539-MIN(pima_data!$A$1:$A$768))/(MAX(pima_data!$A$1:$A$768)-MIN(pima_data!$A$1:$A$768))</f>
        <v>0</v>
      </c>
      <c r="B539" s="5">
        <f>(pima_data!B539-MIN(pima_data!$B$1:$B$768))/(MAX(pima_data!$B$1:$B$768)-MIN(pima_data!$B$1:$B$768))</f>
        <v>0.638190954773869</v>
      </c>
      <c r="C539" s="5">
        <f>(pima_data!C539-MIN(pima_data!$C$1:$C$768))/(MAX(pima_data!$C$1:$C$768)-MIN(pima_data!$C$1:$C$768))</f>
        <v>0.655737704918033</v>
      </c>
      <c r="D539" s="5">
        <f>(pima_data!D539-MIN(pima_data!$D$1:$D$768))/(MAX(pima_data!$D$1:$D$768)-MIN(pima_data!$D$1:$D$768))</f>
        <v>0.373737373737374</v>
      </c>
      <c r="E539" s="5">
        <f>(pima_data!E539-MIN(pima_data!$E$1:$E$768))/(MAX(pima_data!$E$1:$E$768)-MIN(pima_data!$E$1:$E$768))</f>
        <v>0.24822695035461</v>
      </c>
      <c r="F539" s="5">
        <f>(pima_data!F539-MIN(pima_data!$F$1:$F$768))/(MAX(pima_data!$F$1:$F$768)-MIN(pima_data!$F$1:$F$768))</f>
        <v>0.540983606557377</v>
      </c>
      <c r="G539" s="5">
        <f>(pima_data!G539-MIN(pima_data!$G$1:$G$768))/(MAX(pima_data!$G$1:$G$768)-MIN(pima_data!$G$1:$G$768))</f>
        <v>0.30999146029035</v>
      </c>
      <c r="H539" s="5">
        <f>(pima_data!H539-MIN(pima_data!$H$1:$H$768))/(MAX(pima_data!$H$1:$H$768)-MIN(pima_data!$H$1:$H$768))</f>
        <v>0.0333333333333333</v>
      </c>
    </row>
    <row r="540" spans="1:8">
      <c r="A540" s="5">
        <f>(pima_data!A540-MIN(pima_data!$A$1:$A$768))/(MAX(pima_data!$A$1:$A$768)-MIN(pima_data!$A$1:$A$768))</f>
        <v>0.176470588235294</v>
      </c>
      <c r="B540" s="5">
        <f>(pima_data!B540-MIN(pima_data!$B$1:$B$768))/(MAX(pima_data!$B$1:$B$768)-MIN(pima_data!$B$1:$B$768))</f>
        <v>0.648241206030151</v>
      </c>
      <c r="C540" s="5">
        <f>(pima_data!C540-MIN(pima_data!$C$1:$C$768))/(MAX(pima_data!$C$1:$C$768)-MIN(pima_data!$C$1:$C$768))</f>
        <v>0.754098360655738</v>
      </c>
      <c r="D540" s="5">
        <f>(pima_data!D540-MIN(pima_data!$D$1:$D$768))/(MAX(pima_data!$D$1:$D$768)-MIN(pima_data!$D$1:$D$768))</f>
        <v>0.494949494949495</v>
      </c>
      <c r="E540" s="5">
        <f>(pima_data!E540-MIN(pima_data!$E$1:$E$768))/(MAX(pima_data!$E$1:$E$768)-MIN(pima_data!$E$1:$E$768))</f>
        <v>0.183215130023641</v>
      </c>
      <c r="F540" s="5">
        <f>(pima_data!F540-MIN(pima_data!$F$1:$F$768))/(MAX(pima_data!$F$1:$F$768)-MIN(pima_data!$F$1:$F$768))</f>
        <v>0.5424739195231</v>
      </c>
      <c r="G540" s="5">
        <f>(pima_data!G540-MIN(pima_data!$G$1:$G$768))/(MAX(pima_data!$G$1:$G$768)-MIN(pima_data!$G$1:$G$768))</f>
        <v>0.3800170794193</v>
      </c>
      <c r="H540" s="5">
        <f>(pima_data!H540-MIN(pima_data!$H$1:$H$768))/(MAX(pima_data!$H$1:$H$768)-MIN(pima_data!$H$1:$H$768))</f>
        <v>0.183333333333333</v>
      </c>
    </row>
    <row r="541" spans="1:8">
      <c r="A541" s="5">
        <f>(pima_data!A541-MIN(pima_data!$A$1:$A$768))/(MAX(pima_data!$A$1:$A$768)-MIN(pima_data!$A$1:$A$768))</f>
        <v>0.470588235294118</v>
      </c>
      <c r="B541" s="5">
        <f>(pima_data!B541-MIN(pima_data!$B$1:$B$768))/(MAX(pima_data!$B$1:$B$768)-MIN(pima_data!$B$1:$B$768))</f>
        <v>0.50251256281407</v>
      </c>
      <c r="C541" s="5">
        <f>(pima_data!C541-MIN(pima_data!$C$1:$C$768))/(MAX(pima_data!$C$1:$C$768)-MIN(pima_data!$C$1:$C$768))</f>
        <v>0.60655737704918</v>
      </c>
      <c r="D541" s="5">
        <f>(pima_data!D541-MIN(pima_data!$D$1:$D$768))/(MAX(pima_data!$D$1:$D$768)-MIN(pima_data!$D$1:$D$768))</f>
        <v>0.404040404040404</v>
      </c>
      <c r="E541" s="5">
        <f>(pima_data!E541-MIN(pima_data!$E$1:$E$768))/(MAX(pima_data!$E$1:$E$768)-MIN(pima_data!$E$1:$E$768))</f>
        <v>0.254137115839243</v>
      </c>
      <c r="F541" s="5">
        <f>(pima_data!F541-MIN(pima_data!$F$1:$F$768))/(MAX(pima_data!$F$1:$F$768)-MIN(pima_data!$F$1:$F$768))</f>
        <v>0.587183308494784</v>
      </c>
      <c r="G541" s="5">
        <f>(pima_data!G541-MIN(pima_data!$G$1:$G$768))/(MAX(pima_data!$G$1:$G$768)-MIN(pima_data!$G$1:$G$768))</f>
        <v>0.248932536293766</v>
      </c>
      <c r="H541" s="5">
        <f>(pima_data!H541-MIN(pima_data!$H$1:$H$768))/(MAX(pima_data!$H$1:$H$768)-MIN(pima_data!$H$1:$H$768))</f>
        <v>0.366666666666667</v>
      </c>
    </row>
    <row r="542" spans="1:8">
      <c r="A542" s="5">
        <f>(pima_data!A542-MIN(pima_data!$A$1:$A$768))/(MAX(pima_data!$A$1:$A$768)-MIN(pima_data!$A$1:$A$768))</f>
        <v>0.176470588235294</v>
      </c>
      <c r="B542" s="5">
        <f>(pima_data!B542-MIN(pima_data!$B$1:$B$768))/(MAX(pima_data!$B$1:$B$768)-MIN(pima_data!$B$1:$B$768))</f>
        <v>0.64321608040201</v>
      </c>
      <c r="C542" s="5">
        <f>(pima_data!C542-MIN(pima_data!$C$1:$C$768))/(MAX(pima_data!$C$1:$C$768)-MIN(pima_data!$C$1:$C$768))</f>
        <v>0.590163934426229</v>
      </c>
      <c r="D542" s="5">
        <f>(pima_data!D542-MIN(pima_data!$D$1:$D$768))/(MAX(pima_data!$D$1:$D$768)-MIN(pima_data!$D$1:$D$768))</f>
        <v>0.252525252525253</v>
      </c>
      <c r="E542" s="5">
        <f>(pima_data!E542-MIN(pima_data!$E$1:$E$768))/(MAX(pima_data!$E$1:$E$768)-MIN(pima_data!$E$1:$E$768))</f>
        <v>0.224586288416076</v>
      </c>
      <c r="F542" s="5">
        <f>(pima_data!F542-MIN(pima_data!$F$1:$F$768))/(MAX(pima_data!$F$1:$F$768)-MIN(pima_data!$F$1:$F$768))</f>
        <v>0.482861400894188</v>
      </c>
      <c r="G542" s="5">
        <f>(pima_data!G542-MIN(pima_data!$G$1:$G$768))/(MAX(pima_data!$G$1:$G$768)-MIN(pima_data!$G$1:$G$768))</f>
        <v>0.201110162254483</v>
      </c>
      <c r="H542" s="5">
        <f>(pima_data!H542-MIN(pima_data!$H$1:$H$768))/(MAX(pima_data!$H$1:$H$768)-MIN(pima_data!$H$1:$H$768))</f>
        <v>0.1</v>
      </c>
    </row>
    <row r="543" spans="1:8">
      <c r="A543" s="5">
        <f>(pima_data!A543-MIN(pima_data!$A$1:$A$768))/(MAX(pima_data!$A$1:$A$768)-MIN(pima_data!$A$1:$A$768))</f>
        <v>0.588235294117647</v>
      </c>
      <c r="B543" s="5">
        <f>(pima_data!B543-MIN(pima_data!$B$1:$B$768))/(MAX(pima_data!$B$1:$B$768)-MIN(pima_data!$B$1:$B$768))</f>
        <v>0.452261306532663</v>
      </c>
      <c r="C543" s="5">
        <f>(pima_data!C543-MIN(pima_data!$C$1:$C$768))/(MAX(pima_data!$C$1:$C$768)-MIN(pima_data!$C$1:$C$768))</f>
        <v>0.69672131147541</v>
      </c>
      <c r="D543" s="5">
        <f>(pima_data!D543-MIN(pima_data!$D$1:$D$768))/(MAX(pima_data!$D$1:$D$768)-MIN(pima_data!$D$1:$D$768))</f>
        <v>0.323232323232323</v>
      </c>
      <c r="E543" s="5">
        <f>(pima_data!E543-MIN(pima_data!$E$1:$E$768))/(MAX(pima_data!$E$1:$E$768)-MIN(pima_data!$E$1:$E$768))</f>
        <v>0</v>
      </c>
      <c r="F543" s="5">
        <f>(pima_data!F543-MIN(pima_data!$F$1:$F$768))/(MAX(pima_data!$F$1:$F$768)-MIN(pima_data!$F$1:$F$768))</f>
        <v>0.520119225037258</v>
      </c>
      <c r="G543" s="5">
        <f>(pima_data!G543-MIN(pima_data!$G$1:$G$768))/(MAX(pima_data!$G$1:$G$768)-MIN(pima_data!$G$1:$G$768))</f>
        <v>0.318958155422716</v>
      </c>
      <c r="H543" s="5">
        <f>(pima_data!H543-MIN(pima_data!$H$1:$H$768))/(MAX(pima_data!$H$1:$H$768)-MIN(pima_data!$H$1:$H$768))</f>
        <v>0.583333333333333</v>
      </c>
    </row>
    <row r="544" spans="1:8">
      <c r="A544" s="5">
        <f>(pima_data!A544-MIN(pima_data!$A$1:$A$768))/(MAX(pima_data!$A$1:$A$768)-MIN(pima_data!$A$1:$A$768))</f>
        <v>0.235294117647059</v>
      </c>
      <c r="B544" s="5">
        <f>(pima_data!B544-MIN(pima_data!$B$1:$B$768))/(MAX(pima_data!$B$1:$B$768)-MIN(pima_data!$B$1:$B$768))</f>
        <v>0.422110552763819</v>
      </c>
      <c r="C544" s="5">
        <f>(pima_data!C544-MIN(pima_data!$C$1:$C$768))/(MAX(pima_data!$C$1:$C$768)-MIN(pima_data!$C$1:$C$768))</f>
        <v>0.737704918032787</v>
      </c>
      <c r="D544" s="5">
        <f>(pima_data!D544-MIN(pima_data!$D$1:$D$768))/(MAX(pima_data!$D$1:$D$768)-MIN(pima_data!$D$1:$D$768))</f>
        <v>0.232323232323232</v>
      </c>
      <c r="E544" s="5">
        <f>(pima_data!E544-MIN(pima_data!$E$1:$E$768))/(MAX(pima_data!$E$1:$E$768)-MIN(pima_data!$E$1:$E$768))</f>
        <v>0.066193853427896</v>
      </c>
      <c r="F544" s="5">
        <f>(pima_data!F544-MIN(pima_data!$F$1:$F$768))/(MAX(pima_data!$F$1:$F$768)-MIN(pima_data!$F$1:$F$768))</f>
        <v>0.588673621460507</v>
      </c>
      <c r="G544" s="5">
        <f>(pima_data!G544-MIN(pima_data!$G$1:$G$768))/(MAX(pima_data!$G$1:$G$768)-MIN(pima_data!$G$1:$G$768))</f>
        <v>0.0345858240819812</v>
      </c>
      <c r="H544" s="5">
        <f>(pima_data!H544-MIN(pima_data!$H$1:$H$768))/(MAX(pima_data!$H$1:$H$768)-MIN(pima_data!$H$1:$H$768))</f>
        <v>0.0666666666666667</v>
      </c>
    </row>
    <row r="545" spans="1:8">
      <c r="A545" s="5">
        <f>(pima_data!A545-MIN(pima_data!$A$1:$A$768))/(MAX(pima_data!$A$1:$A$768)-MIN(pima_data!$A$1:$A$768))</f>
        <v>0.0588235294117647</v>
      </c>
      <c r="B545" s="5">
        <f>(pima_data!B545-MIN(pima_data!$B$1:$B$768))/(MAX(pima_data!$B$1:$B$768)-MIN(pima_data!$B$1:$B$768))</f>
        <v>0.442211055276382</v>
      </c>
      <c r="C545" s="5">
        <f>(pima_data!C545-MIN(pima_data!$C$1:$C$768))/(MAX(pima_data!$C$1:$C$768)-MIN(pima_data!$C$1:$C$768))</f>
        <v>0.639344262295082</v>
      </c>
      <c r="D545" s="5">
        <f>(pima_data!D545-MIN(pima_data!$D$1:$D$768))/(MAX(pima_data!$D$1:$D$768)-MIN(pima_data!$D$1:$D$768))</f>
        <v>0.292929292929293</v>
      </c>
      <c r="E545" s="5">
        <f>(pima_data!E545-MIN(pima_data!$E$1:$E$768))/(MAX(pima_data!$E$1:$E$768)-MIN(pima_data!$E$1:$E$768))</f>
        <v>0.0898345153664303</v>
      </c>
      <c r="F545" s="5">
        <f>(pima_data!F545-MIN(pima_data!$F$1:$F$768))/(MAX(pima_data!$F$1:$F$768)-MIN(pima_data!$F$1:$F$768))</f>
        <v>0.476900149031297</v>
      </c>
      <c r="G545" s="5">
        <f>(pima_data!G545-MIN(pima_data!$G$1:$G$768))/(MAX(pima_data!$G$1:$G$768)-MIN(pima_data!$G$1:$G$768))</f>
        <v>0.122544833475662</v>
      </c>
      <c r="H545" s="5">
        <f>(pima_data!H545-MIN(pima_data!$H$1:$H$768))/(MAX(pima_data!$H$1:$H$768)-MIN(pima_data!$H$1:$H$768))</f>
        <v>0.133333333333333</v>
      </c>
    </row>
    <row r="546" spans="1:8">
      <c r="A546" s="5">
        <f>(pima_data!A546-MIN(pima_data!$A$1:$A$768))/(MAX(pima_data!$A$1:$A$768)-MIN(pima_data!$A$1:$A$768))</f>
        <v>0.470588235294118</v>
      </c>
      <c r="B546" s="5">
        <f>(pima_data!B546-MIN(pima_data!$B$1:$B$768))/(MAX(pima_data!$B$1:$B$768)-MIN(pima_data!$B$1:$B$768))</f>
        <v>0.934673366834171</v>
      </c>
      <c r="C546" s="5">
        <f>(pima_data!C546-MIN(pima_data!$C$1:$C$768))/(MAX(pima_data!$C$1:$C$768)-MIN(pima_data!$C$1:$C$768))</f>
        <v>0.737704918032787</v>
      </c>
      <c r="D546" s="5">
        <f>(pima_data!D546-MIN(pima_data!$D$1:$D$768))/(MAX(pima_data!$D$1:$D$768)-MIN(pima_data!$D$1:$D$768))</f>
        <v>0.353535353535354</v>
      </c>
      <c r="E546" s="5">
        <f>(pima_data!E546-MIN(pima_data!$E$1:$E$768))/(MAX(pima_data!$E$1:$E$768)-MIN(pima_data!$E$1:$E$768))</f>
        <v>0.265957446808511</v>
      </c>
      <c r="F546" s="5">
        <f>(pima_data!F546-MIN(pima_data!$F$1:$F$768))/(MAX(pima_data!$F$1:$F$768)-MIN(pima_data!$F$1:$F$768))</f>
        <v>0.514157973174367</v>
      </c>
      <c r="G546" s="5">
        <f>(pima_data!G546-MIN(pima_data!$G$1:$G$768))/(MAX(pima_data!$G$1:$G$768)-MIN(pima_data!$G$1:$G$768))</f>
        <v>0.14730999146029</v>
      </c>
      <c r="H546" s="5">
        <f>(pima_data!H546-MIN(pima_data!$H$1:$H$768))/(MAX(pima_data!$H$1:$H$768)-MIN(pima_data!$H$1:$H$768))</f>
        <v>0.266666666666667</v>
      </c>
    </row>
    <row r="547" spans="1:8">
      <c r="A547" s="5">
        <f>(pima_data!A547-MIN(pima_data!$A$1:$A$768))/(MAX(pima_data!$A$1:$A$768)-MIN(pima_data!$A$1:$A$768))</f>
        <v>0.294117647058824</v>
      </c>
      <c r="B547" s="5">
        <f>(pima_data!B547-MIN(pima_data!$B$1:$B$768))/(MAX(pima_data!$B$1:$B$768)-MIN(pima_data!$B$1:$B$768))</f>
        <v>0.939698492462312</v>
      </c>
      <c r="C547" s="5">
        <f>(pima_data!C547-MIN(pima_data!$C$1:$C$768))/(MAX(pima_data!$C$1:$C$768)-MIN(pima_data!$C$1:$C$768))</f>
        <v>0.622950819672131</v>
      </c>
      <c r="D547" s="5">
        <f>(pima_data!D547-MIN(pima_data!$D$1:$D$768))/(MAX(pima_data!$D$1:$D$768)-MIN(pima_data!$D$1:$D$768))</f>
        <v>0.272727272727273</v>
      </c>
      <c r="E547" s="5">
        <f>(pima_data!E547-MIN(pima_data!$E$1:$E$768))/(MAX(pima_data!$E$1:$E$768)-MIN(pima_data!$E$1:$E$768))</f>
        <v>0.24468085106383</v>
      </c>
      <c r="F547" s="5">
        <f>(pima_data!F547-MIN(pima_data!$F$1:$F$768))/(MAX(pima_data!$F$1:$F$768)-MIN(pima_data!$F$1:$F$768))</f>
        <v>0.649776453055142</v>
      </c>
      <c r="G547" s="5">
        <f>(pima_data!G547-MIN(pima_data!$G$1:$G$768))/(MAX(pima_data!$G$1:$G$768)-MIN(pima_data!$G$1:$G$768))</f>
        <v>0.408198121263877</v>
      </c>
      <c r="H547" s="5">
        <f>(pima_data!H547-MIN(pima_data!$H$1:$H$768))/(MAX(pima_data!$H$1:$H$768)-MIN(pima_data!$H$1:$H$768))</f>
        <v>0.533333333333333</v>
      </c>
    </row>
    <row r="548" spans="1:8">
      <c r="A548" s="5">
        <f>(pima_data!A548-MIN(pima_data!$A$1:$A$768))/(MAX(pima_data!$A$1:$A$768)-MIN(pima_data!$A$1:$A$768))</f>
        <v>0.235294117647059</v>
      </c>
      <c r="B548" s="5">
        <f>(pima_data!B548-MIN(pima_data!$B$1:$B$768))/(MAX(pima_data!$B$1:$B$768)-MIN(pima_data!$B$1:$B$768))</f>
        <v>0.658291457286432</v>
      </c>
      <c r="C548" s="5">
        <f>(pima_data!C548-MIN(pima_data!$C$1:$C$768))/(MAX(pima_data!$C$1:$C$768)-MIN(pima_data!$C$1:$C$768))</f>
        <v>0.557377049180328</v>
      </c>
      <c r="D548" s="5">
        <f>(pima_data!D548-MIN(pima_data!$D$1:$D$768))/(MAX(pima_data!$D$1:$D$768)-MIN(pima_data!$D$1:$D$768))</f>
        <v>0.212121212121212</v>
      </c>
      <c r="E548" s="5">
        <f>(pima_data!E548-MIN(pima_data!$E$1:$E$768))/(MAX(pima_data!$E$1:$E$768)-MIN(pima_data!$E$1:$E$768))</f>
        <v>0.196217494089835</v>
      </c>
      <c r="F548" s="5">
        <f>(pima_data!F548-MIN(pima_data!$F$1:$F$768))/(MAX(pima_data!$F$1:$F$768)-MIN(pima_data!$F$1:$F$768))</f>
        <v>0.493293591654247</v>
      </c>
      <c r="G548" s="5">
        <f>(pima_data!G548-MIN(pima_data!$G$1:$G$768))/(MAX(pima_data!$G$1:$G$768)-MIN(pima_data!$G$1:$G$768))</f>
        <v>0.0350128095644748</v>
      </c>
      <c r="H548" s="5">
        <f>(pima_data!H548-MIN(pima_data!$H$1:$H$768))/(MAX(pima_data!$H$1:$H$768)-MIN(pima_data!$H$1:$H$768))</f>
        <v>0.116666666666667</v>
      </c>
    </row>
    <row r="549" spans="1:8">
      <c r="A549" s="5">
        <f>(pima_data!A549-MIN(pima_data!$A$1:$A$768))/(MAX(pima_data!$A$1:$A$768)-MIN(pima_data!$A$1:$A$768))</f>
        <v>0.0588235294117647</v>
      </c>
      <c r="B549" s="5">
        <f>(pima_data!B549-MIN(pima_data!$B$1:$B$768))/(MAX(pima_data!$B$1:$B$768)-MIN(pima_data!$B$1:$B$768))</f>
        <v>0.824120603015075</v>
      </c>
      <c r="C549" s="5">
        <f>(pima_data!C549-MIN(pima_data!$C$1:$C$768))/(MAX(pima_data!$C$1:$C$768)-MIN(pima_data!$C$1:$C$768))</f>
        <v>0.672131147540984</v>
      </c>
      <c r="D549" s="5">
        <f>(pima_data!D549-MIN(pima_data!$D$1:$D$768))/(MAX(pima_data!$D$1:$D$768)-MIN(pima_data!$D$1:$D$768))</f>
        <v>0.434343434343434</v>
      </c>
      <c r="E549" s="5">
        <f>(pima_data!E549-MIN(pima_data!$E$1:$E$768))/(MAX(pima_data!$E$1:$E$768)-MIN(pima_data!$E$1:$E$768))</f>
        <v>0.0791962174940898</v>
      </c>
      <c r="F549" s="5">
        <f>(pima_data!F549-MIN(pima_data!$F$1:$F$768))/(MAX(pima_data!$F$1:$F$768)-MIN(pima_data!$F$1:$F$768))</f>
        <v>0.488822652757079</v>
      </c>
      <c r="G549" s="5">
        <f>(pima_data!G549-MIN(pima_data!$G$1:$G$768))/(MAX(pima_data!$G$1:$G$768)-MIN(pima_data!$G$1:$G$768))</f>
        <v>0.112297181895816</v>
      </c>
      <c r="H549" s="5">
        <f>(pima_data!H549-MIN(pima_data!$H$1:$H$768))/(MAX(pima_data!$H$1:$H$768)-MIN(pima_data!$H$1:$H$768))</f>
        <v>0.483333333333333</v>
      </c>
    </row>
    <row r="550" spans="1:8">
      <c r="A550" s="5">
        <f>(pima_data!A550-MIN(pima_data!$A$1:$A$768))/(MAX(pima_data!$A$1:$A$768)-MIN(pima_data!$A$1:$A$768))</f>
        <v>0.235294117647059</v>
      </c>
      <c r="B550" s="5">
        <f>(pima_data!B550-MIN(pima_data!$B$1:$B$768))/(MAX(pima_data!$B$1:$B$768)-MIN(pima_data!$B$1:$B$768))</f>
        <v>0.949748743718593</v>
      </c>
      <c r="C550" s="5">
        <f>(pima_data!C550-MIN(pima_data!$C$1:$C$768))/(MAX(pima_data!$C$1:$C$768)-MIN(pima_data!$C$1:$C$768))</f>
        <v>0.901639344262295</v>
      </c>
      <c r="D550" s="5">
        <f>(pima_data!D550-MIN(pima_data!$D$1:$D$768))/(MAX(pima_data!$D$1:$D$768)-MIN(pima_data!$D$1:$D$768))</f>
        <v>0.313131313131313</v>
      </c>
      <c r="E550" s="5">
        <f>(pima_data!E550-MIN(pima_data!$E$1:$E$768))/(MAX(pima_data!$E$1:$E$768)-MIN(pima_data!$E$1:$E$768))</f>
        <v>0</v>
      </c>
      <c r="F550" s="5">
        <f>(pima_data!F550-MIN(pima_data!$F$1:$F$768))/(MAX(pima_data!$F$1:$F$768)-MIN(pima_data!$F$1:$F$768))</f>
        <v>0.424739195230999</v>
      </c>
      <c r="G550" s="5">
        <f>(pima_data!G550-MIN(pima_data!$G$1:$G$768))/(MAX(pima_data!$G$1:$G$768)-MIN(pima_data!$G$1:$G$768))</f>
        <v>0.257045260461144</v>
      </c>
      <c r="H550" s="5">
        <f>(pima_data!H550-MIN(pima_data!$H$1:$H$768))/(MAX(pima_data!$H$1:$H$768)-MIN(pima_data!$H$1:$H$768))</f>
        <v>0.266666666666667</v>
      </c>
    </row>
    <row r="551" spans="1:8">
      <c r="A551" s="5">
        <f>(pima_data!A551-MIN(pima_data!$A$1:$A$768))/(MAX(pima_data!$A$1:$A$768)-MIN(pima_data!$A$1:$A$768))</f>
        <v>0.0588235294117647</v>
      </c>
      <c r="B551" s="5">
        <f>(pima_data!B551-MIN(pima_data!$B$1:$B$768))/(MAX(pima_data!$B$1:$B$768)-MIN(pima_data!$B$1:$B$768))</f>
        <v>0.582914572864322</v>
      </c>
      <c r="C551" s="5">
        <f>(pima_data!C551-MIN(pima_data!$C$1:$C$768))/(MAX(pima_data!$C$1:$C$768)-MIN(pima_data!$C$1:$C$768))</f>
        <v>0.573770491803279</v>
      </c>
      <c r="D551" s="5">
        <f>(pima_data!D551-MIN(pima_data!$D$1:$D$768))/(MAX(pima_data!$D$1:$D$768)-MIN(pima_data!$D$1:$D$768))</f>
        <v>0.282828282828283</v>
      </c>
      <c r="E551" s="5">
        <f>(pima_data!E551-MIN(pima_data!$E$1:$E$768))/(MAX(pima_data!$E$1:$E$768)-MIN(pima_data!$E$1:$E$768))</f>
        <v>0</v>
      </c>
      <c r="F551" s="5">
        <f>(pima_data!F551-MIN(pima_data!$F$1:$F$768))/(MAX(pima_data!$F$1:$F$768)-MIN(pima_data!$F$1:$F$768))</f>
        <v>0.408345752608048</v>
      </c>
      <c r="G551" s="5">
        <f>(pima_data!G551-MIN(pima_data!$G$1:$G$768))/(MAX(pima_data!$G$1:$G$768)-MIN(pima_data!$G$1:$G$768))</f>
        <v>0.053800170794193</v>
      </c>
      <c r="H551" s="5">
        <f>(pima_data!H551-MIN(pima_data!$H$1:$H$768))/(MAX(pima_data!$H$1:$H$768)-MIN(pima_data!$H$1:$H$768))</f>
        <v>0</v>
      </c>
    </row>
    <row r="552" spans="1:8">
      <c r="A552" s="5">
        <f>(pima_data!A552-MIN(pima_data!$A$1:$A$768))/(MAX(pima_data!$A$1:$A$768)-MIN(pima_data!$A$1:$A$768))</f>
        <v>0.176470588235294</v>
      </c>
      <c r="B552" s="5">
        <f>(pima_data!B552-MIN(pima_data!$B$1:$B$768))/(MAX(pima_data!$B$1:$B$768)-MIN(pima_data!$B$1:$B$768))</f>
        <v>0.422110552763819</v>
      </c>
      <c r="C552" s="5">
        <f>(pima_data!C552-MIN(pima_data!$C$1:$C$768))/(MAX(pima_data!$C$1:$C$768)-MIN(pima_data!$C$1:$C$768))</f>
        <v>0.557377049180328</v>
      </c>
      <c r="D552" s="5">
        <f>(pima_data!D552-MIN(pima_data!$D$1:$D$768))/(MAX(pima_data!$D$1:$D$768)-MIN(pima_data!$D$1:$D$768))</f>
        <v>0.303030303030303</v>
      </c>
      <c r="E552" s="5">
        <f>(pima_data!E552-MIN(pima_data!$E$1:$E$768))/(MAX(pima_data!$E$1:$E$768)-MIN(pima_data!$E$1:$E$768))</f>
        <v>0.125295508274232</v>
      </c>
      <c r="F552" s="5">
        <f>(pima_data!F552-MIN(pima_data!$F$1:$F$768))/(MAX(pima_data!$F$1:$F$768)-MIN(pima_data!$F$1:$F$768))</f>
        <v>0.475409836065574</v>
      </c>
      <c r="G552" s="5">
        <f>(pima_data!G552-MIN(pima_data!$G$1:$G$768))/(MAX(pima_data!$G$1:$G$768)-MIN(pima_data!$G$1:$G$768))</f>
        <v>0.219043552519214</v>
      </c>
      <c r="H552" s="5">
        <f>(pima_data!H552-MIN(pima_data!$H$1:$H$768))/(MAX(pima_data!$H$1:$H$768)-MIN(pima_data!$H$1:$H$768))</f>
        <v>0.0666666666666667</v>
      </c>
    </row>
    <row r="553" spans="1:8">
      <c r="A553" s="5">
        <f>(pima_data!A553-MIN(pima_data!$A$1:$A$768))/(MAX(pima_data!$A$1:$A$768)-MIN(pima_data!$A$1:$A$768))</f>
        <v>0.352941176470588</v>
      </c>
      <c r="B553" s="5">
        <f>(pima_data!B553-MIN(pima_data!$B$1:$B$768))/(MAX(pima_data!$B$1:$B$768)-MIN(pima_data!$B$1:$B$768))</f>
        <v>0.57286432160804</v>
      </c>
      <c r="C553" s="5">
        <f>(pima_data!C553-MIN(pima_data!$C$1:$C$768))/(MAX(pima_data!$C$1:$C$768)-MIN(pima_data!$C$1:$C$768))</f>
        <v>0.721311475409836</v>
      </c>
      <c r="D553" s="5">
        <f>(pima_data!D553-MIN(pima_data!$D$1:$D$768))/(MAX(pima_data!$D$1:$D$768)-MIN(pima_data!$D$1:$D$768))</f>
        <v>0</v>
      </c>
      <c r="E553" s="5">
        <f>(pima_data!E553-MIN(pima_data!$E$1:$E$768))/(MAX(pima_data!$E$1:$E$768)-MIN(pima_data!$E$1:$E$768))</f>
        <v>0</v>
      </c>
      <c r="F553" s="5">
        <f>(pima_data!F553-MIN(pima_data!$F$1:$F$768))/(MAX(pima_data!$F$1:$F$768)-MIN(pima_data!$F$1:$F$768))</f>
        <v>0.414307004470939</v>
      </c>
      <c r="G553" s="5">
        <f>(pima_data!G553-MIN(pima_data!$G$1:$G$768))/(MAX(pima_data!$G$1:$G$768)-MIN(pima_data!$G$1:$G$768))</f>
        <v>0.0721605465414176</v>
      </c>
      <c r="H553" s="5">
        <f>(pima_data!H553-MIN(pima_data!$H$1:$H$768))/(MAX(pima_data!$H$1:$H$768)-MIN(pima_data!$H$1:$H$768))</f>
        <v>0.75</v>
      </c>
    </row>
    <row r="554" spans="1:8">
      <c r="A554" s="5">
        <f>(pima_data!A554-MIN(pima_data!$A$1:$A$768))/(MAX(pima_data!$A$1:$A$768)-MIN(pima_data!$A$1:$A$768))</f>
        <v>0.0588235294117647</v>
      </c>
      <c r="B554" s="5">
        <f>(pima_data!B554-MIN(pima_data!$B$1:$B$768))/(MAX(pima_data!$B$1:$B$768)-MIN(pima_data!$B$1:$B$768))</f>
        <v>0.442211055276382</v>
      </c>
      <c r="C554" s="5">
        <f>(pima_data!C554-MIN(pima_data!$C$1:$C$768))/(MAX(pima_data!$C$1:$C$768)-MIN(pima_data!$C$1:$C$768))</f>
        <v>0.508196721311475</v>
      </c>
      <c r="D554" s="5">
        <f>(pima_data!D554-MIN(pima_data!$D$1:$D$768))/(MAX(pima_data!$D$1:$D$768)-MIN(pima_data!$D$1:$D$768))</f>
        <v>0.242424242424242</v>
      </c>
      <c r="E554" s="5">
        <f>(pima_data!E554-MIN(pima_data!$E$1:$E$768))/(MAX(pima_data!$E$1:$E$768)-MIN(pima_data!$E$1:$E$768))</f>
        <v>0.0520094562647754</v>
      </c>
      <c r="F554" s="5">
        <f>(pima_data!F554-MIN(pima_data!$F$1:$F$768))/(MAX(pima_data!$F$1:$F$768)-MIN(pima_data!$F$1:$F$768))</f>
        <v>0.445603576751118</v>
      </c>
      <c r="G554" s="5">
        <f>(pima_data!G554-MIN(pima_data!$G$1:$G$768))/(MAX(pima_data!$G$1:$G$768)-MIN(pima_data!$G$1:$G$768))</f>
        <v>0.146883005977797</v>
      </c>
      <c r="H554" s="5">
        <f>(pima_data!H554-MIN(pima_data!$H$1:$H$768))/(MAX(pima_data!$H$1:$H$768)-MIN(pima_data!$H$1:$H$768))</f>
        <v>0.0333333333333333</v>
      </c>
    </row>
    <row r="555" spans="1:8">
      <c r="A555" s="5">
        <f>(pima_data!A555-MIN(pima_data!$A$1:$A$768))/(MAX(pima_data!$A$1:$A$768)-MIN(pima_data!$A$1:$A$768))</f>
        <v>0.0588235294117647</v>
      </c>
      <c r="B555" s="5">
        <f>(pima_data!B555-MIN(pima_data!$B$1:$B$768))/(MAX(pima_data!$B$1:$B$768)-MIN(pima_data!$B$1:$B$768))</f>
        <v>0.422110552763819</v>
      </c>
      <c r="C555" s="5">
        <f>(pima_data!C555-MIN(pima_data!$C$1:$C$768))/(MAX(pima_data!$C$1:$C$768)-MIN(pima_data!$C$1:$C$768))</f>
        <v>0.524590163934426</v>
      </c>
      <c r="D555" s="5">
        <f>(pima_data!D555-MIN(pima_data!$D$1:$D$768))/(MAX(pima_data!$D$1:$D$768)-MIN(pima_data!$D$1:$D$768))</f>
        <v>0.232323232323232</v>
      </c>
      <c r="E555" s="5">
        <f>(pima_data!E555-MIN(pima_data!$E$1:$E$768))/(MAX(pima_data!$E$1:$E$768)-MIN(pima_data!$E$1:$E$768))</f>
        <v>0.135933806146572</v>
      </c>
      <c r="F555" s="5">
        <f>(pima_data!F555-MIN(pima_data!$F$1:$F$768))/(MAX(pima_data!$F$1:$F$768)-MIN(pima_data!$F$1:$F$768))</f>
        <v>0.549925484351714</v>
      </c>
      <c r="G555" s="5">
        <f>(pima_data!G555-MIN(pima_data!$G$1:$G$768))/(MAX(pima_data!$G$1:$G$768)-MIN(pima_data!$G$1:$G$768))</f>
        <v>0.167805294619983</v>
      </c>
      <c r="H555" s="5">
        <f>(pima_data!H555-MIN(pima_data!$H$1:$H$768))/(MAX(pima_data!$H$1:$H$768)-MIN(pima_data!$H$1:$H$768))</f>
        <v>0.116666666666667</v>
      </c>
    </row>
    <row r="556" spans="1:8">
      <c r="A556" s="5">
        <f>(pima_data!A556-MIN(pima_data!$A$1:$A$768))/(MAX(pima_data!$A$1:$A$768)-MIN(pima_data!$A$1:$A$768))</f>
        <v>0.411764705882353</v>
      </c>
      <c r="B556" s="5">
        <f>(pima_data!B556-MIN(pima_data!$B$1:$B$768))/(MAX(pima_data!$B$1:$B$768)-MIN(pima_data!$B$1:$B$768))</f>
        <v>0.623115577889447</v>
      </c>
      <c r="C556" s="5">
        <f>(pima_data!C556-MIN(pima_data!$C$1:$C$768))/(MAX(pima_data!$C$1:$C$768)-MIN(pima_data!$C$1:$C$768))</f>
        <v>0.573770491803279</v>
      </c>
      <c r="D556" s="5">
        <f>(pima_data!D556-MIN(pima_data!$D$1:$D$768))/(MAX(pima_data!$D$1:$D$768)-MIN(pima_data!$D$1:$D$768))</f>
        <v>0.333333333333333</v>
      </c>
      <c r="E556" s="5">
        <f>(pima_data!E556-MIN(pima_data!$E$1:$E$768))/(MAX(pima_data!$E$1:$E$768)-MIN(pima_data!$E$1:$E$768))</f>
        <v>0.254137115839243</v>
      </c>
      <c r="F556" s="5">
        <f>(pima_data!F556-MIN(pima_data!$F$1:$F$768))/(MAX(pima_data!$F$1:$F$768)-MIN(pima_data!$F$1:$F$768))</f>
        <v>0.380029806259314</v>
      </c>
      <c r="G556" s="5">
        <f>(pima_data!G556-MIN(pima_data!$G$1:$G$768))/(MAX(pima_data!$G$1:$G$768)-MIN(pima_data!$G$1:$G$768))</f>
        <v>0.0354397950469684</v>
      </c>
      <c r="H556" s="5">
        <f>(pima_data!H556-MIN(pima_data!$H$1:$H$768))/(MAX(pima_data!$H$1:$H$768)-MIN(pima_data!$H$1:$H$768))</f>
        <v>0.266666666666667</v>
      </c>
    </row>
    <row r="557" spans="1:8">
      <c r="A557" s="5">
        <f>(pima_data!A557-MIN(pima_data!$A$1:$A$768))/(MAX(pima_data!$A$1:$A$768)-MIN(pima_data!$A$1:$A$768))</f>
        <v>0.0588235294117647</v>
      </c>
      <c r="B557" s="5">
        <f>(pima_data!B557-MIN(pima_data!$B$1:$B$768))/(MAX(pima_data!$B$1:$B$768)-MIN(pima_data!$B$1:$B$768))</f>
        <v>0.487437185929648</v>
      </c>
      <c r="C557" s="5">
        <f>(pima_data!C557-MIN(pima_data!$C$1:$C$768))/(MAX(pima_data!$C$1:$C$768)-MIN(pima_data!$C$1:$C$768))</f>
        <v>0.573770491803279</v>
      </c>
      <c r="D557" s="5">
        <f>(pima_data!D557-MIN(pima_data!$D$1:$D$768))/(MAX(pima_data!$D$1:$D$768)-MIN(pima_data!$D$1:$D$768))</f>
        <v>0.404040404040404</v>
      </c>
      <c r="E557" s="5">
        <f>(pima_data!E557-MIN(pima_data!$E$1:$E$768))/(MAX(pima_data!$E$1:$E$768)-MIN(pima_data!$E$1:$E$768))</f>
        <v>0</v>
      </c>
      <c r="F557" s="5">
        <f>(pima_data!F557-MIN(pima_data!$F$1:$F$768))/(MAX(pima_data!$F$1:$F$768)-MIN(pima_data!$F$1:$F$768))</f>
        <v>0.567809239940388</v>
      </c>
      <c r="G557" s="5">
        <f>(pima_data!G557-MIN(pima_data!$G$1:$G$768))/(MAX(pima_data!$G$1:$G$768)-MIN(pima_data!$G$1:$G$768))</f>
        <v>0.0597779675491033</v>
      </c>
      <c r="H557" s="5">
        <f>(pima_data!H557-MIN(pima_data!$H$1:$H$768))/(MAX(pima_data!$H$1:$H$768)-MIN(pima_data!$H$1:$H$768))</f>
        <v>0.15</v>
      </c>
    </row>
    <row r="558" spans="1:8">
      <c r="A558" s="5">
        <f>(pima_data!A558-MIN(pima_data!$A$1:$A$768))/(MAX(pima_data!$A$1:$A$768)-MIN(pima_data!$A$1:$A$768))</f>
        <v>0.470588235294118</v>
      </c>
      <c r="B558" s="5">
        <f>(pima_data!B558-MIN(pima_data!$B$1:$B$768))/(MAX(pima_data!$B$1:$B$768)-MIN(pima_data!$B$1:$B$768))</f>
        <v>0.552763819095477</v>
      </c>
      <c r="C558" s="5">
        <f>(pima_data!C558-MIN(pima_data!$C$1:$C$768))/(MAX(pima_data!$C$1:$C$768)-MIN(pima_data!$C$1:$C$768))</f>
        <v>0.622950819672131</v>
      </c>
      <c r="D558" s="5">
        <f>(pima_data!D558-MIN(pima_data!$D$1:$D$768))/(MAX(pima_data!$D$1:$D$768)-MIN(pima_data!$D$1:$D$768))</f>
        <v>0</v>
      </c>
      <c r="E558" s="5">
        <f>(pima_data!E558-MIN(pima_data!$E$1:$E$768))/(MAX(pima_data!$E$1:$E$768)-MIN(pima_data!$E$1:$E$768))</f>
        <v>0</v>
      </c>
      <c r="F558" s="5">
        <f>(pima_data!F558-MIN(pima_data!$F$1:$F$768))/(MAX(pima_data!$F$1:$F$768)-MIN(pima_data!$F$1:$F$768))</f>
        <v>0.414307004470939</v>
      </c>
      <c r="G558" s="5">
        <f>(pima_data!G558-MIN(pima_data!$G$1:$G$768))/(MAX(pima_data!$G$1:$G$768)-MIN(pima_data!$G$1:$G$768))</f>
        <v>0.0678906917164816</v>
      </c>
      <c r="H558" s="5">
        <f>(pima_data!H558-MIN(pima_data!$H$1:$H$768))/(MAX(pima_data!$H$1:$H$768)-MIN(pima_data!$H$1:$H$768))</f>
        <v>0.616666666666667</v>
      </c>
    </row>
    <row r="559" spans="1:8">
      <c r="A559" s="5">
        <f>(pima_data!A559-MIN(pima_data!$A$1:$A$768))/(MAX(pima_data!$A$1:$A$768)-MIN(pima_data!$A$1:$A$768))</f>
        <v>0.647058823529412</v>
      </c>
      <c r="B559" s="5">
        <f>(pima_data!B559-MIN(pima_data!$B$1:$B$768))/(MAX(pima_data!$B$1:$B$768)-MIN(pima_data!$B$1:$B$768))</f>
        <v>0.517587939698492</v>
      </c>
      <c r="C559" s="5">
        <f>(pima_data!C559-MIN(pima_data!$C$1:$C$768))/(MAX(pima_data!$C$1:$C$768)-MIN(pima_data!$C$1:$C$768))</f>
        <v>0.557377049180328</v>
      </c>
      <c r="D559" s="5">
        <f>(pima_data!D559-MIN(pima_data!$D$1:$D$768))/(MAX(pima_data!$D$1:$D$768)-MIN(pima_data!$D$1:$D$768))</f>
        <v>0.404040404040404</v>
      </c>
      <c r="E559" s="5">
        <f>(pima_data!E559-MIN(pima_data!$E$1:$E$768))/(MAX(pima_data!$E$1:$E$768)-MIN(pima_data!$E$1:$E$768))</f>
        <v>0</v>
      </c>
      <c r="F559" s="5">
        <f>(pima_data!F559-MIN(pima_data!$F$1:$F$768))/(MAX(pima_data!$F$1:$F$768)-MIN(pima_data!$F$1:$F$768))</f>
        <v>0.688524590163935</v>
      </c>
      <c r="G559" s="5">
        <f>(pima_data!G559-MIN(pima_data!$G$1:$G$768))/(MAX(pima_data!$G$1:$G$768)-MIN(pima_data!$G$1:$G$768))</f>
        <v>0.0204953031596926</v>
      </c>
      <c r="H559" s="5">
        <f>(pima_data!H559-MIN(pima_data!$H$1:$H$768))/(MAX(pima_data!$H$1:$H$768)-MIN(pima_data!$H$1:$H$768))</f>
        <v>0.35</v>
      </c>
    </row>
    <row r="560" spans="1:8">
      <c r="A560" s="5">
        <f>(pima_data!A560-MIN(pima_data!$A$1:$A$768))/(MAX(pima_data!$A$1:$A$768)-MIN(pima_data!$A$1:$A$768))</f>
        <v>0.647058823529412</v>
      </c>
      <c r="B560" s="5">
        <f>(pima_data!B560-MIN(pima_data!$B$1:$B$768))/(MAX(pima_data!$B$1:$B$768)-MIN(pima_data!$B$1:$B$768))</f>
        <v>0.42713567839196</v>
      </c>
      <c r="C560" s="5">
        <f>(pima_data!C560-MIN(pima_data!$C$1:$C$768))/(MAX(pima_data!$C$1:$C$768)-MIN(pima_data!$C$1:$C$768))</f>
        <v>0.60655737704918</v>
      </c>
      <c r="D560" s="5">
        <f>(pima_data!D560-MIN(pima_data!$D$1:$D$768))/(MAX(pima_data!$D$1:$D$768)-MIN(pima_data!$D$1:$D$768))</f>
        <v>0</v>
      </c>
      <c r="E560" s="5">
        <f>(pima_data!E560-MIN(pima_data!$E$1:$E$768))/(MAX(pima_data!$E$1:$E$768)-MIN(pima_data!$E$1:$E$768))</f>
        <v>0</v>
      </c>
      <c r="F560" s="5">
        <f>(pima_data!F560-MIN(pima_data!$F$1:$F$768))/(MAX(pima_data!$F$1:$F$768)-MIN(pima_data!$F$1:$F$768))</f>
        <v>0.448584202682563</v>
      </c>
      <c r="G560" s="5">
        <f>(pima_data!G560-MIN(pima_data!$G$1:$G$768))/(MAX(pima_data!$G$1:$G$768)-MIN(pima_data!$G$1:$G$768))</f>
        <v>0.0947907771135781</v>
      </c>
      <c r="H560" s="5">
        <f>(pima_data!H560-MIN(pima_data!$H$1:$H$768))/(MAX(pima_data!$H$1:$H$768)-MIN(pima_data!$H$1:$H$768))</f>
        <v>0.233333333333333</v>
      </c>
    </row>
    <row r="561" spans="1:8">
      <c r="A561" s="5">
        <f>(pima_data!A561-MIN(pima_data!$A$1:$A$768))/(MAX(pima_data!$A$1:$A$768)-MIN(pima_data!$A$1:$A$768))</f>
        <v>0.352941176470588</v>
      </c>
      <c r="B561" s="5">
        <f>(pima_data!B561-MIN(pima_data!$B$1:$B$768))/(MAX(pima_data!$B$1:$B$768)-MIN(pima_data!$B$1:$B$768))</f>
        <v>0.628140703517588</v>
      </c>
      <c r="C561" s="5">
        <f>(pima_data!C561-MIN(pima_data!$C$1:$C$768))/(MAX(pima_data!$C$1:$C$768)-MIN(pima_data!$C$1:$C$768))</f>
        <v>0.622950819672131</v>
      </c>
      <c r="D561" s="5">
        <f>(pima_data!D561-MIN(pima_data!$D$1:$D$768))/(MAX(pima_data!$D$1:$D$768)-MIN(pima_data!$D$1:$D$768))</f>
        <v>0</v>
      </c>
      <c r="E561" s="5">
        <f>(pima_data!E561-MIN(pima_data!$E$1:$E$768))/(MAX(pima_data!$E$1:$E$768)-MIN(pima_data!$E$1:$E$768))</f>
        <v>0</v>
      </c>
      <c r="F561" s="5">
        <f>(pima_data!F561-MIN(pima_data!$F$1:$F$768))/(MAX(pima_data!$F$1:$F$768)-MIN(pima_data!$F$1:$F$768))</f>
        <v>0.503725782414307</v>
      </c>
      <c r="G561" s="5">
        <f>(pima_data!G561-MIN(pima_data!$G$1:$G$768))/(MAX(pima_data!$G$1:$G$768)-MIN(pima_data!$G$1:$G$768))</f>
        <v>0.0183603757472246</v>
      </c>
      <c r="H561" s="5">
        <f>(pima_data!H561-MIN(pima_data!$H$1:$H$768))/(MAX(pima_data!$H$1:$H$768)-MIN(pima_data!$H$1:$H$768))</f>
        <v>0.55</v>
      </c>
    </row>
    <row r="562" spans="1:8">
      <c r="A562" s="5">
        <f>(pima_data!A562-MIN(pima_data!$A$1:$A$768))/(MAX(pima_data!$A$1:$A$768)-MIN(pima_data!$A$1:$A$768))</f>
        <v>0</v>
      </c>
      <c r="B562" s="5">
        <f>(pima_data!B562-MIN(pima_data!$B$1:$B$768))/(MAX(pima_data!$B$1:$B$768)-MIN(pima_data!$B$1:$B$768))</f>
        <v>0.994974874371859</v>
      </c>
      <c r="C562" s="5">
        <f>(pima_data!C562-MIN(pima_data!$C$1:$C$768))/(MAX(pima_data!$C$1:$C$768)-MIN(pima_data!$C$1:$C$768))</f>
        <v>0.540983606557377</v>
      </c>
      <c r="D562" s="5">
        <f>(pima_data!D562-MIN(pima_data!$D$1:$D$768))/(MAX(pima_data!$D$1:$D$768)-MIN(pima_data!$D$1:$D$768))</f>
        <v>0.323232323232323</v>
      </c>
      <c r="E562" s="5">
        <f>(pima_data!E562-MIN(pima_data!$E$1:$E$768))/(MAX(pima_data!$E$1:$E$768)-MIN(pima_data!$E$1:$E$768))</f>
        <v>0.32387706855792</v>
      </c>
      <c r="F562" s="5">
        <f>(pima_data!F562-MIN(pima_data!$F$1:$F$768))/(MAX(pima_data!$F$1:$F$768)-MIN(pima_data!$F$1:$F$768))</f>
        <v>0.615499254843517</v>
      </c>
      <c r="G562" s="5">
        <f>(pima_data!G562-MIN(pima_data!$G$1:$G$768))/(MAX(pima_data!$G$1:$G$768)-MIN(pima_data!$G$1:$G$768))</f>
        <v>0.181041844577284</v>
      </c>
      <c r="H562" s="5">
        <f>(pima_data!H562-MIN(pima_data!$H$1:$H$768))/(MAX(pima_data!$H$1:$H$768)-MIN(pima_data!$H$1:$H$768))</f>
        <v>0.116666666666667</v>
      </c>
    </row>
    <row r="563" spans="1:8">
      <c r="A563" s="5">
        <f>(pima_data!A563-MIN(pima_data!$A$1:$A$768))/(MAX(pima_data!$A$1:$A$768)-MIN(pima_data!$A$1:$A$768))</f>
        <v>0.0588235294117647</v>
      </c>
      <c r="B563" s="5">
        <f>(pima_data!B563-MIN(pima_data!$B$1:$B$768))/(MAX(pima_data!$B$1:$B$768)-MIN(pima_data!$B$1:$B$768))</f>
        <v>0.437185929648241</v>
      </c>
      <c r="C563" s="5">
        <f>(pima_data!C563-MIN(pima_data!$C$1:$C$768))/(MAX(pima_data!$C$1:$C$768)-MIN(pima_data!$C$1:$C$768))</f>
        <v>0.557377049180328</v>
      </c>
      <c r="D563" s="5">
        <f>(pima_data!D563-MIN(pima_data!$D$1:$D$768))/(MAX(pima_data!$D$1:$D$768)-MIN(pima_data!$D$1:$D$768))</f>
        <v>0.343434343434343</v>
      </c>
      <c r="E563" s="5">
        <f>(pima_data!E563-MIN(pima_data!$E$1:$E$768))/(MAX(pima_data!$E$1:$E$768)-MIN(pima_data!$E$1:$E$768))</f>
        <v>0.091016548463357</v>
      </c>
      <c r="F563" s="5">
        <f>(pima_data!F563-MIN(pima_data!$F$1:$F$768))/(MAX(pima_data!$F$1:$F$768)-MIN(pima_data!$F$1:$F$768))</f>
        <v>0.560357675111774</v>
      </c>
      <c r="G563" s="5">
        <f>(pima_data!G563-MIN(pima_data!$G$1:$G$768))/(MAX(pima_data!$G$1:$G$768)-MIN(pima_data!$G$1:$G$768))</f>
        <v>0.137916310845431</v>
      </c>
      <c r="H563" s="5">
        <f>(pima_data!H563-MIN(pima_data!$H$1:$H$768))/(MAX(pima_data!$H$1:$H$768)-MIN(pima_data!$H$1:$H$768))</f>
        <v>0.05</v>
      </c>
    </row>
    <row r="564" spans="1:8">
      <c r="A564" s="5">
        <f>(pima_data!A564-MIN(pima_data!$A$1:$A$768))/(MAX(pima_data!$A$1:$A$768)-MIN(pima_data!$A$1:$A$768))</f>
        <v>0.352941176470588</v>
      </c>
      <c r="B564" s="5">
        <f>(pima_data!B564-MIN(pima_data!$B$1:$B$768))/(MAX(pima_data!$B$1:$B$768)-MIN(pima_data!$B$1:$B$768))</f>
        <v>0.49748743718593</v>
      </c>
      <c r="C564" s="5">
        <f>(pima_data!C564-MIN(pima_data!$C$1:$C$768))/(MAX(pima_data!$C$1:$C$768)-MIN(pima_data!$C$1:$C$768))</f>
        <v>0.491803278688525</v>
      </c>
      <c r="D564" s="5">
        <f>(pima_data!D564-MIN(pima_data!$D$1:$D$768))/(MAX(pima_data!$D$1:$D$768)-MIN(pima_data!$D$1:$D$768))</f>
        <v>0.191919191919192</v>
      </c>
      <c r="E564" s="5">
        <f>(pima_data!E564-MIN(pima_data!$E$1:$E$768))/(MAX(pima_data!$E$1:$E$768)-MIN(pima_data!$E$1:$E$768))</f>
        <v>0.0638297872340425</v>
      </c>
      <c r="F564" s="5">
        <f>(pima_data!F564-MIN(pima_data!$F$1:$F$768))/(MAX(pima_data!$F$1:$F$768)-MIN(pima_data!$F$1:$F$768))</f>
        <v>0.400894187779434</v>
      </c>
      <c r="G564" s="5">
        <f>(pima_data!G564-MIN(pima_data!$G$1:$G$768))/(MAX(pima_data!$G$1:$G$768)-MIN(pima_data!$G$1:$G$768))</f>
        <v>0.178906917164816</v>
      </c>
      <c r="H564" s="5">
        <f>(pima_data!H564-MIN(pima_data!$H$1:$H$768))/(MAX(pima_data!$H$1:$H$768)-MIN(pima_data!$H$1:$H$768))</f>
        <v>0.183333333333333</v>
      </c>
    </row>
    <row r="565" spans="1:8">
      <c r="A565" s="5">
        <f>(pima_data!A565-MIN(pima_data!$A$1:$A$768))/(MAX(pima_data!$A$1:$A$768)-MIN(pima_data!$A$1:$A$768))</f>
        <v>0</v>
      </c>
      <c r="B565" s="5">
        <f>(pima_data!B565-MIN(pima_data!$B$1:$B$768))/(MAX(pima_data!$B$1:$B$768)-MIN(pima_data!$B$1:$B$768))</f>
        <v>0.457286432160804</v>
      </c>
      <c r="C565" s="5">
        <f>(pima_data!C565-MIN(pima_data!$C$1:$C$768))/(MAX(pima_data!$C$1:$C$768)-MIN(pima_data!$C$1:$C$768))</f>
        <v>0.655737704918033</v>
      </c>
      <c r="D565" s="5">
        <f>(pima_data!D565-MIN(pima_data!$D$1:$D$768))/(MAX(pima_data!$D$1:$D$768)-MIN(pima_data!$D$1:$D$768))</f>
        <v>0</v>
      </c>
      <c r="E565" s="5">
        <f>(pima_data!E565-MIN(pima_data!$E$1:$E$768))/(MAX(pima_data!$E$1:$E$768)-MIN(pima_data!$E$1:$E$768))</f>
        <v>0</v>
      </c>
      <c r="F565" s="5">
        <f>(pima_data!F565-MIN(pima_data!$F$1:$F$768))/(MAX(pima_data!$F$1:$F$768)-MIN(pima_data!$F$1:$F$768))</f>
        <v>0.482861400894188</v>
      </c>
      <c r="G565" s="5">
        <f>(pima_data!G565-MIN(pima_data!$G$1:$G$768))/(MAX(pima_data!$G$1:$G$768)-MIN(pima_data!$G$1:$G$768))</f>
        <v>0.22331340734415</v>
      </c>
      <c r="H565" s="5">
        <f>(pima_data!H565-MIN(pima_data!$H$1:$H$768))/(MAX(pima_data!$H$1:$H$768)-MIN(pima_data!$H$1:$H$768))</f>
        <v>0.1</v>
      </c>
    </row>
    <row r="566" spans="1:8">
      <c r="A566" s="5">
        <f>(pima_data!A566-MIN(pima_data!$A$1:$A$768))/(MAX(pima_data!$A$1:$A$768)-MIN(pima_data!$A$1:$A$768))</f>
        <v>0.117647058823529</v>
      </c>
      <c r="B566" s="5">
        <f>(pima_data!B566-MIN(pima_data!$B$1:$B$768))/(MAX(pima_data!$B$1:$B$768)-MIN(pima_data!$B$1:$B$768))</f>
        <v>0.477386934673367</v>
      </c>
      <c r="C566" s="5">
        <f>(pima_data!C566-MIN(pima_data!$C$1:$C$768))/(MAX(pima_data!$C$1:$C$768)-MIN(pima_data!$C$1:$C$768))</f>
        <v>0.442622950819672</v>
      </c>
      <c r="D566" s="5">
        <f>(pima_data!D566-MIN(pima_data!$D$1:$D$768))/(MAX(pima_data!$D$1:$D$768)-MIN(pima_data!$D$1:$D$768))</f>
        <v>0.141414141414141</v>
      </c>
      <c r="E566" s="5">
        <f>(pima_data!E566-MIN(pima_data!$E$1:$E$768))/(MAX(pima_data!$E$1:$E$768)-MIN(pima_data!$E$1:$E$768))</f>
        <v>0.104018912529551</v>
      </c>
      <c r="F566" s="5">
        <f>(pima_data!F566-MIN(pima_data!$F$1:$F$768))/(MAX(pima_data!$F$1:$F$768)-MIN(pima_data!$F$1:$F$768))</f>
        <v>0.388971684053651</v>
      </c>
      <c r="G566" s="5">
        <f>(pima_data!G566-MIN(pima_data!$G$1:$G$768))/(MAX(pima_data!$G$1:$G$768)-MIN(pima_data!$G$1:$G$768))</f>
        <v>0.286080273270709</v>
      </c>
      <c r="H566" s="5">
        <f>(pima_data!H566-MIN(pima_data!$H$1:$H$768))/(MAX(pima_data!$H$1:$H$768)-MIN(pima_data!$H$1:$H$768))</f>
        <v>0.0166666666666667</v>
      </c>
    </row>
    <row r="567" spans="1:8">
      <c r="A567" s="5">
        <f>(pima_data!A567-MIN(pima_data!$A$1:$A$768))/(MAX(pima_data!$A$1:$A$768)-MIN(pima_data!$A$1:$A$768))</f>
        <v>0.0588235294117647</v>
      </c>
      <c r="B567" s="5">
        <f>(pima_data!B567-MIN(pima_data!$B$1:$B$768))/(MAX(pima_data!$B$1:$B$768)-MIN(pima_data!$B$1:$B$768))</f>
        <v>0.49748743718593</v>
      </c>
      <c r="C567" s="5">
        <f>(pima_data!C567-MIN(pima_data!$C$1:$C$768))/(MAX(pima_data!$C$1:$C$768)-MIN(pima_data!$C$1:$C$768))</f>
        <v>0.590163934426229</v>
      </c>
      <c r="D567" s="5">
        <f>(pima_data!D567-MIN(pima_data!$D$1:$D$768))/(MAX(pima_data!$D$1:$D$768)-MIN(pima_data!$D$1:$D$768))</f>
        <v>0.303030303030303</v>
      </c>
      <c r="E567" s="5">
        <f>(pima_data!E567-MIN(pima_data!$E$1:$E$768))/(MAX(pima_data!$E$1:$E$768)-MIN(pima_data!$E$1:$E$768))</f>
        <v>0.0212765957446809</v>
      </c>
      <c r="F567" s="5">
        <f>(pima_data!F567-MIN(pima_data!$F$1:$F$768))/(MAX(pima_data!$F$1:$F$768)-MIN(pima_data!$F$1:$F$768))</f>
        <v>0.575260804769002</v>
      </c>
      <c r="G567" s="5">
        <f>(pima_data!G567-MIN(pima_data!$G$1:$G$768))/(MAX(pima_data!$G$1:$G$768)-MIN(pima_data!$G$1:$G$768))</f>
        <v>0.142613151152861</v>
      </c>
      <c r="H567" s="5">
        <f>(pima_data!H567-MIN(pima_data!$H$1:$H$768))/(MAX(pima_data!$H$1:$H$768)-MIN(pima_data!$H$1:$H$768))</f>
        <v>0</v>
      </c>
    </row>
    <row r="568" spans="1:8">
      <c r="A568" s="5">
        <f>(pima_data!A568-MIN(pima_data!$A$1:$A$768))/(MAX(pima_data!$A$1:$A$768)-MIN(pima_data!$A$1:$A$768))</f>
        <v>0.352941176470588</v>
      </c>
      <c r="B568" s="5">
        <f>(pima_data!B568-MIN(pima_data!$B$1:$B$768))/(MAX(pima_data!$B$1:$B$768)-MIN(pima_data!$B$1:$B$768))</f>
        <v>0.462311557788945</v>
      </c>
      <c r="C568" s="5">
        <f>(pima_data!C568-MIN(pima_data!$C$1:$C$768))/(MAX(pima_data!$C$1:$C$768)-MIN(pima_data!$C$1:$C$768))</f>
        <v>0.508196721311475</v>
      </c>
      <c r="D568" s="5">
        <f>(pima_data!D568-MIN(pima_data!$D$1:$D$768))/(MAX(pima_data!$D$1:$D$768)-MIN(pima_data!$D$1:$D$768))</f>
        <v>0.323232323232323</v>
      </c>
      <c r="E568" s="5">
        <f>(pima_data!E568-MIN(pima_data!$E$1:$E$768))/(MAX(pima_data!$E$1:$E$768)-MIN(pima_data!$E$1:$E$768))</f>
        <v>0.148936170212766</v>
      </c>
      <c r="F568" s="5">
        <f>(pima_data!F568-MIN(pima_data!$F$1:$F$768))/(MAX(pima_data!$F$1:$F$768)-MIN(pima_data!$F$1:$F$768))</f>
        <v>0.476900149031297</v>
      </c>
      <c r="G568" s="5">
        <f>(pima_data!G568-MIN(pima_data!$G$1:$G$768))/(MAX(pima_data!$G$1:$G$768)-MIN(pima_data!$G$1:$G$768))</f>
        <v>0.00298889837745517</v>
      </c>
      <c r="H568" s="5">
        <f>(pima_data!H568-MIN(pima_data!$H$1:$H$768))/(MAX(pima_data!$H$1:$H$768)-MIN(pima_data!$H$1:$H$768))</f>
        <v>0.416666666666667</v>
      </c>
    </row>
    <row r="569" spans="1:8">
      <c r="A569" s="5">
        <f>(pima_data!A569-MIN(pima_data!$A$1:$A$768))/(MAX(pima_data!$A$1:$A$768)-MIN(pima_data!$A$1:$A$768))</f>
        <v>0.235294117647059</v>
      </c>
      <c r="B569" s="5">
        <f>(pima_data!B569-MIN(pima_data!$B$1:$B$768))/(MAX(pima_data!$B$1:$B$768)-MIN(pima_data!$B$1:$B$768))</f>
        <v>0.773869346733668</v>
      </c>
      <c r="C569" s="5">
        <f>(pima_data!C569-MIN(pima_data!$C$1:$C$768))/(MAX(pima_data!$C$1:$C$768)-MIN(pima_data!$C$1:$C$768))</f>
        <v>0.590163934426229</v>
      </c>
      <c r="D569" s="5">
        <f>(pima_data!D569-MIN(pima_data!$D$1:$D$768))/(MAX(pima_data!$D$1:$D$768)-MIN(pima_data!$D$1:$D$768))</f>
        <v>0.292929292929293</v>
      </c>
      <c r="E569" s="5">
        <f>(pima_data!E569-MIN(pima_data!$E$1:$E$768))/(MAX(pima_data!$E$1:$E$768)-MIN(pima_data!$E$1:$E$768))</f>
        <v>0.148936170212766</v>
      </c>
      <c r="F569" s="5">
        <f>(pima_data!F569-MIN(pima_data!$F$1:$F$768))/(MAX(pima_data!$F$1:$F$768)-MIN(pima_data!$F$1:$F$768))</f>
        <v>0.466467958271237</v>
      </c>
      <c r="G569" s="5">
        <f>(pima_data!G569-MIN(pima_data!$G$1:$G$768))/(MAX(pima_data!$G$1:$G$768)-MIN(pima_data!$G$1:$G$768))</f>
        <v>0.111016225448335</v>
      </c>
      <c r="H569" s="5">
        <f>(pima_data!H569-MIN(pima_data!$H$1:$H$768))/(MAX(pima_data!$H$1:$H$768)-MIN(pima_data!$H$1:$H$768))</f>
        <v>0.266666666666667</v>
      </c>
    </row>
    <row r="570" spans="1:8">
      <c r="A570" s="5">
        <f>(pima_data!A570-MIN(pima_data!$A$1:$A$768))/(MAX(pima_data!$A$1:$A$768)-MIN(pima_data!$A$1:$A$768))</f>
        <v>0</v>
      </c>
      <c r="B570" s="5">
        <f>(pima_data!B570-MIN(pima_data!$B$1:$B$768))/(MAX(pima_data!$B$1:$B$768)-MIN(pima_data!$B$1:$B$768))</f>
        <v>0.608040201005025</v>
      </c>
      <c r="C570" s="5">
        <f>(pima_data!C570-MIN(pima_data!$C$1:$C$768))/(MAX(pima_data!$C$1:$C$768)-MIN(pima_data!$C$1:$C$768))</f>
        <v>0.540983606557377</v>
      </c>
      <c r="D570" s="5">
        <f>(pima_data!D570-MIN(pima_data!$D$1:$D$768))/(MAX(pima_data!$D$1:$D$768)-MIN(pima_data!$D$1:$D$768))</f>
        <v>0.303030303030303</v>
      </c>
      <c r="E570" s="5">
        <f>(pima_data!E570-MIN(pima_data!$E$1:$E$768))/(MAX(pima_data!$E$1:$E$768)-MIN(pima_data!$E$1:$E$768))</f>
        <v>0.195035460992908</v>
      </c>
      <c r="F570" s="5">
        <f>(pima_data!F570-MIN(pima_data!$F$1:$F$768))/(MAX(pima_data!$F$1:$F$768)-MIN(pima_data!$F$1:$F$768))</f>
        <v>0.511177347242921</v>
      </c>
      <c r="G570" s="5">
        <f>(pima_data!G570-MIN(pima_data!$G$1:$G$768))/(MAX(pima_data!$G$1:$G$768)-MIN(pima_data!$G$1:$G$768))</f>
        <v>0.0533731853116994</v>
      </c>
      <c r="H570" s="5">
        <f>(pima_data!H570-MIN(pima_data!$H$1:$H$768))/(MAX(pima_data!$H$1:$H$768)-MIN(pima_data!$H$1:$H$768))</f>
        <v>0.2</v>
      </c>
    </row>
    <row r="571" spans="1:8">
      <c r="A571" s="5">
        <f>(pima_data!A571-MIN(pima_data!$A$1:$A$768))/(MAX(pima_data!$A$1:$A$768)-MIN(pima_data!$A$1:$A$768))</f>
        <v>0.176470588235294</v>
      </c>
      <c r="B571" s="5">
        <f>(pima_data!B571-MIN(pima_data!$B$1:$B$768))/(MAX(pima_data!$B$1:$B$768)-MIN(pima_data!$B$1:$B$768))</f>
        <v>0.391959798994975</v>
      </c>
      <c r="C571" s="5">
        <f>(pima_data!C571-MIN(pima_data!$C$1:$C$768))/(MAX(pima_data!$C$1:$C$768)-MIN(pima_data!$C$1:$C$768))</f>
        <v>0.573770491803279</v>
      </c>
      <c r="D571" s="5">
        <f>(pima_data!D571-MIN(pima_data!$D$1:$D$768))/(MAX(pima_data!$D$1:$D$768)-MIN(pima_data!$D$1:$D$768))</f>
        <v>0</v>
      </c>
      <c r="E571" s="5">
        <f>(pima_data!E571-MIN(pima_data!$E$1:$E$768))/(MAX(pima_data!$E$1:$E$768)-MIN(pima_data!$E$1:$E$768))</f>
        <v>0</v>
      </c>
      <c r="F571" s="5">
        <f>(pima_data!F571-MIN(pima_data!$F$1:$F$768))/(MAX(pima_data!$F$1:$F$768)-MIN(pima_data!$F$1:$F$768))</f>
        <v>0.484351713859911</v>
      </c>
      <c r="G571" s="5">
        <f>(pima_data!G571-MIN(pima_data!$G$1:$G$768))/(MAX(pima_data!$G$1:$G$768)-MIN(pima_data!$G$1:$G$768))</f>
        <v>0.0819812126387703</v>
      </c>
      <c r="H571" s="5">
        <f>(pima_data!H571-MIN(pima_data!$H$1:$H$768))/(MAX(pima_data!$H$1:$H$768)-MIN(pima_data!$H$1:$H$768))</f>
        <v>0.3</v>
      </c>
    </row>
    <row r="572" spans="1:8">
      <c r="A572" s="5">
        <f>(pima_data!A572-MIN(pima_data!$A$1:$A$768))/(MAX(pima_data!$A$1:$A$768)-MIN(pima_data!$A$1:$A$768))</f>
        <v>0.117647058823529</v>
      </c>
      <c r="B572" s="5">
        <f>(pima_data!B572-MIN(pima_data!$B$1:$B$768))/(MAX(pima_data!$B$1:$B$768)-MIN(pima_data!$B$1:$B$768))</f>
        <v>0.653266331658292</v>
      </c>
      <c r="C572" s="5">
        <f>(pima_data!C572-MIN(pima_data!$C$1:$C$768))/(MAX(pima_data!$C$1:$C$768)-MIN(pima_data!$C$1:$C$768))</f>
        <v>0.786885245901639</v>
      </c>
      <c r="D572" s="5">
        <f>(pima_data!D572-MIN(pima_data!$D$1:$D$768))/(MAX(pima_data!$D$1:$D$768)-MIN(pima_data!$D$1:$D$768))</f>
        <v>0</v>
      </c>
      <c r="E572" s="5">
        <f>(pima_data!E572-MIN(pima_data!$E$1:$E$768))/(MAX(pima_data!$E$1:$E$768)-MIN(pima_data!$E$1:$E$768))</f>
        <v>0</v>
      </c>
      <c r="F572" s="5">
        <f>(pima_data!F572-MIN(pima_data!$F$1:$F$768))/(MAX(pima_data!$F$1:$F$768)-MIN(pima_data!$F$1:$F$768))</f>
        <v>0.336810730253353</v>
      </c>
      <c r="G572" s="5">
        <f>(pima_data!G572-MIN(pima_data!$G$1:$G$768))/(MAX(pima_data!$G$1:$G$768)-MIN(pima_data!$G$1:$G$768))</f>
        <v>0.0811272416737831</v>
      </c>
      <c r="H572" s="5">
        <f>(pima_data!H572-MIN(pima_data!$H$1:$H$768))/(MAX(pima_data!$H$1:$H$768)-MIN(pima_data!$H$1:$H$768))</f>
        <v>0</v>
      </c>
    </row>
    <row r="573" spans="1:8">
      <c r="A573" s="5">
        <f>(pima_data!A573-MIN(pima_data!$A$1:$A$768))/(MAX(pima_data!$A$1:$A$768)-MIN(pima_data!$A$1:$A$768))</f>
        <v>0.176470588235294</v>
      </c>
      <c r="B573" s="5">
        <f>(pima_data!B573-MIN(pima_data!$B$1:$B$768))/(MAX(pima_data!$B$1:$B$768)-MIN(pima_data!$B$1:$B$768))</f>
        <v>0.557788944723618</v>
      </c>
      <c r="C573" s="5">
        <f>(pima_data!C573-MIN(pima_data!$C$1:$C$768))/(MAX(pima_data!$C$1:$C$768)-MIN(pima_data!$C$1:$C$768))</f>
        <v>0.475409836065574</v>
      </c>
      <c r="D573" s="5">
        <f>(pima_data!D573-MIN(pima_data!$D$1:$D$768))/(MAX(pima_data!$D$1:$D$768)-MIN(pima_data!$D$1:$D$768))</f>
        <v>0.313131313131313</v>
      </c>
      <c r="E573" s="5">
        <f>(pima_data!E573-MIN(pima_data!$E$1:$E$768))/(MAX(pima_data!$E$1:$E$768)-MIN(pima_data!$E$1:$E$768))</f>
        <v>0.0520094562647754</v>
      </c>
      <c r="F573" s="5">
        <f>(pima_data!F573-MIN(pima_data!$F$1:$F$768))/(MAX(pima_data!$F$1:$F$768)-MIN(pima_data!$F$1:$F$768))</f>
        <v>0.439642324888227</v>
      </c>
      <c r="G573" s="5">
        <f>(pima_data!G573-MIN(pima_data!$G$1:$G$768))/(MAX(pima_data!$G$1:$G$768)-MIN(pima_data!$G$1:$G$768))</f>
        <v>0.150298889837746</v>
      </c>
      <c r="H573" s="5">
        <f>(pima_data!H573-MIN(pima_data!$H$1:$H$768))/(MAX(pima_data!$H$1:$H$768)-MIN(pima_data!$H$1:$H$768))</f>
        <v>0.0166666666666667</v>
      </c>
    </row>
    <row r="574" spans="1:8">
      <c r="A574" s="5">
        <f>(pima_data!A574-MIN(pima_data!$A$1:$A$768))/(MAX(pima_data!$A$1:$A$768)-MIN(pima_data!$A$1:$A$768))</f>
        <v>0.117647058823529</v>
      </c>
      <c r="B574" s="5">
        <f>(pima_data!B574-MIN(pima_data!$B$1:$B$768))/(MAX(pima_data!$B$1:$B$768)-MIN(pima_data!$B$1:$B$768))</f>
        <v>0.492462311557789</v>
      </c>
      <c r="C574" s="5">
        <f>(pima_data!C574-MIN(pima_data!$C$1:$C$768))/(MAX(pima_data!$C$1:$C$768)-MIN(pima_data!$C$1:$C$768))</f>
        <v>0.491803278688525</v>
      </c>
      <c r="D574" s="5">
        <f>(pima_data!D574-MIN(pima_data!$D$1:$D$768))/(MAX(pima_data!$D$1:$D$768)-MIN(pima_data!$D$1:$D$768))</f>
        <v>0.171717171717172</v>
      </c>
      <c r="E574" s="5">
        <f>(pima_data!E574-MIN(pima_data!$E$1:$E$768))/(MAX(pima_data!$E$1:$E$768)-MIN(pima_data!$E$1:$E$768))</f>
        <v>0.141843971631206</v>
      </c>
      <c r="F574" s="5">
        <f>(pima_data!F574-MIN(pima_data!$F$1:$F$768))/(MAX(pima_data!$F$1:$F$768)-MIN(pima_data!$F$1:$F$768))</f>
        <v>0.517138599105812</v>
      </c>
      <c r="G574" s="5">
        <f>(pima_data!G574-MIN(pima_data!$G$1:$G$768))/(MAX(pima_data!$G$1:$G$768)-MIN(pima_data!$G$1:$G$768))</f>
        <v>0.0512382578992314</v>
      </c>
      <c r="H574" s="5">
        <f>(pima_data!H574-MIN(pima_data!$H$1:$H$768))/(MAX(pima_data!$H$1:$H$768)-MIN(pima_data!$H$1:$H$768))</f>
        <v>0.0166666666666667</v>
      </c>
    </row>
    <row r="575" spans="1:8">
      <c r="A575" s="5">
        <f>(pima_data!A575-MIN(pima_data!$A$1:$A$768))/(MAX(pima_data!$A$1:$A$768)-MIN(pima_data!$A$1:$A$768))</f>
        <v>0.0588235294117647</v>
      </c>
      <c r="B575" s="5">
        <f>(pima_data!B575-MIN(pima_data!$B$1:$B$768))/(MAX(pima_data!$B$1:$B$768)-MIN(pima_data!$B$1:$B$768))</f>
        <v>0.718592964824121</v>
      </c>
      <c r="C575" s="5">
        <f>(pima_data!C575-MIN(pima_data!$C$1:$C$768))/(MAX(pima_data!$C$1:$C$768)-MIN(pima_data!$C$1:$C$768))</f>
        <v>0.704918032786885</v>
      </c>
      <c r="D575" s="5">
        <f>(pima_data!D575-MIN(pima_data!$D$1:$D$768))/(MAX(pima_data!$D$1:$D$768)-MIN(pima_data!$D$1:$D$768))</f>
        <v>0.303030303030303</v>
      </c>
      <c r="E575" s="5">
        <f>(pima_data!E575-MIN(pima_data!$E$1:$E$768))/(MAX(pima_data!$E$1:$E$768)-MIN(pima_data!$E$1:$E$768))</f>
        <v>0.390070921985816</v>
      </c>
      <c r="F575" s="5">
        <f>(pima_data!F575-MIN(pima_data!$F$1:$F$768))/(MAX(pima_data!$F$1:$F$768)-MIN(pima_data!$F$1:$F$768))</f>
        <v>0.448584202682563</v>
      </c>
      <c r="G575" s="5">
        <f>(pima_data!G575-MIN(pima_data!$G$1:$G$768))/(MAX(pima_data!$G$1:$G$768)-MIN(pima_data!$G$1:$G$768))</f>
        <v>0.347566182749787</v>
      </c>
      <c r="H575" s="5">
        <f>(pima_data!H575-MIN(pima_data!$H$1:$H$768))/(MAX(pima_data!$H$1:$H$768)-MIN(pima_data!$H$1:$H$768))</f>
        <v>0.0333333333333333</v>
      </c>
    </row>
    <row r="576" spans="1:8">
      <c r="A576" s="5">
        <f>(pima_data!A576-MIN(pima_data!$A$1:$A$768))/(MAX(pima_data!$A$1:$A$768)-MIN(pima_data!$A$1:$A$768))</f>
        <v>0.0588235294117647</v>
      </c>
      <c r="B576" s="5">
        <f>(pima_data!B576-MIN(pima_data!$B$1:$B$768))/(MAX(pima_data!$B$1:$B$768)-MIN(pima_data!$B$1:$B$768))</f>
        <v>0.597989949748744</v>
      </c>
      <c r="C576" s="5">
        <f>(pima_data!C576-MIN(pima_data!$C$1:$C$768))/(MAX(pima_data!$C$1:$C$768)-MIN(pima_data!$C$1:$C$768))</f>
        <v>0.360655737704918</v>
      </c>
      <c r="D576" s="5">
        <f>(pima_data!D576-MIN(pima_data!$D$1:$D$768))/(MAX(pima_data!$D$1:$D$768)-MIN(pima_data!$D$1:$D$768))</f>
        <v>0.474747474747475</v>
      </c>
      <c r="E576" s="5">
        <f>(pima_data!E576-MIN(pima_data!$E$1:$E$768))/(MAX(pima_data!$E$1:$E$768)-MIN(pima_data!$E$1:$E$768))</f>
        <v>0.074468085106383</v>
      </c>
      <c r="F576" s="5">
        <f>(pima_data!F576-MIN(pima_data!$F$1:$F$768))/(MAX(pima_data!$F$1:$F$768)-MIN(pima_data!$F$1:$F$768))</f>
        <v>0.529061102831595</v>
      </c>
      <c r="G576" s="5">
        <f>(pima_data!G576-MIN(pima_data!$G$1:$G$768))/(MAX(pima_data!$G$1:$G$768)-MIN(pima_data!$G$1:$G$768))</f>
        <v>0.0862510674637062</v>
      </c>
      <c r="H576" s="5">
        <f>(pima_data!H576-MIN(pima_data!$H$1:$H$768))/(MAX(pima_data!$H$1:$H$768)-MIN(pima_data!$H$1:$H$768))</f>
        <v>0.0666666666666667</v>
      </c>
    </row>
    <row r="577" spans="1:8">
      <c r="A577" s="5">
        <f>(pima_data!A577-MIN(pima_data!$A$1:$A$768))/(MAX(pima_data!$A$1:$A$768)-MIN(pima_data!$A$1:$A$768))</f>
        <v>0.352941176470588</v>
      </c>
      <c r="B577" s="5">
        <f>(pima_data!B577-MIN(pima_data!$B$1:$B$768))/(MAX(pima_data!$B$1:$B$768)-MIN(pima_data!$B$1:$B$768))</f>
        <v>0.542713567839196</v>
      </c>
      <c r="C577" s="5">
        <f>(pima_data!C577-MIN(pima_data!$C$1:$C$768))/(MAX(pima_data!$C$1:$C$768)-MIN(pima_data!$C$1:$C$768))</f>
        <v>0.360655737704918</v>
      </c>
      <c r="D577" s="5">
        <f>(pima_data!D577-MIN(pima_data!$D$1:$D$768))/(MAX(pima_data!$D$1:$D$768)-MIN(pima_data!$D$1:$D$768))</f>
        <v>0.202020202020202</v>
      </c>
      <c r="E577" s="5">
        <f>(pima_data!E577-MIN(pima_data!$E$1:$E$768))/(MAX(pima_data!$E$1:$E$768)-MIN(pima_data!$E$1:$E$768))</f>
        <v>0.153664302600473</v>
      </c>
      <c r="F577" s="5">
        <f>(pima_data!F577-MIN(pima_data!$F$1:$F$768))/(MAX(pima_data!$F$1:$F$768)-MIN(pima_data!$F$1:$F$768))</f>
        <v>0.357675111773472</v>
      </c>
      <c r="G577" s="5">
        <f>(pima_data!G577-MIN(pima_data!$G$1:$G$768))/(MAX(pima_data!$G$1:$G$768)-MIN(pima_data!$G$1:$G$768))</f>
        <v>0.313834329632792</v>
      </c>
      <c r="H577" s="5">
        <f>(pima_data!H577-MIN(pima_data!$H$1:$H$768))/(MAX(pima_data!$H$1:$H$768)-MIN(pima_data!$H$1:$H$768))</f>
        <v>0.233333333333333</v>
      </c>
    </row>
    <row r="578" spans="1:8">
      <c r="A578" s="5">
        <f>(pima_data!A578-MIN(pima_data!$A$1:$A$768))/(MAX(pima_data!$A$1:$A$768)-MIN(pima_data!$A$1:$A$768))</f>
        <v>0.117647058823529</v>
      </c>
      <c r="B578" s="5">
        <f>(pima_data!B578-MIN(pima_data!$B$1:$B$768))/(MAX(pima_data!$B$1:$B$768)-MIN(pima_data!$B$1:$B$768))</f>
        <v>0.592964824120603</v>
      </c>
      <c r="C578" s="5">
        <f>(pima_data!C578-MIN(pima_data!$C$1:$C$768))/(MAX(pima_data!$C$1:$C$768)-MIN(pima_data!$C$1:$C$768))</f>
        <v>0.655737704918033</v>
      </c>
      <c r="D578" s="5">
        <f>(pima_data!D578-MIN(pima_data!$D$1:$D$768))/(MAX(pima_data!$D$1:$D$768)-MIN(pima_data!$D$1:$D$768))</f>
        <v>0</v>
      </c>
      <c r="E578" s="5">
        <f>(pima_data!E578-MIN(pima_data!$E$1:$E$768))/(MAX(pima_data!$E$1:$E$768)-MIN(pima_data!$E$1:$E$768))</f>
        <v>0</v>
      </c>
      <c r="F578" s="5">
        <f>(pima_data!F578-MIN(pima_data!$F$1:$F$768))/(MAX(pima_data!$F$1:$F$768)-MIN(pima_data!$F$1:$F$768))</f>
        <v>0.639344262295082</v>
      </c>
      <c r="G578" s="5">
        <f>(pima_data!G578-MIN(pima_data!$G$1:$G$768))/(MAX(pima_data!$G$1:$G$768)-MIN(pima_data!$G$1:$G$768))</f>
        <v>0.262596071733561</v>
      </c>
      <c r="H578" s="5">
        <f>(pima_data!H578-MIN(pima_data!$H$1:$H$768))/(MAX(pima_data!$H$1:$H$768)-MIN(pima_data!$H$1:$H$768))</f>
        <v>0</v>
      </c>
    </row>
    <row r="579" spans="1:8">
      <c r="A579" s="5">
        <f>(pima_data!A579-MIN(pima_data!$A$1:$A$768))/(MAX(pima_data!$A$1:$A$768)-MIN(pima_data!$A$1:$A$768))</f>
        <v>0.588235294117647</v>
      </c>
      <c r="B579" s="5">
        <f>(pima_data!B579-MIN(pima_data!$B$1:$B$768))/(MAX(pima_data!$B$1:$B$768)-MIN(pima_data!$B$1:$B$768))</f>
        <v>0.668341708542714</v>
      </c>
      <c r="C579" s="5">
        <f>(pima_data!C579-MIN(pima_data!$C$1:$C$768))/(MAX(pima_data!$C$1:$C$768)-MIN(pima_data!$C$1:$C$768))</f>
        <v>0.557377049180328</v>
      </c>
      <c r="D579" s="5">
        <f>(pima_data!D579-MIN(pima_data!$D$1:$D$768))/(MAX(pima_data!$D$1:$D$768)-MIN(pima_data!$D$1:$D$768))</f>
        <v>0</v>
      </c>
      <c r="E579" s="5">
        <f>(pima_data!E579-MIN(pima_data!$E$1:$E$768))/(MAX(pima_data!$E$1:$E$768)-MIN(pima_data!$E$1:$E$768))</f>
        <v>0</v>
      </c>
      <c r="F579" s="5">
        <f>(pima_data!F579-MIN(pima_data!$F$1:$F$768))/(MAX(pima_data!$F$1:$F$768)-MIN(pima_data!$F$1:$F$768))</f>
        <v>0.402384500745157</v>
      </c>
      <c r="G579" s="5">
        <f>(pima_data!G579-MIN(pima_data!$G$1:$G$768))/(MAX(pima_data!$G$1:$G$768)-MIN(pima_data!$G$1:$G$768))</f>
        <v>0.0713065755764304</v>
      </c>
      <c r="H579" s="5">
        <f>(pima_data!H579-MIN(pima_data!$H$1:$H$768))/(MAX(pima_data!$H$1:$H$768)-MIN(pima_data!$H$1:$H$768))</f>
        <v>0.25</v>
      </c>
    </row>
    <row r="580" spans="1:8">
      <c r="A580" s="5">
        <f>(pima_data!A580-MIN(pima_data!$A$1:$A$768))/(MAX(pima_data!$A$1:$A$768)-MIN(pima_data!$A$1:$A$768))</f>
        <v>0.117647058823529</v>
      </c>
      <c r="B580" s="5">
        <f>(pima_data!B580-MIN(pima_data!$B$1:$B$768))/(MAX(pima_data!$B$1:$B$768)-MIN(pima_data!$B$1:$B$768))</f>
        <v>0.989949748743719</v>
      </c>
      <c r="C580" s="5">
        <f>(pima_data!C580-MIN(pima_data!$C$1:$C$768))/(MAX(pima_data!$C$1:$C$768)-MIN(pima_data!$C$1:$C$768))</f>
        <v>0.573770491803279</v>
      </c>
      <c r="D580" s="5">
        <f>(pima_data!D580-MIN(pima_data!$D$1:$D$768))/(MAX(pima_data!$D$1:$D$768)-MIN(pima_data!$D$1:$D$768))</f>
        <v>1</v>
      </c>
      <c r="E580" s="5">
        <f>(pima_data!E580-MIN(pima_data!$E$1:$E$768))/(MAX(pima_data!$E$1:$E$768)-MIN(pima_data!$E$1:$E$768))</f>
        <v>0</v>
      </c>
      <c r="F580" s="5">
        <f>(pima_data!F580-MIN(pima_data!$F$1:$F$768))/(MAX(pima_data!$F$1:$F$768)-MIN(pima_data!$F$1:$F$768))</f>
        <v>0.517138599105812</v>
      </c>
      <c r="G580" s="5">
        <f>(pima_data!G580-MIN(pima_data!$G$1:$G$768))/(MAX(pima_data!$G$1:$G$768)-MIN(pima_data!$G$1:$G$768))</f>
        <v>0.212211784799317</v>
      </c>
      <c r="H580" s="5">
        <f>(pima_data!H580-MIN(pima_data!$H$1:$H$768))/(MAX(pima_data!$H$1:$H$768)-MIN(pima_data!$H$1:$H$768))</f>
        <v>0.683333333333333</v>
      </c>
    </row>
    <row r="581" spans="1:8">
      <c r="A581" s="5">
        <f>(pima_data!A581-MIN(pima_data!$A$1:$A$768))/(MAX(pima_data!$A$1:$A$768)-MIN(pima_data!$A$1:$A$768))</f>
        <v>0</v>
      </c>
      <c r="B581" s="5">
        <f>(pima_data!B581-MIN(pima_data!$B$1:$B$768))/(MAX(pima_data!$B$1:$B$768)-MIN(pima_data!$B$1:$B$768))</f>
        <v>0.758793969849246</v>
      </c>
      <c r="C581" s="5">
        <f>(pima_data!C581-MIN(pima_data!$C$1:$C$768))/(MAX(pima_data!$C$1:$C$768)-MIN(pima_data!$C$1:$C$768))</f>
        <v>0.737704918032787</v>
      </c>
      <c r="D581" s="5">
        <f>(pima_data!D581-MIN(pima_data!$D$1:$D$768))/(MAX(pima_data!$D$1:$D$768)-MIN(pima_data!$D$1:$D$768))</f>
        <v>0.464646464646465</v>
      </c>
      <c r="E581" s="5">
        <f>(pima_data!E581-MIN(pima_data!$E$1:$E$768))/(MAX(pima_data!$E$1:$E$768)-MIN(pima_data!$E$1:$E$768))</f>
        <v>0</v>
      </c>
      <c r="F581" s="5">
        <f>(pima_data!F581-MIN(pima_data!$F$1:$F$768))/(MAX(pima_data!$F$1:$F$768)-MIN(pima_data!$F$1:$F$768))</f>
        <v>0.6274217585693</v>
      </c>
      <c r="G581" s="5">
        <f>(pima_data!G581-MIN(pima_data!$G$1:$G$768))/(MAX(pima_data!$G$1:$G$768)-MIN(pima_data!$G$1:$G$768))</f>
        <v>0.125106746370623</v>
      </c>
      <c r="H581" s="5">
        <f>(pima_data!H581-MIN(pima_data!$H$1:$H$768))/(MAX(pima_data!$H$1:$H$768)-MIN(pima_data!$H$1:$H$768))</f>
        <v>0</v>
      </c>
    </row>
    <row r="582" spans="1:8">
      <c r="A582" s="5">
        <f>(pima_data!A582-MIN(pima_data!$A$1:$A$768))/(MAX(pima_data!$A$1:$A$768)-MIN(pima_data!$A$1:$A$768))</f>
        <v>0.352941176470588</v>
      </c>
      <c r="B582" s="5">
        <f>(pima_data!B582-MIN(pima_data!$B$1:$B$768))/(MAX(pima_data!$B$1:$B$768)-MIN(pima_data!$B$1:$B$768))</f>
        <v>0.547738693467337</v>
      </c>
      <c r="C582" s="5">
        <f>(pima_data!C582-MIN(pima_data!$C$1:$C$768))/(MAX(pima_data!$C$1:$C$768)-MIN(pima_data!$C$1:$C$768))</f>
        <v>0.491803278688525</v>
      </c>
      <c r="D582" s="5">
        <f>(pima_data!D582-MIN(pima_data!$D$1:$D$768))/(MAX(pima_data!$D$1:$D$768)-MIN(pima_data!$D$1:$D$768))</f>
        <v>0.272727272727273</v>
      </c>
      <c r="E582" s="5">
        <f>(pima_data!E582-MIN(pima_data!$E$1:$E$768))/(MAX(pima_data!$E$1:$E$768)-MIN(pima_data!$E$1:$E$768))</f>
        <v>0</v>
      </c>
      <c r="F582" s="5">
        <f>(pima_data!F582-MIN(pima_data!$F$1:$F$768))/(MAX(pima_data!$F$1:$F$768)-MIN(pima_data!$F$1:$F$768))</f>
        <v>0.3725782414307</v>
      </c>
      <c r="G582" s="5">
        <f>(pima_data!G582-MIN(pima_data!$G$1:$G$768))/(MAX(pima_data!$G$1:$G$768)-MIN(pima_data!$G$1:$G$768))</f>
        <v>0.0546541417591802</v>
      </c>
      <c r="H582" s="5">
        <f>(pima_data!H582-MIN(pima_data!$H$1:$H$768))/(MAX(pima_data!$H$1:$H$768)-MIN(pima_data!$H$1:$H$768))</f>
        <v>0.1</v>
      </c>
    </row>
    <row r="583" spans="1:8">
      <c r="A583" s="5">
        <f>(pima_data!A583-MIN(pima_data!$A$1:$A$768))/(MAX(pima_data!$A$1:$A$768)-MIN(pima_data!$A$1:$A$768))</f>
        <v>0.705882352941177</v>
      </c>
      <c r="B583" s="5">
        <f>(pima_data!B583-MIN(pima_data!$B$1:$B$768))/(MAX(pima_data!$B$1:$B$768)-MIN(pima_data!$B$1:$B$768))</f>
        <v>0.608040201005025</v>
      </c>
      <c r="C583" s="5">
        <f>(pima_data!C583-MIN(pima_data!$C$1:$C$768))/(MAX(pima_data!$C$1:$C$768)-MIN(pima_data!$C$1:$C$768))</f>
        <v>0.639344262295082</v>
      </c>
      <c r="D583" s="5">
        <f>(pima_data!D583-MIN(pima_data!$D$1:$D$768))/(MAX(pima_data!$D$1:$D$768)-MIN(pima_data!$D$1:$D$768))</f>
        <v>0.171717171717172</v>
      </c>
      <c r="E583" s="5">
        <f>(pima_data!E583-MIN(pima_data!$E$1:$E$768))/(MAX(pima_data!$E$1:$E$768)-MIN(pima_data!$E$1:$E$768))</f>
        <v>0</v>
      </c>
      <c r="F583" s="5">
        <f>(pima_data!F583-MIN(pima_data!$F$1:$F$768))/(MAX(pima_data!$F$1:$F$768)-MIN(pima_data!$F$1:$F$768))</f>
        <v>0.394932935916542</v>
      </c>
      <c r="G583" s="5">
        <f>(pima_data!G583-MIN(pima_data!$G$1:$G$768))/(MAX(pima_data!$G$1:$G$768)-MIN(pima_data!$G$1:$G$768))</f>
        <v>0.0772843723313407</v>
      </c>
      <c r="H583" s="5">
        <f>(pima_data!H583-MIN(pima_data!$H$1:$H$768))/(MAX(pima_data!$H$1:$H$768)-MIN(pima_data!$H$1:$H$768))</f>
        <v>0.683333333333333</v>
      </c>
    </row>
    <row r="584" spans="1:8">
      <c r="A584" s="5">
        <f>(pima_data!A584-MIN(pima_data!$A$1:$A$768))/(MAX(pima_data!$A$1:$A$768)-MIN(pima_data!$A$1:$A$768))</f>
        <v>0.470588235294118</v>
      </c>
      <c r="B584" s="5">
        <f>(pima_data!B584-MIN(pima_data!$B$1:$B$768))/(MAX(pima_data!$B$1:$B$768)-MIN(pima_data!$B$1:$B$768))</f>
        <v>0.50251256281407</v>
      </c>
      <c r="C584" s="5">
        <f>(pima_data!C584-MIN(pima_data!$C$1:$C$768))/(MAX(pima_data!$C$1:$C$768)-MIN(pima_data!$C$1:$C$768))</f>
        <v>0.622950819672131</v>
      </c>
      <c r="D584" s="5">
        <f>(pima_data!D584-MIN(pima_data!$D$1:$D$768))/(MAX(pima_data!$D$1:$D$768)-MIN(pima_data!$D$1:$D$768))</f>
        <v>0</v>
      </c>
      <c r="E584" s="5">
        <f>(pima_data!E584-MIN(pima_data!$E$1:$E$768))/(MAX(pima_data!$E$1:$E$768)-MIN(pima_data!$E$1:$E$768))</f>
        <v>0</v>
      </c>
      <c r="F584" s="5">
        <f>(pima_data!F584-MIN(pima_data!$F$1:$F$768))/(MAX(pima_data!$F$1:$F$768)-MIN(pima_data!$F$1:$F$768))</f>
        <v>0.576751117734724</v>
      </c>
      <c r="G584" s="5">
        <f>(pima_data!G584-MIN(pima_data!$G$1:$G$768))/(MAX(pima_data!$G$1:$G$768)-MIN(pima_data!$G$1:$G$768))</f>
        <v>0.0478223740392827</v>
      </c>
      <c r="H584" s="5">
        <f>(pima_data!H584-MIN(pima_data!$H$1:$H$768))/(MAX(pima_data!$H$1:$H$768)-MIN(pima_data!$H$1:$H$768))</f>
        <v>0.35</v>
      </c>
    </row>
    <row r="585" spans="1:8">
      <c r="A585" s="5">
        <f>(pima_data!A585-MIN(pima_data!$A$1:$A$768))/(MAX(pima_data!$A$1:$A$768)-MIN(pima_data!$A$1:$A$768))</f>
        <v>0.470588235294118</v>
      </c>
      <c r="B585" s="5">
        <f>(pima_data!B585-MIN(pima_data!$B$1:$B$768))/(MAX(pima_data!$B$1:$B$768)-MIN(pima_data!$B$1:$B$768))</f>
        <v>0.623115577889447</v>
      </c>
      <c r="C585" s="5">
        <f>(pima_data!C585-MIN(pima_data!$C$1:$C$768))/(MAX(pima_data!$C$1:$C$768)-MIN(pima_data!$C$1:$C$768))</f>
        <v>0.622950819672131</v>
      </c>
      <c r="D585" s="5">
        <f>(pima_data!D585-MIN(pima_data!$D$1:$D$768))/(MAX(pima_data!$D$1:$D$768)-MIN(pima_data!$D$1:$D$768))</f>
        <v>0.242424242424242</v>
      </c>
      <c r="E585" s="5">
        <f>(pima_data!E585-MIN(pima_data!$E$1:$E$768))/(MAX(pima_data!$E$1:$E$768)-MIN(pima_data!$E$1:$E$768))</f>
        <v>0.709219858156028</v>
      </c>
      <c r="F585" s="5">
        <f>(pima_data!F585-MIN(pima_data!$F$1:$F$768))/(MAX(pima_data!$F$1:$F$768)-MIN(pima_data!$F$1:$F$768))</f>
        <v>0.427719821162444</v>
      </c>
      <c r="G585" s="5">
        <f>(pima_data!G585-MIN(pima_data!$G$1:$G$768))/(MAX(pima_data!$G$1:$G$768)-MIN(pima_data!$G$1:$G$768))</f>
        <v>0.2600341588386</v>
      </c>
      <c r="H585" s="5">
        <f>(pima_data!H585-MIN(pima_data!$H$1:$H$768))/(MAX(pima_data!$H$1:$H$768)-MIN(pima_data!$H$1:$H$768))</f>
        <v>0.516666666666667</v>
      </c>
    </row>
    <row r="586" spans="1:8">
      <c r="A586" s="5">
        <f>(pima_data!A586-MIN(pima_data!$A$1:$A$768))/(MAX(pima_data!$A$1:$A$768)-MIN(pima_data!$A$1:$A$768))</f>
        <v>0.0588235294117647</v>
      </c>
      <c r="B586" s="5">
        <f>(pima_data!B586-MIN(pima_data!$B$1:$B$768))/(MAX(pima_data!$B$1:$B$768)-MIN(pima_data!$B$1:$B$768))</f>
        <v>0.467336683417085</v>
      </c>
      <c r="C586" s="5">
        <f>(pima_data!C586-MIN(pima_data!$C$1:$C$768))/(MAX(pima_data!$C$1:$C$768)-MIN(pima_data!$C$1:$C$768))</f>
        <v>0.459016393442623</v>
      </c>
      <c r="D586" s="5">
        <f>(pima_data!D586-MIN(pima_data!$D$1:$D$768))/(MAX(pima_data!$D$1:$D$768)-MIN(pima_data!$D$1:$D$768))</f>
        <v>0.111111111111111</v>
      </c>
      <c r="E586" s="5">
        <f>(pima_data!E586-MIN(pima_data!$E$1:$E$768))/(MAX(pima_data!$E$1:$E$768)-MIN(pima_data!$E$1:$E$768))</f>
        <v>0</v>
      </c>
      <c r="F586" s="5">
        <f>(pima_data!F586-MIN(pima_data!$F$1:$F$768))/(MAX(pima_data!$F$1:$F$768)-MIN(pima_data!$F$1:$F$768))</f>
        <v>0.33532041728763</v>
      </c>
      <c r="G586" s="5">
        <f>(pima_data!G586-MIN(pima_data!$G$1:$G$768))/(MAX(pima_data!$G$1:$G$768)-MIN(pima_data!$G$1:$G$768))</f>
        <v>0.144748078565329</v>
      </c>
      <c r="H586" s="5">
        <f>(pima_data!H586-MIN(pima_data!$H$1:$H$768))/(MAX(pima_data!$H$1:$H$768)-MIN(pima_data!$H$1:$H$768))</f>
        <v>0.0166666666666667</v>
      </c>
    </row>
    <row r="587" spans="1:8">
      <c r="A587" s="5">
        <f>(pima_data!A587-MIN(pima_data!$A$1:$A$768))/(MAX(pima_data!$A$1:$A$768)-MIN(pima_data!$A$1:$A$768))</f>
        <v>0.470588235294118</v>
      </c>
      <c r="B587" s="5">
        <f>(pima_data!B587-MIN(pima_data!$B$1:$B$768))/(MAX(pima_data!$B$1:$B$768)-MIN(pima_data!$B$1:$B$768))</f>
        <v>0.718592964824121</v>
      </c>
      <c r="C587" s="5">
        <f>(pima_data!C587-MIN(pima_data!$C$1:$C$768))/(MAX(pima_data!$C$1:$C$768)-MIN(pima_data!$C$1:$C$768))</f>
        <v>0.540983606557377</v>
      </c>
      <c r="D587" s="5">
        <f>(pima_data!D587-MIN(pima_data!$D$1:$D$768))/(MAX(pima_data!$D$1:$D$768)-MIN(pima_data!$D$1:$D$768))</f>
        <v>0</v>
      </c>
      <c r="E587" s="5">
        <f>(pima_data!E587-MIN(pima_data!$E$1:$E$768))/(MAX(pima_data!$E$1:$E$768)-MIN(pima_data!$E$1:$E$768))</f>
        <v>0</v>
      </c>
      <c r="F587" s="5">
        <f>(pima_data!F587-MIN(pima_data!$F$1:$F$768))/(MAX(pima_data!$F$1:$F$768)-MIN(pima_data!$F$1:$F$768))</f>
        <v>0.520119225037258</v>
      </c>
      <c r="G587" s="5">
        <f>(pima_data!G587-MIN(pima_data!$G$1:$G$768))/(MAX(pima_data!$G$1:$G$768)-MIN(pima_data!$G$1:$G$768))</f>
        <v>0.0217762596071734</v>
      </c>
      <c r="H587" s="5">
        <f>(pima_data!H587-MIN(pima_data!$H$1:$H$768))/(MAX(pima_data!$H$1:$H$768)-MIN(pima_data!$H$1:$H$768))</f>
        <v>0.333333333333333</v>
      </c>
    </row>
    <row r="588" spans="1:8">
      <c r="A588" s="5">
        <f>(pima_data!A588-MIN(pima_data!$A$1:$A$768))/(MAX(pima_data!$A$1:$A$768)-MIN(pima_data!$A$1:$A$768))</f>
        <v>0.352941176470588</v>
      </c>
      <c r="B588" s="5">
        <f>(pima_data!B588-MIN(pima_data!$B$1:$B$768))/(MAX(pima_data!$B$1:$B$768)-MIN(pima_data!$B$1:$B$768))</f>
        <v>0.517587939698492</v>
      </c>
      <c r="C588" s="5">
        <f>(pima_data!C588-MIN(pima_data!$C$1:$C$768))/(MAX(pima_data!$C$1:$C$768)-MIN(pima_data!$C$1:$C$768))</f>
        <v>0.540983606557377</v>
      </c>
      <c r="D588" s="5">
        <f>(pima_data!D588-MIN(pima_data!$D$1:$D$768))/(MAX(pima_data!$D$1:$D$768)-MIN(pima_data!$D$1:$D$768))</f>
        <v>0</v>
      </c>
      <c r="E588" s="5">
        <f>(pima_data!E588-MIN(pima_data!$E$1:$E$768))/(MAX(pima_data!$E$1:$E$768)-MIN(pima_data!$E$1:$E$768))</f>
        <v>0</v>
      </c>
      <c r="F588" s="5">
        <f>(pima_data!F588-MIN(pima_data!$F$1:$F$768))/(MAX(pima_data!$F$1:$F$768)-MIN(pima_data!$F$1:$F$768))</f>
        <v>0.362146050670641</v>
      </c>
      <c r="G588" s="5">
        <f>(pima_data!G588-MIN(pima_data!$G$1:$G$768))/(MAX(pima_data!$G$1:$G$768)-MIN(pima_data!$G$1:$G$768))</f>
        <v>0.0730145175064048</v>
      </c>
      <c r="H588" s="5">
        <f>(pima_data!H588-MIN(pima_data!$H$1:$H$768))/(MAX(pima_data!$H$1:$H$768)-MIN(pima_data!$H$1:$H$768))</f>
        <v>0.133333333333333</v>
      </c>
    </row>
    <row r="589" spans="1:8">
      <c r="A589" s="5">
        <f>(pima_data!A589-MIN(pima_data!$A$1:$A$768))/(MAX(pima_data!$A$1:$A$768)-MIN(pima_data!$A$1:$A$768))</f>
        <v>0.176470588235294</v>
      </c>
      <c r="B589" s="5">
        <f>(pima_data!B589-MIN(pima_data!$B$1:$B$768))/(MAX(pima_data!$B$1:$B$768)-MIN(pima_data!$B$1:$B$768))</f>
        <v>0.884422110552764</v>
      </c>
      <c r="C589" s="5">
        <f>(pima_data!C589-MIN(pima_data!$C$1:$C$768))/(MAX(pima_data!$C$1:$C$768)-MIN(pima_data!$C$1:$C$768))</f>
        <v>0.704918032786885</v>
      </c>
      <c r="D589" s="5">
        <f>(pima_data!D589-MIN(pima_data!$D$1:$D$768))/(MAX(pima_data!$D$1:$D$768)-MIN(pima_data!$D$1:$D$768))</f>
        <v>0.272727272727273</v>
      </c>
      <c r="E589" s="5">
        <f>(pima_data!E589-MIN(pima_data!$E$1:$E$768))/(MAX(pima_data!$E$1:$E$768)-MIN(pima_data!$E$1:$E$768))</f>
        <v>0.184397163120567</v>
      </c>
      <c r="F589" s="5">
        <f>(pima_data!F589-MIN(pima_data!$F$1:$F$768))/(MAX(pima_data!$F$1:$F$768)-MIN(pima_data!$F$1:$F$768))</f>
        <v>0.496274217585693</v>
      </c>
      <c r="G589" s="5">
        <f>(pima_data!G589-MIN(pima_data!$G$1:$G$768))/(MAX(pima_data!$G$1:$G$768)-MIN(pima_data!$G$1:$G$768))</f>
        <v>0.459436379163108</v>
      </c>
      <c r="H589" s="5">
        <f>(pima_data!H589-MIN(pima_data!$H$1:$H$768))/(MAX(pima_data!$H$1:$H$768)-MIN(pima_data!$H$1:$H$768))</f>
        <v>0.516666666666667</v>
      </c>
    </row>
    <row r="590" spans="1:8">
      <c r="A590" s="5">
        <f>(pima_data!A590-MIN(pima_data!$A$1:$A$768))/(MAX(pima_data!$A$1:$A$768)-MIN(pima_data!$A$1:$A$768))</f>
        <v>0</v>
      </c>
      <c r="B590" s="5">
        <f>(pima_data!B590-MIN(pima_data!$B$1:$B$768))/(MAX(pima_data!$B$1:$B$768)-MIN(pima_data!$B$1:$B$768))</f>
        <v>0.366834170854271</v>
      </c>
      <c r="C590" s="5">
        <f>(pima_data!C590-MIN(pima_data!$C$1:$C$768))/(MAX(pima_data!$C$1:$C$768)-MIN(pima_data!$C$1:$C$768))</f>
        <v>0</v>
      </c>
      <c r="D590" s="5">
        <f>(pima_data!D590-MIN(pima_data!$D$1:$D$768))/(MAX(pima_data!$D$1:$D$768)-MIN(pima_data!$D$1:$D$768))</f>
        <v>0</v>
      </c>
      <c r="E590" s="5">
        <f>(pima_data!E590-MIN(pima_data!$E$1:$E$768))/(MAX(pima_data!$E$1:$E$768)-MIN(pima_data!$E$1:$E$768))</f>
        <v>0</v>
      </c>
      <c r="F590" s="5">
        <f>(pima_data!F590-MIN(pima_data!$F$1:$F$768))/(MAX(pima_data!$F$1:$F$768)-MIN(pima_data!$F$1:$F$768))</f>
        <v>0.314456035767511</v>
      </c>
      <c r="G590" s="5">
        <f>(pima_data!G590-MIN(pima_data!$G$1:$G$768))/(MAX(pima_data!$G$1:$G$768)-MIN(pima_data!$G$1:$G$768))</f>
        <v>0.112724167378309</v>
      </c>
      <c r="H590" s="5">
        <f>(pima_data!H590-MIN(pima_data!$H$1:$H$768))/(MAX(pima_data!$H$1:$H$768)-MIN(pima_data!$H$1:$H$768))</f>
        <v>0.0666666666666667</v>
      </c>
    </row>
    <row r="591" spans="1:8">
      <c r="A591" s="5">
        <f>(pima_data!A591-MIN(pima_data!$A$1:$A$768))/(MAX(pima_data!$A$1:$A$768)-MIN(pima_data!$A$1:$A$768))</f>
        <v>0.647058823529412</v>
      </c>
      <c r="B591" s="5">
        <f>(pima_data!B591-MIN(pima_data!$B$1:$B$768))/(MAX(pima_data!$B$1:$B$768)-MIN(pima_data!$B$1:$B$768))</f>
        <v>0.557788944723618</v>
      </c>
      <c r="C591" s="5">
        <f>(pima_data!C591-MIN(pima_data!$C$1:$C$768))/(MAX(pima_data!$C$1:$C$768)-MIN(pima_data!$C$1:$C$768))</f>
        <v>0.688524590163934</v>
      </c>
      <c r="D591" s="5">
        <f>(pima_data!D591-MIN(pima_data!$D$1:$D$768))/(MAX(pima_data!$D$1:$D$768)-MIN(pima_data!$D$1:$D$768))</f>
        <v>0.404040404040404</v>
      </c>
      <c r="E591" s="5">
        <f>(pima_data!E591-MIN(pima_data!$E$1:$E$768))/(MAX(pima_data!$E$1:$E$768)-MIN(pima_data!$E$1:$E$768))</f>
        <v>0</v>
      </c>
      <c r="F591" s="5">
        <f>(pima_data!F591-MIN(pima_data!$F$1:$F$768))/(MAX(pima_data!$F$1:$F$768)-MIN(pima_data!$F$1:$F$768))</f>
        <v>0.697466467958271</v>
      </c>
      <c r="G591" s="5">
        <f>(pima_data!G591-MIN(pima_data!$G$1:$G$768))/(MAX(pima_data!$G$1:$G$768)-MIN(pima_data!$G$1:$G$768))</f>
        <v>0.361656703672075</v>
      </c>
      <c r="H591" s="5">
        <f>(pima_data!H591-MIN(pima_data!$H$1:$H$768))/(MAX(pima_data!$H$1:$H$768)-MIN(pima_data!$H$1:$H$768))</f>
        <v>0.4</v>
      </c>
    </row>
    <row r="592" spans="1:8">
      <c r="A592" s="5">
        <f>(pima_data!A592-MIN(pima_data!$A$1:$A$768))/(MAX(pima_data!$A$1:$A$768)-MIN(pima_data!$A$1:$A$768))</f>
        <v>0.117647058823529</v>
      </c>
      <c r="B592" s="5">
        <f>(pima_data!B592-MIN(pima_data!$B$1:$B$768))/(MAX(pima_data!$B$1:$B$768)-MIN(pima_data!$B$1:$B$768))</f>
        <v>0.562814070351759</v>
      </c>
      <c r="C592" s="5">
        <f>(pima_data!C592-MIN(pima_data!$C$1:$C$768))/(MAX(pima_data!$C$1:$C$768)-MIN(pima_data!$C$1:$C$768))</f>
        <v>0.639344262295082</v>
      </c>
      <c r="D592" s="5">
        <f>(pima_data!D592-MIN(pima_data!$D$1:$D$768))/(MAX(pima_data!$D$1:$D$768)-MIN(pima_data!$D$1:$D$768))</f>
        <v>0.505050505050505</v>
      </c>
      <c r="E592" s="5">
        <f>(pima_data!E592-MIN(pima_data!$E$1:$E$768))/(MAX(pima_data!$E$1:$E$768)-MIN(pima_data!$E$1:$E$768))</f>
        <v>0.16548463356974</v>
      </c>
      <c r="F592" s="5">
        <f>(pima_data!F592-MIN(pima_data!$F$1:$F$768))/(MAX(pima_data!$F$1:$F$768)-MIN(pima_data!$F$1:$F$768))</f>
        <v>0.587183308494784</v>
      </c>
      <c r="G592" s="5">
        <f>(pima_data!G592-MIN(pima_data!$G$1:$G$768))/(MAX(pima_data!$G$1:$G$768)-MIN(pima_data!$G$1:$G$768))</f>
        <v>0.0414175918018787</v>
      </c>
      <c r="H592" s="5">
        <f>(pima_data!H592-MIN(pima_data!$H$1:$H$768))/(MAX(pima_data!$H$1:$H$768)-MIN(pima_data!$H$1:$H$768))</f>
        <v>0.05</v>
      </c>
    </row>
    <row r="593" spans="1:8">
      <c r="A593" s="5">
        <f>(pima_data!A593-MIN(pima_data!$A$1:$A$768))/(MAX(pima_data!$A$1:$A$768)-MIN(pima_data!$A$1:$A$768))</f>
        <v>0.176470588235294</v>
      </c>
      <c r="B593" s="5">
        <f>(pima_data!B593-MIN(pima_data!$B$1:$B$768))/(MAX(pima_data!$B$1:$B$768)-MIN(pima_data!$B$1:$B$768))</f>
        <v>0.663316582914573</v>
      </c>
      <c r="C593" s="5">
        <f>(pima_data!C593-MIN(pima_data!$C$1:$C$768))/(MAX(pima_data!$C$1:$C$768)-MIN(pima_data!$C$1:$C$768))</f>
        <v>0.655737704918033</v>
      </c>
      <c r="D593" s="5">
        <f>(pima_data!D593-MIN(pima_data!$D$1:$D$768))/(MAX(pima_data!$D$1:$D$768)-MIN(pima_data!$D$1:$D$768))</f>
        <v>0</v>
      </c>
      <c r="E593" s="5">
        <f>(pima_data!E593-MIN(pima_data!$E$1:$E$768))/(MAX(pima_data!$E$1:$E$768)-MIN(pima_data!$E$1:$E$768))</f>
        <v>0</v>
      </c>
      <c r="F593" s="5">
        <f>(pima_data!F593-MIN(pima_data!$F$1:$F$768))/(MAX(pima_data!$F$1:$F$768)-MIN(pima_data!$F$1:$F$768))</f>
        <v>0.512667660208644</v>
      </c>
      <c r="G593" s="5">
        <f>(pima_data!G593-MIN(pima_data!$G$1:$G$768))/(MAX(pima_data!$G$1:$G$768)-MIN(pima_data!$G$1:$G$768))</f>
        <v>0.138343296327925</v>
      </c>
      <c r="H593" s="5">
        <f>(pima_data!H593-MIN(pima_data!$H$1:$H$768))/(MAX(pima_data!$H$1:$H$768)-MIN(pima_data!$H$1:$H$768))</f>
        <v>0.383333333333333</v>
      </c>
    </row>
    <row r="594" spans="1:8">
      <c r="A594" s="5">
        <f>(pima_data!A594-MIN(pima_data!$A$1:$A$768))/(MAX(pima_data!$A$1:$A$768)-MIN(pima_data!$A$1:$A$768))</f>
        <v>0.117647058823529</v>
      </c>
      <c r="B594" s="5">
        <f>(pima_data!B594-MIN(pima_data!$B$1:$B$768))/(MAX(pima_data!$B$1:$B$768)-MIN(pima_data!$B$1:$B$768))</f>
        <v>0.412060301507538</v>
      </c>
      <c r="C594" s="5">
        <f>(pima_data!C594-MIN(pima_data!$C$1:$C$768))/(MAX(pima_data!$C$1:$C$768)-MIN(pima_data!$C$1:$C$768))</f>
        <v>0.426229508196721</v>
      </c>
      <c r="D594" s="5">
        <f>(pima_data!D594-MIN(pima_data!$D$1:$D$768))/(MAX(pima_data!$D$1:$D$768)-MIN(pima_data!$D$1:$D$768))</f>
        <v>0.222222222222222</v>
      </c>
      <c r="E594" s="5">
        <f>(pima_data!E594-MIN(pima_data!$E$1:$E$768))/(MAX(pima_data!$E$1:$E$768)-MIN(pima_data!$E$1:$E$768))</f>
        <v>0.135933806146572</v>
      </c>
      <c r="F594" s="5">
        <f>(pima_data!F594-MIN(pima_data!$F$1:$F$768))/(MAX(pima_data!$F$1:$F$768)-MIN(pima_data!$F$1:$F$768))</f>
        <v>0.424739195230999</v>
      </c>
      <c r="G594" s="5">
        <f>(pima_data!G594-MIN(pima_data!$G$1:$G$768))/(MAX(pima_data!$G$1:$G$768)-MIN(pima_data!$G$1:$G$768))</f>
        <v>0.692143467122118</v>
      </c>
      <c r="H594" s="5">
        <f>(pima_data!H594-MIN(pima_data!$H$1:$H$768))/(MAX(pima_data!$H$1:$H$768)-MIN(pima_data!$H$1:$H$768))</f>
        <v>0.0666666666666667</v>
      </c>
    </row>
    <row r="595" spans="1:8">
      <c r="A595" s="5">
        <f>(pima_data!A595-MIN(pima_data!$A$1:$A$768))/(MAX(pima_data!$A$1:$A$768)-MIN(pima_data!$A$1:$A$768))</f>
        <v>0.352941176470588</v>
      </c>
      <c r="B595" s="5">
        <f>(pima_data!B595-MIN(pima_data!$B$1:$B$768))/(MAX(pima_data!$B$1:$B$768)-MIN(pima_data!$B$1:$B$768))</f>
        <v>0.618090452261307</v>
      </c>
      <c r="C595" s="5">
        <f>(pima_data!C595-MIN(pima_data!$C$1:$C$768))/(MAX(pima_data!$C$1:$C$768)-MIN(pima_data!$C$1:$C$768))</f>
        <v>0.590163934426229</v>
      </c>
      <c r="D595" s="5">
        <f>(pima_data!D595-MIN(pima_data!$D$1:$D$768))/(MAX(pima_data!$D$1:$D$768)-MIN(pima_data!$D$1:$D$768))</f>
        <v>0.454545454545455</v>
      </c>
      <c r="E595" s="5">
        <f>(pima_data!E595-MIN(pima_data!$E$1:$E$768))/(MAX(pima_data!$E$1:$E$768)-MIN(pima_data!$E$1:$E$768))</f>
        <v>0.271867612293144</v>
      </c>
      <c r="F595" s="5">
        <f>(pima_data!F595-MIN(pima_data!$F$1:$F$768))/(MAX(pima_data!$F$1:$F$768)-MIN(pima_data!$F$1:$F$768))</f>
        <v>0.500745156482861</v>
      </c>
      <c r="G595" s="5">
        <f>(pima_data!G595-MIN(pima_data!$G$1:$G$768))/(MAX(pima_data!$G$1:$G$768)-MIN(pima_data!$G$1:$G$768))</f>
        <v>0.279675491033305</v>
      </c>
      <c r="H595" s="5">
        <f>(pima_data!H595-MIN(pima_data!$H$1:$H$768))/(MAX(pima_data!$H$1:$H$768)-MIN(pima_data!$H$1:$H$768))</f>
        <v>0.216666666666667</v>
      </c>
    </row>
    <row r="596" spans="1:8">
      <c r="A596" s="5">
        <f>(pima_data!A596-MIN(pima_data!$A$1:$A$768))/(MAX(pima_data!$A$1:$A$768)-MIN(pima_data!$A$1:$A$768))</f>
        <v>0</v>
      </c>
      <c r="B596" s="5">
        <f>(pima_data!B596-MIN(pima_data!$B$1:$B$768))/(MAX(pima_data!$B$1:$B$768)-MIN(pima_data!$B$1:$B$768))</f>
        <v>0.944723618090452</v>
      </c>
      <c r="C596" s="5">
        <f>(pima_data!C596-MIN(pima_data!$C$1:$C$768))/(MAX(pima_data!$C$1:$C$768)-MIN(pima_data!$C$1:$C$768))</f>
        <v>0.672131147540984</v>
      </c>
      <c r="D596" s="5">
        <f>(pima_data!D596-MIN(pima_data!$D$1:$D$768))/(MAX(pima_data!$D$1:$D$768)-MIN(pima_data!$D$1:$D$768))</f>
        <v>0.141414141414141</v>
      </c>
      <c r="E596" s="5">
        <f>(pima_data!E596-MIN(pima_data!$E$1:$E$768))/(MAX(pima_data!$E$1:$E$768)-MIN(pima_data!$E$1:$E$768))</f>
        <v>0.218676122931442</v>
      </c>
      <c r="F596" s="5">
        <f>(pima_data!F596-MIN(pima_data!$F$1:$F$768))/(MAX(pima_data!$F$1:$F$768)-MIN(pima_data!$F$1:$F$768))</f>
        <v>0.476900149031297</v>
      </c>
      <c r="G596" s="5">
        <f>(pima_data!G596-MIN(pima_data!$G$1:$G$768))/(MAX(pima_data!$G$1:$G$768)-MIN(pima_data!$G$1:$G$768))</f>
        <v>0.257899231426132</v>
      </c>
      <c r="H596" s="5">
        <f>(pima_data!H596-MIN(pima_data!$H$1:$H$768))/(MAX(pima_data!$H$1:$H$768)-MIN(pima_data!$H$1:$H$768))</f>
        <v>0.0166666666666667</v>
      </c>
    </row>
    <row r="597" spans="1:8">
      <c r="A597" s="5">
        <f>(pima_data!A597-MIN(pima_data!$A$1:$A$768))/(MAX(pima_data!$A$1:$A$768)-MIN(pima_data!$A$1:$A$768))</f>
        <v>0</v>
      </c>
      <c r="B597" s="5">
        <f>(pima_data!B597-MIN(pima_data!$B$1:$B$768))/(MAX(pima_data!$B$1:$B$768)-MIN(pima_data!$B$1:$B$768))</f>
        <v>0.336683417085427</v>
      </c>
      <c r="C597" s="5">
        <f>(pima_data!C597-MIN(pima_data!$C$1:$C$768))/(MAX(pima_data!$C$1:$C$768)-MIN(pima_data!$C$1:$C$768))</f>
        <v>0.622950819672131</v>
      </c>
      <c r="D597" s="5">
        <f>(pima_data!D597-MIN(pima_data!$D$1:$D$768))/(MAX(pima_data!$D$1:$D$768)-MIN(pima_data!$D$1:$D$768))</f>
        <v>0</v>
      </c>
      <c r="E597" s="5">
        <f>(pima_data!E597-MIN(pima_data!$E$1:$E$768))/(MAX(pima_data!$E$1:$E$768)-MIN(pima_data!$E$1:$E$768))</f>
        <v>0</v>
      </c>
      <c r="F597" s="5">
        <f>(pima_data!F597-MIN(pima_data!$F$1:$F$768))/(MAX(pima_data!$F$1:$F$768)-MIN(pima_data!$F$1:$F$768))</f>
        <v>0.675111773472429</v>
      </c>
      <c r="G597" s="5">
        <f>(pima_data!G597-MIN(pima_data!$G$1:$G$768))/(MAX(pima_data!$G$1:$G$768)-MIN(pima_data!$G$1:$G$768))</f>
        <v>0.049530315969257</v>
      </c>
      <c r="H597" s="5">
        <f>(pima_data!H597-MIN(pima_data!$H$1:$H$768))/(MAX(pima_data!$H$1:$H$768)-MIN(pima_data!$H$1:$H$768))</f>
        <v>0.416666666666667</v>
      </c>
    </row>
    <row r="598" spans="1:8">
      <c r="A598" s="5">
        <f>(pima_data!A598-MIN(pima_data!$A$1:$A$768))/(MAX(pima_data!$A$1:$A$768)-MIN(pima_data!$A$1:$A$768))</f>
        <v>0.0588235294117647</v>
      </c>
      <c r="B598" s="5">
        <f>(pima_data!B598-MIN(pima_data!$B$1:$B$768))/(MAX(pima_data!$B$1:$B$768)-MIN(pima_data!$B$1:$B$768))</f>
        <v>0.447236180904523</v>
      </c>
      <c r="C598" s="5">
        <f>(pima_data!C598-MIN(pima_data!$C$1:$C$768))/(MAX(pima_data!$C$1:$C$768)-MIN(pima_data!$C$1:$C$768))</f>
        <v>0.19672131147541</v>
      </c>
      <c r="D598" s="5">
        <f>(pima_data!D598-MIN(pima_data!$D$1:$D$768))/(MAX(pima_data!$D$1:$D$768)-MIN(pima_data!$D$1:$D$768))</f>
        <v>0.191919191919192</v>
      </c>
      <c r="E598" s="5">
        <f>(pima_data!E598-MIN(pima_data!$E$1:$E$768))/(MAX(pima_data!$E$1:$E$768)-MIN(pima_data!$E$1:$E$768))</f>
        <v>0.0295508274231678</v>
      </c>
      <c r="F598" s="5">
        <f>(pima_data!F598-MIN(pima_data!$F$1:$F$768))/(MAX(pima_data!$F$1:$F$768)-MIN(pima_data!$F$1:$F$768))</f>
        <v>0.414307004470939</v>
      </c>
      <c r="G598" s="5">
        <f>(pima_data!G598-MIN(pima_data!$G$1:$G$768))/(MAX(pima_data!$G$1:$G$768)-MIN(pima_data!$G$1:$G$768))</f>
        <v>0.205380017079419</v>
      </c>
      <c r="H598" s="5">
        <f>(pima_data!H598-MIN(pima_data!$H$1:$H$768))/(MAX(pima_data!$H$1:$H$768)-MIN(pima_data!$H$1:$H$768))</f>
        <v>0</v>
      </c>
    </row>
    <row r="599" spans="1:8">
      <c r="A599" s="5">
        <f>(pima_data!A599-MIN(pima_data!$A$1:$A$768))/(MAX(pima_data!$A$1:$A$768)-MIN(pima_data!$A$1:$A$768))</f>
        <v>0.0588235294117647</v>
      </c>
      <c r="B599" s="5">
        <f>(pima_data!B599-MIN(pima_data!$B$1:$B$768))/(MAX(pima_data!$B$1:$B$768)-MIN(pima_data!$B$1:$B$768))</f>
        <v>0.869346733668342</v>
      </c>
      <c r="C599" s="5">
        <f>(pima_data!C599-MIN(pima_data!$C$1:$C$768))/(MAX(pima_data!$C$1:$C$768)-MIN(pima_data!$C$1:$C$768))</f>
        <v>0.60655737704918</v>
      </c>
      <c r="D599" s="5">
        <f>(pima_data!D599-MIN(pima_data!$D$1:$D$768))/(MAX(pima_data!$D$1:$D$768)-MIN(pima_data!$D$1:$D$768))</f>
        <v>0</v>
      </c>
      <c r="E599" s="5">
        <f>(pima_data!E599-MIN(pima_data!$E$1:$E$768))/(MAX(pima_data!$E$1:$E$768)-MIN(pima_data!$E$1:$E$768))</f>
        <v>0</v>
      </c>
      <c r="F599" s="5">
        <f>(pima_data!F599-MIN(pima_data!$F$1:$F$768))/(MAX(pima_data!$F$1:$F$768)-MIN(pima_data!$F$1:$F$768))</f>
        <v>0.548435171385991</v>
      </c>
      <c r="G599" s="5">
        <f>(pima_data!G599-MIN(pima_data!$G$1:$G$768))/(MAX(pima_data!$G$1:$G$768)-MIN(pima_data!$G$1:$G$768))</f>
        <v>0.00426985482493595</v>
      </c>
      <c r="H599" s="5">
        <f>(pima_data!H599-MIN(pima_data!$H$1:$H$768))/(MAX(pima_data!$H$1:$H$768)-MIN(pima_data!$H$1:$H$768))</f>
        <v>0.283333333333333</v>
      </c>
    </row>
    <row r="600" spans="1:8">
      <c r="A600" s="5">
        <f>(pima_data!A600-MIN(pima_data!$A$1:$A$768))/(MAX(pima_data!$A$1:$A$768)-MIN(pima_data!$A$1:$A$768))</f>
        <v>0.0588235294117647</v>
      </c>
      <c r="B600" s="5">
        <f>(pima_data!B600-MIN(pima_data!$B$1:$B$768))/(MAX(pima_data!$B$1:$B$768)-MIN(pima_data!$B$1:$B$768))</f>
        <v>0.547738693467337</v>
      </c>
      <c r="C600" s="5">
        <f>(pima_data!C600-MIN(pima_data!$C$1:$C$768))/(MAX(pima_data!$C$1:$C$768)-MIN(pima_data!$C$1:$C$768))</f>
        <v>0.311475409836066</v>
      </c>
      <c r="D600" s="5">
        <f>(pima_data!D600-MIN(pima_data!$D$1:$D$768))/(MAX(pima_data!$D$1:$D$768)-MIN(pima_data!$D$1:$D$768))</f>
        <v>0.181818181818182</v>
      </c>
      <c r="E600" s="5">
        <f>(pima_data!E600-MIN(pima_data!$E$1:$E$768))/(MAX(pima_data!$E$1:$E$768)-MIN(pima_data!$E$1:$E$768))</f>
        <v>0.141843971631206</v>
      </c>
      <c r="F600" s="5">
        <f>(pima_data!F600-MIN(pima_data!$F$1:$F$768))/(MAX(pima_data!$F$1:$F$768)-MIN(pima_data!$F$1:$F$768))</f>
        <v>0.344262295081967</v>
      </c>
      <c r="G600" s="5">
        <f>(pima_data!G600-MIN(pima_data!$G$1:$G$768))/(MAX(pima_data!$G$1:$G$768)-MIN(pima_data!$G$1:$G$768))</f>
        <v>0.140478223740393</v>
      </c>
      <c r="H600" s="5">
        <f>(pima_data!H600-MIN(pima_data!$H$1:$H$768))/(MAX(pima_data!$H$1:$H$768)-MIN(pima_data!$H$1:$H$768))</f>
        <v>0.0833333333333333</v>
      </c>
    </row>
    <row r="601" spans="1:8">
      <c r="A601" s="5">
        <f>(pima_data!A601-MIN(pima_data!$A$1:$A$768))/(MAX(pima_data!$A$1:$A$768)-MIN(pima_data!$A$1:$A$768))</f>
        <v>0.0588235294117647</v>
      </c>
      <c r="B601" s="5">
        <f>(pima_data!B601-MIN(pima_data!$B$1:$B$768))/(MAX(pima_data!$B$1:$B$768)-MIN(pima_data!$B$1:$B$768))</f>
        <v>0.542713567839196</v>
      </c>
      <c r="C601" s="5">
        <f>(pima_data!C601-MIN(pima_data!$C$1:$C$768))/(MAX(pima_data!$C$1:$C$768)-MIN(pima_data!$C$1:$C$768))</f>
        <v>0.721311475409836</v>
      </c>
      <c r="D601" s="5">
        <f>(pima_data!D601-MIN(pima_data!$D$1:$D$768))/(MAX(pima_data!$D$1:$D$768)-MIN(pima_data!$D$1:$D$768))</f>
        <v>0.191919191919192</v>
      </c>
      <c r="E601" s="5">
        <f>(pima_data!E601-MIN(pima_data!$E$1:$E$768))/(MAX(pima_data!$E$1:$E$768)-MIN(pima_data!$E$1:$E$768))</f>
        <v>0</v>
      </c>
      <c r="F601" s="5">
        <f>(pima_data!F601-MIN(pima_data!$F$1:$F$768))/(MAX(pima_data!$F$1:$F$768)-MIN(pima_data!$F$1:$F$768))</f>
        <v>0.403874813710879</v>
      </c>
      <c r="G601" s="5">
        <f>(pima_data!G601-MIN(pima_data!$G$1:$G$768))/(MAX(pima_data!$G$1:$G$768)-MIN(pima_data!$G$1:$G$768))</f>
        <v>0.137489325362938</v>
      </c>
      <c r="H601" s="5">
        <f>(pima_data!H601-MIN(pima_data!$H$1:$H$768))/(MAX(pima_data!$H$1:$H$768)-MIN(pima_data!$H$1:$H$768))</f>
        <v>0.05</v>
      </c>
    </row>
    <row r="602" spans="1:8">
      <c r="A602" s="5">
        <f>(pima_data!A602-MIN(pima_data!$A$1:$A$768))/(MAX(pima_data!$A$1:$A$768)-MIN(pima_data!$A$1:$A$768))</f>
        <v>0.352941176470588</v>
      </c>
      <c r="B602" s="5">
        <f>(pima_data!B602-MIN(pima_data!$B$1:$B$768))/(MAX(pima_data!$B$1:$B$768)-MIN(pima_data!$B$1:$B$768))</f>
        <v>0.482412060301508</v>
      </c>
      <c r="C602" s="5">
        <f>(pima_data!C602-MIN(pima_data!$C$1:$C$768))/(MAX(pima_data!$C$1:$C$768)-MIN(pima_data!$C$1:$C$768))</f>
        <v>0</v>
      </c>
      <c r="D602" s="5">
        <f>(pima_data!D602-MIN(pima_data!$D$1:$D$768))/(MAX(pima_data!$D$1:$D$768)-MIN(pima_data!$D$1:$D$768))</f>
        <v>0</v>
      </c>
      <c r="E602" s="5">
        <f>(pima_data!E602-MIN(pima_data!$E$1:$E$768))/(MAX(pima_data!$E$1:$E$768)-MIN(pima_data!$E$1:$E$768))</f>
        <v>0</v>
      </c>
      <c r="F602" s="5">
        <f>(pima_data!F602-MIN(pima_data!$F$1:$F$768))/(MAX(pima_data!$F$1:$F$768)-MIN(pima_data!$F$1:$F$768))</f>
        <v>0.353204172876304</v>
      </c>
      <c r="G602" s="5">
        <f>(pima_data!G602-MIN(pima_data!$G$1:$G$768))/(MAX(pima_data!$G$1:$G$768)-MIN(pima_data!$G$1:$G$768))</f>
        <v>0.0478223740392827</v>
      </c>
      <c r="H602" s="5">
        <f>(pima_data!H602-MIN(pima_data!$H$1:$H$768))/(MAX(pima_data!$H$1:$H$768)-MIN(pima_data!$H$1:$H$768))</f>
        <v>0.116666666666667</v>
      </c>
    </row>
    <row r="603" spans="1:8">
      <c r="A603" s="5">
        <f>(pima_data!A603-MIN(pima_data!$A$1:$A$768))/(MAX(pima_data!$A$1:$A$768)-MIN(pima_data!$A$1:$A$768))</f>
        <v>0.0588235294117647</v>
      </c>
      <c r="B603" s="5">
        <f>(pima_data!B603-MIN(pima_data!$B$1:$B$768))/(MAX(pima_data!$B$1:$B$768)-MIN(pima_data!$B$1:$B$768))</f>
        <v>0.623115577889447</v>
      </c>
      <c r="C603" s="5">
        <f>(pima_data!C603-MIN(pima_data!$C$1:$C$768))/(MAX(pima_data!$C$1:$C$768)-MIN(pima_data!$C$1:$C$768))</f>
        <v>0.60655737704918</v>
      </c>
      <c r="D603" s="5">
        <f>(pima_data!D603-MIN(pima_data!$D$1:$D$768))/(MAX(pima_data!$D$1:$D$768)-MIN(pima_data!$D$1:$D$768))</f>
        <v>0.363636363636364</v>
      </c>
      <c r="E603" s="5">
        <f>(pima_data!E603-MIN(pima_data!$E$1:$E$768))/(MAX(pima_data!$E$1:$E$768)-MIN(pima_data!$E$1:$E$768))</f>
        <v>0</v>
      </c>
      <c r="F603" s="5">
        <f>(pima_data!F603-MIN(pima_data!$F$1:$F$768))/(MAX(pima_data!$F$1:$F$768)-MIN(pima_data!$F$1:$F$768))</f>
        <v>0.414307004470939</v>
      </c>
      <c r="G603" s="5">
        <f>(pima_data!G603-MIN(pima_data!$G$1:$G$768))/(MAX(pima_data!$G$1:$G$768)-MIN(pima_data!$G$1:$G$768))</f>
        <v>0.0093936806148591</v>
      </c>
      <c r="H603" s="5">
        <f>(pima_data!H603-MIN(pima_data!$H$1:$H$768))/(MAX(pima_data!$H$1:$H$768)-MIN(pima_data!$H$1:$H$768))</f>
        <v>0.15</v>
      </c>
    </row>
    <row r="604" spans="1:8">
      <c r="A604" s="5">
        <f>(pima_data!A604-MIN(pima_data!$A$1:$A$768))/(MAX(pima_data!$A$1:$A$768)-MIN(pima_data!$A$1:$A$768))</f>
        <v>0.411764705882353</v>
      </c>
      <c r="B604" s="5">
        <f>(pima_data!B604-MIN(pima_data!$B$1:$B$768))/(MAX(pima_data!$B$1:$B$768)-MIN(pima_data!$B$1:$B$768))</f>
        <v>0.753768844221106</v>
      </c>
      <c r="C604" s="5">
        <f>(pima_data!C604-MIN(pima_data!$C$1:$C$768))/(MAX(pima_data!$C$1:$C$768)-MIN(pima_data!$C$1:$C$768))</f>
        <v>0.639344262295082</v>
      </c>
      <c r="D604" s="5">
        <f>(pima_data!D604-MIN(pima_data!$D$1:$D$768))/(MAX(pima_data!$D$1:$D$768)-MIN(pima_data!$D$1:$D$768))</f>
        <v>0.292929292929293</v>
      </c>
      <c r="E604" s="5">
        <f>(pima_data!E604-MIN(pima_data!$E$1:$E$768))/(MAX(pima_data!$E$1:$E$768)-MIN(pima_data!$E$1:$E$768))</f>
        <v>0.148936170212766</v>
      </c>
      <c r="F604" s="5">
        <f>(pima_data!F604-MIN(pima_data!$F$1:$F$768))/(MAX(pima_data!$F$1:$F$768)-MIN(pima_data!$F$1:$F$768))</f>
        <v>0.524590163934426</v>
      </c>
      <c r="G604" s="5">
        <f>(pima_data!G604-MIN(pima_data!$G$1:$G$768))/(MAX(pima_data!$G$1:$G$768)-MIN(pima_data!$G$1:$G$768))</f>
        <v>0.262169086251067</v>
      </c>
      <c r="H604" s="5">
        <f>(pima_data!H604-MIN(pima_data!$H$1:$H$768))/(MAX(pima_data!$H$1:$H$768)-MIN(pima_data!$H$1:$H$768))</f>
        <v>0.55</v>
      </c>
    </row>
    <row r="605" spans="1:8">
      <c r="A605" s="5">
        <f>(pima_data!A605-MIN(pima_data!$A$1:$A$768))/(MAX(pima_data!$A$1:$A$768)-MIN(pima_data!$A$1:$A$768))</f>
        <v>0.235294117647059</v>
      </c>
      <c r="B605" s="5">
        <f>(pima_data!B605-MIN(pima_data!$B$1:$B$768))/(MAX(pima_data!$B$1:$B$768)-MIN(pima_data!$B$1:$B$768))</f>
        <v>0.919597989949749</v>
      </c>
      <c r="C605" s="5">
        <f>(pima_data!C605-MIN(pima_data!$C$1:$C$768))/(MAX(pima_data!$C$1:$C$768)-MIN(pima_data!$C$1:$C$768))</f>
        <v>0</v>
      </c>
      <c r="D605" s="5">
        <f>(pima_data!D605-MIN(pima_data!$D$1:$D$768))/(MAX(pima_data!$D$1:$D$768)-MIN(pima_data!$D$1:$D$768))</f>
        <v>0</v>
      </c>
      <c r="E605" s="5">
        <f>(pima_data!E605-MIN(pima_data!$E$1:$E$768))/(MAX(pima_data!$E$1:$E$768)-MIN(pima_data!$E$1:$E$768))</f>
        <v>0</v>
      </c>
      <c r="F605" s="5">
        <f>(pima_data!F605-MIN(pima_data!$F$1:$F$768))/(MAX(pima_data!$F$1:$F$768)-MIN(pima_data!$F$1:$F$768))</f>
        <v>0.423248882265276</v>
      </c>
      <c r="G605" s="5">
        <f>(pima_data!G605-MIN(pima_data!$G$1:$G$768))/(MAX(pima_data!$G$1:$G$768)-MIN(pima_data!$G$1:$G$768))</f>
        <v>0.0572160546541418</v>
      </c>
      <c r="H605" s="5">
        <f>(pima_data!H605-MIN(pima_data!$H$1:$H$768))/(MAX(pima_data!$H$1:$H$768)-MIN(pima_data!$H$1:$H$768))</f>
        <v>0.25</v>
      </c>
    </row>
    <row r="606" spans="1:8">
      <c r="A606" s="5">
        <f>(pima_data!A606-MIN(pima_data!$A$1:$A$768))/(MAX(pima_data!$A$1:$A$768)-MIN(pima_data!$A$1:$A$768))</f>
        <v>0.0588235294117647</v>
      </c>
      <c r="B606" s="5">
        <f>(pima_data!B606-MIN(pima_data!$B$1:$B$768))/(MAX(pima_data!$B$1:$B$768)-MIN(pima_data!$B$1:$B$768))</f>
        <v>0.623115577889447</v>
      </c>
      <c r="C606" s="5">
        <f>(pima_data!C606-MIN(pima_data!$C$1:$C$768))/(MAX(pima_data!$C$1:$C$768)-MIN(pima_data!$C$1:$C$768))</f>
        <v>0.491803278688525</v>
      </c>
      <c r="D606" s="5">
        <f>(pima_data!D606-MIN(pima_data!$D$1:$D$768))/(MAX(pima_data!$D$1:$D$768)-MIN(pima_data!$D$1:$D$768))</f>
        <v>0.323232323232323</v>
      </c>
      <c r="E606" s="5">
        <f>(pima_data!E606-MIN(pima_data!$E$1:$E$768))/(MAX(pima_data!$E$1:$E$768)-MIN(pima_data!$E$1:$E$768))</f>
        <v>0</v>
      </c>
      <c r="F606" s="5">
        <f>(pima_data!F606-MIN(pima_data!$F$1:$F$768))/(MAX(pima_data!$F$1:$F$768)-MIN(pima_data!$F$1:$F$768))</f>
        <v>0.533532041728763</v>
      </c>
      <c r="G606" s="5">
        <f>(pima_data!G606-MIN(pima_data!$G$1:$G$768))/(MAX(pima_data!$G$1:$G$768)-MIN(pima_data!$G$1:$G$768))</f>
        <v>0.186165670367208</v>
      </c>
      <c r="H606" s="5">
        <f>(pima_data!H606-MIN(pima_data!$H$1:$H$768))/(MAX(pima_data!$H$1:$H$768)-MIN(pima_data!$H$1:$H$768))</f>
        <v>0</v>
      </c>
    </row>
    <row r="607" spans="1:8">
      <c r="A607" s="5">
        <f>(pima_data!A607-MIN(pima_data!$A$1:$A$768))/(MAX(pima_data!$A$1:$A$768)-MIN(pima_data!$A$1:$A$768))</f>
        <v>0.0588235294117647</v>
      </c>
      <c r="B607" s="5">
        <f>(pima_data!B607-MIN(pima_data!$B$1:$B$768))/(MAX(pima_data!$B$1:$B$768)-MIN(pima_data!$B$1:$B$768))</f>
        <v>0.909547738693467</v>
      </c>
      <c r="C607" s="5">
        <f>(pima_data!C607-MIN(pima_data!$C$1:$C$768))/(MAX(pima_data!$C$1:$C$768)-MIN(pima_data!$C$1:$C$768))</f>
        <v>0.639344262295082</v>
      </c>
      <c r="D607" s="5">
        <f>(pima_data!D607-MIN(pima_data!$D$1:$D$768))/(MAX(pima_data!$D$1:$D$768)-MIN(pima_data!$D$1:$D$768))</f>
        <v>0.424242424242424</v>
      </c>
      <c r="E607" s="5">
        <f>(pima_data!E607-MIN(pima_data!$E$1:$E$768))/(MAX(pima_data!$E$1:$E$768)-MIN(pima_data!$E$1:$E$768))</f>
        <v>0.346335697399527</v>
      </c>
      <c r="F607" s="5">
        <f>(pima_data!F607-MIN(pima_data!$F$1:$F$768))/(MAX(pima_data!$F$1:$F$768)-MIN(pima_data!$F$1:$F$768))</f>
        <v>0.596125186289121</v>
      </c>
      <c r="G607" s="5">
        <f>(pima_data!G607-MIN(pima_data!$G$1:$G$768))/(MAX(pima_data!$G$1:$G$768)-MIN(pima_data!$G$1:$G$768))</f>
        <v>0.503842869342442</v>
      </c>
      <c r="H607" s="5">
        <f>(pima_data!H607-MIN(pima_data!$H$1:$H$768))/(MAX(pima_data!$H$1:$H$768)-MIN(pima_data!$H$1:$H$768))</f>
        <v>0.0166666666666667</v>
      </c>
    </row>
    <row r="608" spans="1:8">
      <c r="A608" s="5">
        <f>(pima_data!A608-MIN(pima_data!$A$1:$A$768))/(MAX(pima_data!$A$1:$A$768)-MIN(pima_data!$A$1:$A$768))</f>
        <v>0.0588235294117647</v>
      </c>
      <c r="B608" s="5">
        <f>(pima_data!B608-MIN(pima_data!$B$1:$B$768))/(MAX(pima_data!$B$1:$B$768)-MIN(pima_data!$B$1:$B$768))</f>
        <v>0.462311557788945</v>
      </c>
      <c r="C608" s="5">
        <f>(pima_data!C608-MIN(pima_data!$C$1:$C$768))/(MAX(pima_data!$C$1:$C$768)-MIN(pima_data!$C$1:$C$768))</f>
        <v>0.508196721311475</v>
      </c>
      <c r="D608" s="5">
        <f>(pima_data!D608-MIN(pima_data!$D$1:$D$768))/(MAX(pima_data!$D$1:$D$768)-MIN(pima_data!$D$1:$D$768))</f>
        <v>0.252525252525253</v>
      </c>
      <c r="E608" s="5">
        <f>(pima_data!E608-MIN(pima_data!$E$1:$E$768))/(MAX(pima_data!$E$1:$E$768)-MIN(pima_data!$E$1:$E$768))</f>
        <v>0.0484633569739953</v>
      </c>
      <c r="F608" s="5">
        <f>(pima_data!F608-MIN(pima_data!$F$1:$F$768))/(MAX(pima_data!$F$1:$F$768)-MIN(pima_data!$F$1:$F$768))</f>
        <v>0.290611028315946</v>
      </c>
      <c r="G608" s="5">
        <f>(pima_data!G608-MIN(pima_data!$G$1:$G$768))/(MAX(pima_data!$G$1:$G$768)-MIN(pima_data!$G$1:$G$768))</f>
        <v>0.172502134927412</v>
      </c>
      <c r="H608" s="5">
        <f>(pima_data!H608-MIN(pima_data!$H$1:$H$768))/(MAX(pima_data!$H$1:$H$768)-MIN(pima_data!$H$1:$H$768))</f>
        <v>0.0666666666666667</v>
      </c>
    </row>
    <row r="609" spans="1:8">
      <c r="A609" s="5">
        <f>(pima_data!A609-MIN(pima_data!$A$1:$A$768))/(MAX(pima_data!$A$1:$A$768)-MIN(pima_data!$A$1:$A$768))</f>
        <v>0</v>
      </c>
      <c r="B609" s="5">
        <f>(pima_data!B609-MIN(pima_data!$B$1:$B$768))/(MAX(pima_data!$B$1:$B$768)-MIN(pima_data!$B$1:$B$768))</f>
        <v>0.763819095477387</v>
      </c>
      <c r="C609" s="5">
        <f>(pima_data!C609-MIN(pima_data!$C$1:$C$768))/(MAX(pima_data!$C$1:$C$768)-MIN(pima_data!$C$1:$C$768))</f>
        <v>0.672131147540984</v>
      </c>
      <c r="D609" s="5">
        <f>(pima_data!D609-MIN(pima_data!$D$1:$D$768))/(MAX(pima_data!$D$1:$D$768)-MIN(pima_data!$D$1:$D$768))</f>
        <v>0.393939393939394</v>
      </c>
      <c r="E609" s="5">
        <f>(pima_data!E609-MIN(pima_data!$E$1:$E$768))/(MAX(pima_data!$E$1:$E$768)-MIN(pima_data!$E$1:$E$768))</f>
        <v>0.321513002364066</v>
      </c>
      <c r="F609" s="5">
        <f>(pima_data!F609-MIN(pima_data!$F$1:$F$768))/(MAX(pima_data!$F$1:$F$768)-MIN(pima_data!$F$1:$F$768))</f>
        <v>0.618479880774963</v>
      </c>
      <c r="G609" s="5">
        <f>(pima_data!G609-MIN(pima_data!$G$1:$G$768))/(MAX(pima_data!$G$1:$G$768)-MIN(pima_data!$G$1:$G$768))</f>
        <v>0.0819812126387703</v>
      </c>
      <c r="H609" s="5">
        <f>(pima_data!H609-MIN(pima_data!$H$1:$H$768))/(MAX(pima_data!$H$1:$H$768)-MIN(pima_data!$H$1:$H$768))</f>
        <v>0.1</v>
      </c>
    </row>
    <row r="610" spans="1:8">
      <c r="A610" s="5">
        <f>(pima_data!A610-MIN(pima_data!$A$1:$A$768))/(MAX(pima_data!$A$1:$A$768)-MIN(pima_data!$A$1:$A$768))</f>
        <v>0.0588235294117647</v>
      </c>
      <c r="B610" s="5">
        <f>(pima_data!B610-MIN(pima_data!$B$1:$B$768))/(MAX(pima_data!$B$1:$B$768)-MIN(pima_data!$B$1:$B$768))</f>
        <v>0.557788944723618</v>
      </c>
      <c r="C610" s="5">
        <f>(pima_data!C610-MIN(pima_data!$C$1:$C$768))/(MAX(pima_data!$C$1:$C$768)-MIN(pima_data!$C$1:$C$768))</f>
        <v>0.508196721311475</v>
      </c>
      <c r="D610" s="5">
        <f>(pima_data!D610-MIN(pima_data!$D$1:$D$768))/(MAX(pima_data!$D$1:$D$768)-MIN(pima_data!$D$1:$D$768))</f>
        <v>0.131313131313131</v>
      </c>
      <c r="E610" s="5">
        <f>(pima_data!E610-MIN(pima_data!$E$1:$E$768))/(MAX(pima_data!$E$1:$E$768)-MIN(pima_data!$E$1:$E$768))</f>
        <v>0.215130023640662</v>
      </c>
      <c r="F610" s="5">
        <f>(pima_data!F610-MIN(pima_data!$F$1:$F$768))/(MAX(pima_data!$F$1:$F$768)-MIN(pima_data!$F$1:$F$768))</f>
        <v>0.357675111773472</v>
      </c>
      <c r="G610" s="5">
        <f>(pima_data!G610-MIN(pima_data!$G$1:$G$768))/(MAX(pima_data!$G$1:$G$768)-MIN(pima_data!$G$1:$G$768))</f>
        <v>0.0256191289496157</v>
      </c>
      <c r="H610" s="5">
        <f>(pima_data!H610-MIN(pima_data!$H$1:$H$768))/(MAX(pima_data!$H$1:$H$768)-MIN(pima_data!$H$1:$H$768))</f>
        <v>0.0333333333333333</v>
      </c>
    </row>
    <row r="611" spans="1:8">
      <c r="A611" s="5">
        <f>(pima_data!A611-MIN(pima_data!$A$1:$A$768))/(MAX(pima_data!$A$1:$A$768)-MIN(pima_data!$A$1:$A$768))</f>
        <v>0.176470588235294</v>
      </c>
      <c r="B611" s="5">
        <f>(pima_data!B611-MIN(pima_data!$B$1:$B$768))/(MAX(pima_data!$B$1:$B$768)-MIN(pima_data!$B$1:$B$768))</f>
        <v>0.532663316582915</v>
      </c>
      <c r="C611" s="5">
        <f>(pima_data!C611-MIN(pima_data!$C$1:$C$768))/(MAX(pima_data!$C$1:$C$768)-MIN(pima_data!$C$1:$C$768))</f>
        <v>0.442622950819672</v>
      </c>
      <c r="D611" s="5">
        <f>(pima_data!D611-MIN(pima_data!$D$1:$D$768))/(MAX(pima_data!$D$1:$D$768)-MIN(pima_data!$D$1:$D$768))</f>
        <v>0.212121212121212</v>
      </c>
      <c r="E611" s="5">
        <f>(pima_data!E611-MIN(pima_data!$E$1:$E$768))/(MAX(pima_data!$E$1:$E$768)-MIN(pima_data!$E$1:$E$768))</f>
        <v>0.186761229314421</v>
      </c>
      <c r="F611" s="5">
        <f>(pima_data!F611-MIN(pima_data!$F$1:$F$768))/(MAX(pima_data!$F$1:$F$768)-MIN(pima_data!$F$1:$F$768))</f>
        <v>0.460506706408346</v>
      </c>
      <c r="G611" s="5">
        <f>(pima_data!G611-MIN(pima_data!$G$1:$G$768))/(MAX(pima_data!$G$1:$G$768)-MIN(pima_data!$G$1:$G$768))</f>
        <v>0.0913748932536294</v>
      </c>
      <c r="H611" s="5">
        <f>(pima_data!H611-MIN(pima_data!$H$1:$H$768))/(MAX(pima_data!$H$1:$H$768)-MIN(pima_data!$H$1:$H$768))</f>
        <v>0.05</v>
      </c>
    </row>
    <row r="612" spans="1:8">
      <c r="A612" s="5">
        <f>(pima_data!A612-MIN(pima_data!$A$1:$A$768))/(MAX(pima_data!$A$1:$A$768)-MIN(pima_data!$A$1:$A$768))</f>
        <v>0.176470588235294</v>
      </c>
      <c r="B612" s="5">
        <f>(pima_data!B612-MIN(pima_data!$B$1:$B$768))/(MAX(pima_data!$B$1:$B$768)-MIN(pima_data!$B$1:$B$768))</f>
        <v>0.874371859296482</v>
      </c>
      <c r="C612" s="5">
        <f>(pima_data!C612-MIN(pima_data!$C$1:$C$768))/(MAX(pima_data!$C$1:$C$768)-MIN(pima_data!$C$1:$C$768))</f>
        <v>0.475409836065574</v>
      </c>
      <c r="D612" s="5">
        <f>(pima_data!D612-MIN(pima_data!$D$1:$D$768))/(MAX(pima_data!$D$1:$D$768)-MIN(pima_data!$D$1:$D$768))</f>
        <v>0.222222222222222</v>
      </c>
      <c r="E612" s="5">
        <f>(pima_data!E612-MIN(pima_data!$E$1:$E$768))/(MAX(pima_data!$E$1:$E$768)-MIN(pima_data!$E$1:$E$768))</f>
        <v>0.229314420803783</v>
      </c>
      <c r="F612" s="5">
        <f>(pima_data!F612-MIN(pima_data!$F$1:$F$768))/(MAX(pima_data!$F$1:$F$768)-MIN(pima_data!$F$1:$F$768))</f>
        <v>0.490312965722802</v>
      </c>
      <c r="G612" s="5">
        <f>(pima_data!G612-MIN(pima_data!$G$1:$G$768))/(MAX(pima_data!$G$1:$G$768)-MIN(pima_data!$G$1:$G$768))</f>
        <v>0.219897523484202</v>
      </c>
      <c r="H612" s="5">
        <f>(pima_data!H612-MIN(pima_data!$H$1:$H$768))/(MAX(pima_data!$H$1:$H$768)-MIN(pima_data!$H$1:$H$768))</f>
        <v>0.25</v>
      </c>
    </row>
    <row r="613" spans="1:8">
      <c r="A613" s="5">
        <f>(pima_data!A613-MIN(pima_data!$A$1:$A$768))/(MAX(pima_data!$A$1:$A$768)-MIN(pima_data!$A$1:$A$768))</f>
        <v>0.411764705882353</v>
      </c>
      <c r="B613" s="5">
        <f>(pima_data!B613-MIN(pima_data!$B$1:$B$768))/(MAX(pima_data!$B$1:$B$768)-MIN(pima_data!$B$1:$B$768))</f>
        <v>0.844221105527638</v>
      </c>
      <c r="C613" s="5">
        <f>(pima_data!C613-MIN(pima_data!$C$1:$C$768))/(MAX(pima_data!$C$1:$C$768)-MIN(pima_data!$C$1:$C$768))</f>
        <v>0.721311475409836</v>
      </c>
      <c r="D613" s="5">
        <f>(pima_data!D613-MIN(pima_data!$D$1:$D$768))/(MAX(pima_data!$D$1:$D$768)-MIN(pima_data!$D$1:$D$768))</f>
        <v>0.424242424242424</v>
      </c>
      <c r="E613" s="5">
        <f>(pima_data!E613-MIN(pima_data!$E$1:$E$768))/(MAX(pima_data!$E$1:$E$768)-MIN(pima_data!$E$1:$E$768))</f>
        <v>0.379432624113475</v>
      </c>
      <c r="F613" s="5">
        <f>(pima_data!F613-MIN(pima_data!$F$1:$F$768))/(MAX(pima_data!$F$1:$F$768)-MIN(pima_data!$F$1:$F$768))</f>
        <v>0.56929955290611</v>
      </c>
      <c r="G613" s="5">
        <f>(pima_data!G613-MIN(pima_data!$G$1:$G$768))/(MAX(pima_data!$G$1:$G$768)-MIN(pima_data!$G$1:$G$768))</f>
        <v>0.302732707087959</v>
      </c>
      <c r="H613" s="5">
        <f>(pima_data!H613-MIN(pima_data!$H$1:$H$768))/(MAX(pima_data!$H$1:$H$768)-MIN(pima_data!$H$1:$H$768))</f>
        <v>0.316666666666667</v>
      </c>
    </row>
    <row r="614" spans="1:8">
      <c r="A614" s="5">
        <f>(pima_data!A614-MIN(pima_data!$A$1:$A$768))/(MAX(pima_data!$A$1:$A$768)-MIN(pima_data!$A$1:$A$768))</f>
        <v>0.352941176470588</v>
      </c>
      <c r="B614" s="5">
        <f>(pima_data!B614-MIN(pima_data!$B$1:$B$768))/(MAX(pima_data!$B$1:$B$768)-MIN(pima_data!$B$1:$B$768))</f>
        <v>0.527638190954774</v>
      </c>
      <c r="C614" s="5">
        <f>(pima_data!C614-MIN(pima_data!$C$1:$C$768))/(MAX(pima_data!$C$1:$C$768)-MIN(pima_data!$C$1:$C$768))</f>
        <v>0.655737704918033</v>
      </c>
      <c r="D614" s="5">
        <f>(pima_data!D614-MIN(pima_data!$D$1:$D$768))/(MAX(pima_data!$D$1:$D$768)-MIN(pima_data!$D$1:$D$768))</f>
        <v>0.282828282828283</v>
      </c>
      <c r="E614" s="5">
        <f>(pima_data!E614-MIN(pima_data!$E$1:$E$768))/(MAX(pima_data!$E$1:$E$768)-MIN(pima_data!$E$1:$E$768))</f>
        <v>0</v>
      </c>
      <c r="F614" s="5">
        <f>(pima_data!F614-MIN(pima_data!$F$1:$F$768))/(MAX(pima_data!$F$1:$F$768)-MIN(pima_data!$F$1:$F$768))</f>
        <v>0.484351713859911</v>
      </c>
      <c r="G614" s="5">
        <f>(pima_data!G614-MIN(pima_data!$G$1:$G$768))/(MAX(pima_data!$G$1:$G$768)-MIN(pima_data!$G$1:$G$768))</f>
        <v>0.341588385994876</v>
      </c>
      <c r="H614" s="5">
        <f>(pima_data!H614-MIN(pima_data!$H$1:$H$768))/(MAX(pima_data!$H$1:$H$768)-MIN(pima_data!$H$1:$H$768))</f>
        <v>0.0833333333333333</v>
      </c>
    </row>
    <row r="615" spans="1:8">
      <c r="A615" s="5">
        <f>(pima_data!A615-MIN(pima_data!$A$1:$A$768))/(MAX(pima_data!$A$1:$A$768)-MIN(pima_data!$A$1:$A$768))</f>
        <v>0.647058823529412</v>
      </c>
      <c r="B615" s="5">
        <f>(pima_data!B615-MIN(pima_data!$B$1:$B$768))/(MAX(pima_data!$B$1:$B$768)-MIN(pima_data!$B$1:$B$768))</f>
        <v>0.693467336683417</v>
      </c>
      <c r="C615" s="5">
        <f>(pima_data!C615-MIN(pima_data!$C$1:$C$768))/(MAX(pima_data!$C$1:$C$768)-MIN(pima_data!$C$1:$C$768))</f>
        <v>0.60655737704918</v>
      </c>
      <c r="D615" s="5">
        <f>(pima_data!D615-MIN(pima_data!$D$1:$D$768))/(MAX(pima_data!$D$1:$D$768)-MIN(pima_data!$D$1:$D$768))</f>
        <v>0.262626262626263</v>
      </c>
      <c r="E615" s="5">
        <f>(pima_data!E615-MIN(pima_data!$E$1:$E$768))/(MAX(pima_data!$E$1:$E$768)-MIN(pima_data!$E$1:$E$768))</f>
        <v>0.170212765957447</v>
      </c>
      <c r="F615" s="5">
        <f>(pima_data!F615-MIN(pima_data!$F$1:$F$768))/(MAX(pima_data!$F$1:$F$768)-MIN(pima_data!$F$1:$F$768))</f>
        <v>0.538002980625932</v>
      </c>
      <c r="G615" s="5">
        <f>(pima_data!G615-MIN(pima_data!$G$1:$G$768))/(MAX(pima_data!$G$1:$G$768)-MIN(pima_data!$G$1:$G$768))</f>
        <v>0.204526046114432</v>
      </c>
      <c r="H615" s="5">
        <f>(pima_data!H615-MIN(pima_data!$H$1:$H$768))/(MAX(pima_data!$H$1:$H$768)-MIN(pima_data!$H$1:$H$768))</f>
        <v>0.483333333333333</v>
      </c>
    </row>
    <row r="616" spans="1:8">
      <c r="A616" s="5">
        <f>(pima_data!A616-MIN(pima_data!$A$1:$A$768))/(MAX(pima_data!$A$1:$A$768)-MIN(pima_data!$A$1:$A$768))</f>
        <v>0.176470588235294</v>
      </c>
      <c r="B616" s="5">
        <f>(pima_data!B616-MIN(pima_data!$B$1:$B$768))/(MAX(pima_data!$B$1:$B$768)-MIN(pima_data!$B$1:$B$768))</f>
        <v>0.532663316582915</v>
      </c>
      <c r="C616" s="5">
        <f>(pima_data!C616-MIN(pima_data!$C$1:$C$768))/(MAX(pima_data!$C$1:$C$768)-MIN(pima_data!$C$1:$C$768))</f>
        <v>0.590163934426229</v>
      </c>
      <c r="D616" s="5">
        <f>(pima_data!D616-MIN(pima_data!$D$1:$D$768))/(MAX(pima_data!$D$1:$D$768)-MIN(pima_data!$D$1:$D$768))</f>
        <v>0</v>
      </c>
      <c r="E616" s="5">
        <f>(pima_data!E616-MIN(pima_data!$E$1:$E$768))/(MAX(pima_data!$E$1:$E$768)-MIN(pima_data!$E$1:$E$768))</f>
        <v>0</v>
      </c>
      <c r="F616" s="5">
        <f>(pima_data!F616-MIN(pima_data!$F$1:$F$768))/(MAX(pima_data!$F$1:$F$768)-MIN(pima_data!$F$1:$F$768))</f>
        <v>0.384500745156483</v>
      </c>
      <c r="G616" s="5">
        <f>(pima_data!G616-MIN(pima_data!$G$1:$G$768))/(MAX(pima_data!$G$1:$G$768)-MIN(pima_data!$G$1:$G$768))</f>
        <v>0.0550811272416738</v>
      </c>
      <c r="H616" s="5">
        <f>(pima_data!H616-MIN(pima_data!$H$1:$H$768))/(MAX(pima_data!$H$1:$H$768)-MIN(pima_data!$H$1:$H$768))</f>
        <v>0.1</v>
      </c>
    </row>
    <row r="617" spans="1:8">
      <c r="A617" s="5">
        <f>(pima_data!A617-MIN(pima_data!$A$1:$A$768))/(MAX(pima_data!$A$1:$A$768)-MIN(pima_data!$A$1:$A$768))</f>
        <v>0.352941176470588</v>
      </c>
      <c r="B617" s="5">
        <f>(pima_data!B617-MIN(pima_data!$B$1:$B$768))/(MAX(pima_data!$B$1:$B$768)-MIN(pima_data!$B$1:$B$768))</f>
        <v>0.587939698492462</v>
      </c>
      <c r="C617" s="5">
        <f>(pima_data!C617-MIN(pima_data!$C$1:$C$768))/(MAX(pima_data!$C$1:$C$768)-MIN(pima_data!$C$1:$C$768))</f>
        <v>0.786885245901639</v>
      </c>
      <c r="D617" s="5">
        <f>(pima_data!D617-MIN(pima_data!$D$1:$D$768))/(MAX(pima_data!$D$1:$D$768)-MIN(pima_data!$D$1:$D$768))</f>
        <v>0</v>
      </c>
      <c r="E617" s="5">
        <f>(pima_data!E617-MIN(pima_data!$E$1:$E$768))/(MAX(pima_data!$E$1:$E$768)-MIN(pima_data!$E$1:$E$768))</f>
        <v>0</v>
      </c>
      <c r="F617" s="5">
        <f>(pima_data!F617-MIN(pima_data!$F$1:$F$768))/(MAX(pima_data!$F$1:$F$768)-MIN(pima_data!$F$1:$F$768))</f>
        <v>0.427719821162444</v>
      </c>
      <c r="G617" s="5">
        <f>(pima_data!G617-MIN(pima_data!$G$1:$G$768))/(MAX(pima_data!$G$1:$G$768)-MIN(pima_data!$G$1:$G$768))</f>
        <v>0.033731853116994</v>
      </c>
      <c r="H617" s="5">
        <f>(pima_data!H617-MIN(pima_data!$H$1:$H$768))/(MAX(pima_data!$H$1:$H$768)-MIN(pima_data!$H$1:$H$768))</f>
        <v>0.15</v>
      </c>
    </row>
    <row r="618" spans="1:8">
      <c r="A618" s="5">
        <f>(pima_data!A618-MIN(pima_data!$A$1:$A$768))/(MAX(pima_data!$A$1:$A$768)-MIN(pima_data!$A$1:$A$768))</f>
        <v>0.117647058823529</v>
      </c>
      <c r="B618" s="5">
        <f>(pima_data!B618-MIN(pima_data!$B$1:$B$768))/(MAX(pima_data!$B$1:$B$768)-MIN(pima_data!$B$1:$B$768))</f>
        <v>0.341708542713568</v>
      </c>
      <c r="C618" s="5">
        <f>(pima_data!C618-MIN(pima_data!$C$1:$C$768))/(MAX(pima_data!$C$1:$C$768)-MIN(pima_data!$C$1:$C$768))</f>
        <v>0.508196721311475</v>
      </c>
      <c r="D618" s="5">
        <f>(pima_data!D618-MIN(pima_data!$D$1:$D$768))/(MAX(pima_data!$D$1:$D$768)-MIN(pima_data!$D$1:$D$768))</f>
        <v>0.131313131313131</v>
      </c>
      <c r="E618" s="5">
        <f>(pima_data!E618-MIN(pima_data!$E$1:$E$768))/(MAX(pima_data!$E$1:$E$768)-MIN(pima_data!$E$1:$E$768))</f>
        <v>0.0177304964539007</v>
      </c>
      <c r="F618" s="5">
        <f>(pima_data!F618-MIN(pima_data!$F$1:$F$768))/(MAX(pima_data!$F$1:$F$768)-MIN(pima_data!$F$1:$F$768))</f>
        <v>0.299552906110283</v>
      </c>
      <c r="G618" s="5">
        <f>(pima_data!G618-MIN(pima_data!$G$1:$G$768))/(MAX(pima_data!$G$1:$G$768)-MIN(pima_data!$G$1:$G$768))</f>
        <v>0.0764304013663535</v>
      </c>
      <c r="H618" s="5">
        <f>(pima_data!H618-MIN(pima_data!$H$1:$H$768))/(MAX(pima_data!$H$1:$H$768)-MIN(pima_data!$H$1:$H$768))</f>
        <v>0.0333333333333333</v>
      </c>
    </row>
    <row r="619" spans="1:8">
      <c r="A619" s="5">
        <f>(pima_data!A619-MIN(pima_data!$A$1:$A$768))/(MAX(pima_data!$A$1:$A$768)-MIN(pima_data!$A$1:$A$768))</f>
        <v>0.529411764705882</v>
      </c>
      <c r="B619" s="5">
        <f>(pima_data!B619-MIN(pima_data!$B$1:$B$768))/(MAX(pima_data!$B$1:$B$768)-MIN(pima_data!$B$1:$B$768))</f>
        <v>0.562814070351759</v>
      </c>
      <c r="C619" s="5">
        <f>(pima_data!C619-MIN(pima_data!$C$1:$C$768))/(MAX(pima_data!$C$1:$C$768)-MIN(pima_data!$C$1:$C$768))</f>
        <v>0.672131147540984</v>
      </c>
      <c r="D619" s="5">
        <f>(pima_data!D619-MIN(pima_data!$D$1:$D$768))/(MAX(pima_data!$D$1:$D$768)-MIN(pima_data!$D$1:$D$768))</f>
        <v>0.242424242424242</v>
      </c>
      <c r="E619" s="5">
        <f>(pima_data!E619-MIN(pima_data!$E$1:$E$768))/(MAX(pima_data!$E$1:$E$768)-MIN(pima_data!$E$1:$E$768))</f>
        <v>0</v>
      </c>
      <c r="F619" s="5">
        <f>(pima_data!F619-MIN(pima_data!$F$1:$F$768))/(MAX(pima_data!$F$1:$F$768)-MIN(pima_data!$F$1:$F$768))</f>
        <v>0.42026825633383</v>
      </c>
      <c r="G619" s="5">
        <f>(pima_data!G619-MIN(pima_data!$G$1:$G$768))/(MAX(pima_data!$G$1:$G$768)-MIN(pima_data!$G$1:$G$768))</f>
        <v>0.514090520922289</v>
      </c>
      <c r="H619" s="5">
        <f>(pima_data!H619-MIN(pima_data!$H$1:$H$768))/(MAX(pima_data!$H$1:$H$768)-MIN(pima_data!$H$1:$H$768))</f>
        <v>0.483333333333333</v>
      </c>
    </row>
    <row r="620" spans="1:8">
      <c r="A620" s="5">
        <f>(pima_data!A620-MIN(pima_data!$A$1:$A$768))/(MAX(pima_data!$A$1:$A$768)-MIN(pima_data!$A$1:$A$768))</f>
        <v>0</v>
      </c>
      <c r="B620" s="5">
        <f>(pima_data!B620-MIN(pima_data!$B$1:$B$768))/(MAX(pima_data!$B$1:$B$768)-MIN(pima_data!$B$1:$B$768))</f>
        <v>0.597989949748744</v>
      </c>
      <c r="C620" s="5">
        <f>(pima_data!C620-MIN(pima_data!$C$1:$C$768))/(MAX(pima_data!$C$1:$C$768)-MIN(pima_data!$C$1:$C$768))</f>
        <v>0</v>
      </c>
      <c r="D620" s="5">
        <f>(pima_data!D620-MIN(pima_data!$D$1:$D$768))/(MAX(pima_data!$D$1:$D$768)-MIN(pima_data!$D$1:$D$768))</f>
        <v>0</v>
      </c>
      <c r="E620" s="5">
        <f>(pima_data!E620-MIN(pima_data!$E$1:$E$768))/(MAX(pima_data!$E$1:$E$768)-MIN(pima_data!$E$1:$E$768))</f>
        <v>0</v>
      </c>
      <c r="F620" s="5">
        <f>(pima_data!F620-MIN(pima_data!$F$1:$F$768))/(MAX(pima_data!$F$1:$F$768)-MIN(pima_data!$F$1:$F$768))</f>
        <v>0.482861400894188</v>
      </c>
      <c r="G620" s="5">
        <f>(pima_data!G620-MIN(pima_data!$G$1:$G$768))/(MAX(pima_data!$G$1:$G$768)-MIN(pima_data!$G$1:$G$768))</f>
        <v>0.0269000853970965</v>
      </c>
      <c r="H620" s="5">
        <f>(pima_data!H620-MIN(pima_data!$H$1:$H$768))/(MAX(pima_data!$H$1:$H$768)-MIN(pima_data!$H$1:$H$768))</f>
        <v>0.05</v>
      </c>
    </row>
    <row r="621" spans="1:8">
      <c r="A621" s="5">
        <f>(pima_data!A621-MIN(pima_data!$A$1:$A$768))/(MAX(pima_data!$A$1:$A$768)-MIN(pima_data!$A$1:$A$768))</f>
        <v>0.117647058823529</v>
      </c>
      <c r="B621" s="5">
        <f>(pima_data!B621-MIN(pima_data!$B$1:$B$768))/(MAX(pima_data!$B$1:$B$768)-MIN(pima_data!$B$1:$B$768))</f>
        <v>0.562814070351759</v>
      </c>
      <c r="C621" s="5">
        <f>(pima_data!C621-MIN(pima_data!$C$1:$C$768))/(MAX(pima_data!$C$1:$C$768)-MIN(pima_data!$C$1:$C$768))</f>
        <v>0.704918032786885</v>
      </c>
      <c r="D621" s="5">
        <f>(pima_data!D621-MIN(pima_data!$D$1:$D$768))/(MAX(pima_data!$D$1:$D$768)-MIN(pima_data!$D$1:$D$768))</f>
        <v>0.424242424242424</v>
      </c>
      <c r="E621" s="5">
        <f>(pima_data!E621-MIN(pima_data!$E$1:$E$768))/(MAX(pima_data!$E$1:$E$768)-MIN(pima_data!$E$1:$E$768))</f>
        <v>0.189125295508274</v>
      </c>
      <c r="F621" s="5">
        <f>(pima_data!F621-MIN(pima_data!$F$1:$F$768))/(MAX(pima_data!$F$1:$F$768)-MIN(pima_data!$F$1:$F$768))</f>
        <v>0.572280178837556</v>
      </c>
      <c r="G621" s="5">
        <f>(pima_data!G621-MIN(pima_data!$G$1:$G$768))/(MAX(pima_data!$G$1:$G$768)-MIN(pima_data!$G$1:$G$768))</f>
        <v>0.071733561058924</v>
      </c>
      <c r="H621" s="5">
        <f>(pima_data!H621-MIN(pima_data!$H$1:$H$768))/(MAX(pima_data!$H$1:$H$768)-MIN(pima_data!$H$1:$H$768))</f>
        <v>0.116666666666667</v>
      </c>
    </row>
    <row r="622" spans="1:8">
      <c r="A622" s="5">
        <f>(pima_data!A622-MIN(pima_data!$A$1:$A$768))/(MAX(pima_data!$A$1:$A$768)-MIN(pima_data!$A$1:$A$768))</f>
        <v>0.117647058823529</v>
      </c>
      <c r="B622" s="5">
        <f>(pima_data!B622-MIN(pima_data!$B$1:$B$768))/(MAX(pima_data!$B$1:$B$768)-MIN(pima_data!$B$1:$B$768))</f>
        <v>0.462311557788945</v>
      </c>
      <c r="C622" s="5">
        <f>(pima_data!C622-MIN(pima_data!$C$1:$C$768))/(MAX(pima_data!$C$1:$C$768)-MIN(pima_data!$C$1:$C$768))</f>
        <v>0.622950819672131</v>
      </c>
      <c r="D622" s="5">
        <f>(pima_data!D622-MIN(pima_data!$D$1:$D$768))/(MAX(pima_data!$D$1:$D$768)-MIN(pima_data!$D$1:$D$768))</f>
        <v>0.202020202020202</v>
      </c>
      <c r="E622" s="5">
        <f>(pima_data!E622-MIN(pima_data!$E$1:$E$768))/(MAX(pima_data!$E$1:$E$768)-MIN(pima_data!$E$1:$E$768))</f>
        <v>0</v>
      </c>
      <c r="F622" s="5">
        <f>(pima_data!F622-MIN(pima_data!$F$1:$F$768))/(MAX(pima_data!$F$1:$F$768)-MIN(pima_data!$F$1:$F$768))</f>
        <v>0.360655737704918</v>
      </c>
      <c r="G622" s="5">
        <f>(pima_data!G622-MIN(pima_data!$G$1:$G$768))/(MAX(pima_data!$G$1:$G$768)-MIN(pima_data!$G$1:$G$768))</f>
        <v>0.691716481639624</v>
      </c>
      <c r="H622" s="5">
        <f>(pima_data!H622-MIN(pima_data!$H$1:$H$768))/(MAX(pima_data!$H$1:$H$768)-MIN(pima_data!$H$1:$H$768))</f>
        <v>0.116666666666667</v>
      </c>
    </row>
    <row r="623" spans="1:8">
      <c r="A623" s="5">
        <f>(pima_data!A623-MIN(pima_data!$A$1:$A$768))/(MAX(pima_data!$A$1:$A$768)-MIN(pima_data!$A$1:$A$768))</f>
        <v>0.352941176470588</v>
      </c>
      <c r="B623" s="5">
        <f>(pima_data!B623-MIN(pima_data!$B$1:$B$768))/(MAX(pima_data!$B$1:$B$768)-MIN(pima_data!$B$1:$B$768))</f>
        <v>0.919597989949749</v>
      </c>
      <c r="C623" s="5">
        <f>(pima_data!C623-MIN(pima_data!$C$1:$C$768))/(MAX(pima_data!$C$1:$C$768)-MIN(pima_data!$C$1:$C$768))</f>
        <v>0.770491803278688</v>
      </c>
      <c r="D623" s="5">
        <f>(pima_data!D623-MIN(pima_data!$D$1:$D$768))/(MAX(pima_data!$D$1:$D$768)-MIN(pima_data!$D$1:$D$768))</f>
        <v>0</v>
      </c>
      <c r="E623" s="5">
        <f>(pima_data!E623-MIN(pima_data!$E$1:$E$768))/(MAX(pima_data!$E$1:$E$768)-MIN(pima_data!$E$1:$E$768))</f>
        <v>0</v>
      </c>
      <c r="F623" s="5">
        <f>(pima_data!F623-MIN(pima_data!$F$1:$F$768))/(MAX(pima_data!$F$1:$F$768)-MIN(pima_data!$F$1:$F$768))</f>
        <v>0.608047690014903</v>
      </c>
      <c r="G623" s="5">
        <f>(pima_data!G623-MIN(pima_data!$G$1:$G$768))/(MAX(pima_data!$G$1:$G$768)-MIN(pima_data!$G$1:$G$768))</f>
        <v>0.590520922288642</v>
      </c>
      <c r="H623" s="5">
        <f>(pima_data!H623-MIN(pima_data!$H$1:$H$768))/(MAX(pima_data!$H$1:$H$768)-MIN(pima_data!$H$1:$H$768))</f>
        <v>0.4</v>
      </c>
    </row>
    <row r="624" spans="1:8">
      <c r="A624" s="5">
        <f>(pima_data!A624-MIN(pima_data!$A$1:$A$768))/(MAX(pima_data!$A$1:$A$768)-MIN(pima_data!$A$1:$A$768))</f>
        <v>0</v>
      </c>
      <c r="B624" s="5">
        <f>(pima_data!B624-MIN(pima_data!$B$1:$B$768))/(MAX(pima_data!$B$1:$B$768)-MIN(pima_data!$B$1:$B$768))</f>
        <v>0.472361809045226</v>
      </c>
      <c r="C624" s="5">
        <f>(pima_data!C624-MIN(pima_data!$C$1:$C$768))/(MAX(pima_data!$C$1:$C$768)-MIN(pima_data!$C$1:$C$768))</f>
        <v>0.573770491803279</v>
      </c>
      <c r="D624" s="5">
        <f>(pima_data!D624-MIN(pima_data!$D$1:$D$768))/(MAX(pima_data!$D$1:$D$768)-MIN(pima_data!$D$1:$D$768))</f>
        <v>0.272727272727273</v>
      </c>
      <c r="E624" s="5">
        <f>(pima_data!E624-MIN(pima_data!$E$1:$E$768))/(MAX(pima_data!$E$1:$E$768)-MIN(pima_data!$E$1:$E$768))</f>
        <v>0.135933806146572</v>
      </c>
      <c r="F624" s="5">
        <f>(pima_data!F624-MIN(pima_data!$F$1:$F$768))/(MAX(pima_data!$F$1:$F$768)-MIN(pima_data!$F$1:$F$768))</f>
        <v>0.648286140089419</v>
      </c>
      <c r="G624" s="5">
        <f>(pima_data!G624-MIN(pima_data!$G$1:$G$768))/(MAX(pima_data!$G$1:$G$768)-MIN(pima_data!$G$1:$G$768))</f>
        <v>0.114859094790777</v>
      </c>
      <c r="H624" s="5">
        <f>(pima_data!H624-MIN(pima_data!$H$1:$H$768))/(MAX(pima_data!$H$1:$H$768)-MIN(pima_data!$H$1:$H$768))</f>
        <v>0</v>
      </c>
    </row>
    <row r="625" spans="1:8">
      <c r="A625" s="5">
        <f>(pima_data!A625-MIN(pima_data!$A$1:$A$768))/(MAX(pima_data!$A$1:$A$768)-MIN(pima_data!$A$1:$A$768))</f>
        <v>0.117647058823529</v>
      </c>
      <c r="B625" s="5">
        <f>(pima_data!B625-MIN(pima_data!$B$1:$B$768))/(MAX(pima_data!$B$1:$B$768)-MIN(pima_data!$B$1:$B$768))</f>
        <v>0.542713567839196</v>
      </c>
      <c r="C625" s="5">
        <f>(pima_data!C625-MIN(pima_data!$C$1:$C$768))/(MAX(pima_data!$C$1:$C$768)-MIN(pima_data!$C$1:$C$768))</f>
        <v>0.524590163934426</v>
      </c>
      <c r="D625" s="5">
        <f>(pima_data!D625-MIN(pima_data!$D$1:$D$768))/(MAX(pima_data!$D$1:$D$768)-MIN(pima_data!$D$1:$D$768))</f>
        <v>0</v>
      </c>
      <c r="E625" s="5">
        <f>(pima_data!E625-MIN(pima_data!$E$1:$E$768))/(MAX(pima_data!$E$1:$E$768)-MIN(pima_data!$E$1:$E$768))</f>
        <v>0</v>
      </c>
      <c r="F625" s="5">
        <f>(pima_data!F625-MIN(pima_data!$F$1:$F$768))/(MAX(pima_data!$F$1:$F$768)-MIN(pima_data!$F$1:$F$768))</f>
        <v>0.459016393442623</v>
      </c>
      <c r="G625" s="5">
        <f>(pima_data!G625-MIN(pima_data!$G$1:$G$768))/(MAX(pima_data!$G$1:$G$768)-MIN(pima_data!$G$1:$G$768))</f>
        <v>0.0341588385994876</v>
      </c>
      <c r="H625" s="5">
        <f>(pima_data!H625-MIN(pima_data!$H$1:$H$768))/(MAX(pima_data!$H$1:$H$768)-MIN(pima_data!$H$1:$H$768))</f>
        <v>0</v>
      </c>
    </row>
    <row r="626" spans="1:8">
      <c r="A626" s="5">
        <f>(pima_data!A626-MIN(pima_data!$A$1:$A$768))/(MAX(pima_data!$A$1:$A$768)-MIN(pima_data!$A$1:$A$768))</f>
        <v>0.235294117647059</v>
      </c>
      <c r="B626" s="5">
        <f>(pima_data!B626-MIN(pima_data!$B$1:$B$768))/(MAX(pima_data!$B$1:$B$768)-MIN(pima_data!$B$1:$B$768))</f>
        <v>0.452261306532663</v>
      </c>
      <c r="C626" s="5">
        <f>(pima_data!C626-MIN(pima_data!$C$1:$C$768))/(MAX(pima_data!$C$1:$C$768)-MIN(pima_data!$C$1:$C$768))</f>
        <v>0.721311475409836</v>
      </c>
      <c r="D626" s="5">
        <f>(pima_data!D626-MIN(pima_data!$D$1:$D$768))/(MAX(pima_data!$D$1:$D$768)-MIN(pima_data!$D$1:$D$768))</f>
        <v>0.474747474747475</v>
      </c>
      <c r="E626" s="5">
        <f>(pima_data!E626-MIN(pima_data!$E$1:$E$768))/(MAX(pima_data!$E$1:$E$768)-MIN(pima_data!$E$1:$E$768))</f>
        <v>0.0638297872340425</v>
      </c>
      <c r="F626" s="5">
        <f>(pima_data!F626-MIN(pima_data!$F$1:$F$768))/(MAX(pima_data!$F$1:$F$768)-MIN(pima_data!$F$1:$F$768))</f>
        <v>0.561847988077496</v>
      </c>
      <c r="G626" s="5">
        <f>(pima_data!G626-MIN(pima_data!$G$1:$G$768))/(MAX(pima_data!$G$1:$G$768)-MIN(pima_data!$G$1:$G$768))</f>
        <v>0.121263877028181</v>
      </c>
      <c r="H626" s="5">
        <f>(pima_data!H626-MIN(pima_data!$H$1:$H$768))/(MAX(pima_data!$H$1:$H$768)-MIN(pima_data!$H$1:$H$768))</f>
        <v>0.133333333333333</v>
      </c>
    </row>
    <row r="627" spans="1:8">
      <c r="A627" s="5">
        <f>(pima_data!A627-MIN(pima_data!$A$1:$A$768))/(MAX(pima_data!$A$1:$A$768)-MIN(pima_data!$A$1:$A$768))</f>
        <v>0</v>
      </c>
      <c r="B627" s="5">
        <f>(pima_data!B627-MIN(pima_data!$B$1:$B$768))/(MAX(pima_data!$B$1:$B$768)-MIN(pima_data!$B$1:$B$768))</f>
        <v>0.628140703517588</v>
      </c>
      <c r="C627" s="5">
        <f>(pima_data!C627-MIN(pima_data!$C$1:$C$768))/(MAX(pima_data!$C$1:$C$768)-MIN(pima_data!$C$1:$C$768))</f>
        <v>0.557377049180328</v>
      </c>
      <c r="D627" s="5">
        <f>(pima_data!D627-MIN(pima_data!$D$1:$D$768))/(MAX(pima_data!$D$1:$D$768)-MIN(pima_data!$D$1:$D$768))</f>
        <v>0</v>
      </c>
      <c r="E627" s="5">
        <f>(pima_data!E627-MIN(pima_data!$E$1:$E$768))/(MAX(pima_data!$E$1:$E$768)-MIN(pima_data!$E$1:$E$768))</f>
        <v>0</v>
      </c>
      <c r="F627" s="5">
        <f>(pima_data!F627-MIN(pima_data!$F$1:$F$768))/(MAX(pima_data!$F$1:$F$768)-MIN(pima_data!$F$1:$F$768))</f>
        <v>0.368107302533532</v>
      </c>
      <c r="G627" s="5">
        <f>(pima_data!G627-MIN(pima_data!$G$1:$G$768))/(MAX(pima_data!$G$1:$G$768)-MIN(pima_data!$G$1:$G$768))</f>
        <v>0.0546541417591802</v>
      </c>
      <c r="H627" s="5">
        <f>(pima_data!H627-MIN(pima_data!$H$1:$H$768))/(MAX(pima_data!$H$1:$H$768)-MIN(pima_data!$H$1:$H$768))</f>
        <v>0</v>
      </c>
    </row>
    <row r="628" spans="1:8">
      <c r="A628" s="5">
        <f>(pima_data!A628-MIN(pima_data!$A$1:$A$768))/(MAX(pima_data!$A$1:$A$768)-MIN(pima_data!$A$1:$A$768))</f>
        <v>0</v>
      </c>
      <c r="B628" s="5">
        <f>(pima_data!B628-MIN(pima_data!$B$1:$B$768))/(MAX(pima_data!$B$1:$B$768)-MIN(pima_data!$B$1:$B$768))</f>
        <v>0.663316582914573</v>
      </c>
      <c r="C628" s="5">
        <f>(pima_data!C628-MIN(pima_data!$C$1:$C$768))/(MAX(pima_data!$C$1:$C$768)-MIN(pima_data!$C$1:$C$768))</f>
        <v>0.639344262295082</v>
      </c>
      <c r="D628" s="5">
        <f>(pima_data!D628-MIN(pima_data!$D$1:$D$768))/(MAX(pima_data!$D$1:$D$768)-MIN(pima_data!$D$1:$D$768))</f>
        <v>0</v>
      </c>
      <c r="E628" s="5">
        <f>(pima_data!E628-MIN(pima_data!$E$1:$E$768))/(MAX(pima_data!$E$1:$E$768)-MIN(pima_data!$E$1:$E$768))</f>
        <v>0</v>
      </c>
      <c r="F628" s="5">
        <f>(pima_data!F628-MIN(pima_data!$F$1:$F$768))/(MAX(pima_data!$F$1:$F$768)-MIN(pima_data!$F$1:$F$768))</f>
        <v>0.482861400894188</v>
      </c>
      <c r="G628" s="5">
        <f>(pima_data!G628-MIN(pima_data!$G$1:$G$768))/(MAX(pima_data!$G$1:$G$768)-MIN(pima_data!$G$1:$G$768))</f>
        <v>0.134500426985482</v>
      </c>
      <c r="H628" s="5">
        <f>(pima_data!H628-MIN(pima_data!$H$1:$H$768))/(MAX(pima_data!$H$1:$H$768)-MIN(pima_data!$H$1:$H$768))</f>
        <v>0</v>
      </c>
    </row>
    <row r="629" spans="1:8">
      <c r="A629" s="5">
        <f>(pima_data!A629-MIN(pima_data!$A$1:$A$768))/(MAX(pima_data!$A$1:$A$768)-MIN(pima_data!$A$1:$A$768))</f>
        <v>0.294117647058824</v>
      </c>
      <c r="B629" s="5">
        <f>(pima_data!B629-MIN(pima_data!$B$1:$B$768))/(MAX(pima_data!$B$1:$B$768)-MIN(pima_data!$B$1:$B$768))</f>
        <v>0.64321608040201</v>
      </c>
      <c r="C629" s="5">
        <f>(pima_data!C629-MIN(pima_data!$C$1:$C$768))/(MAX(pima_data!$C$1:$C$768)-MIN(pima_data!$C$1:$C$768))</f>
        <v>0.655737704918033</v>
      </c>
      <c r="D629" s="5">
        <f>(pima_data!D629-MIN(pima_data!$D$1:$D$768))/(MAX(pima_data!$D$1:$D$768)-MIN(pima_data!$D$1:$D$768))</f>
        <v>0</v>
      </c>
      <c r="E629" s="5">
        <f>(pima_data!E629-MIN(pima_data!$E$1:$E$768))/(MAX(pima_data!$E$1:$E$768)-MIN(pima_data!$E$1:$E$768))</f>
        <v>0</v>
      </c>
      <c r="F629" s="5">
        <f>(pima_data!F629-MIN(pima_data!$F$1:$F$768))/(MAX(pima_data!$F$1:$F$768)-MIN(pima_data!$F$1:$F$768))</f>
        <v>0.51564828614009</v>
      </c>
      <c r="G629" s="5">
        <f>(pima_data!G629-MIN(pima_data!$G$1:$G$768))/(MAX(pima_data!$G$1:$G$768)-MIN(pima_data!$G$1:$G$768))</f>
        <v>0.0281810418445773</v>
      </c>
      <c r="H629" s="5">
        <f>(pima_data!H629-MIN(pima_data!$H$1:$H$768))/(MAX(pima_data!$H$1:$H$768)-MIN(pima_data!$H$1:$H$768))</f>
        <v>0.4</v>
      </c>
    </row>
    <row r="630" spans="1:8">
      <c r="A630" s="5">
        <f>(pima_data!A630-MIN(pima_data!$A$1:$A$768))/(MAX(pima_data!$A$1:$A$768)-MIN(pima_data!$A$1:$A$768))</f>
        <v>0.235294117647059</v>
      </c>
      <c r="B630" s="5">
        <f>(pima_data!B630-MIN(pima_data!$B$1:$B$768))/(MAX(pima_data!$B$1:$B$768)-MIN(pima_data!$B$1:$B$768))</f>
        <v>0.472361809045226</v>
      </c>
      <c r="C630" s="5">
        <f>(pima_data!C630-MIN(pima_data!$C$1:$C$768))/(MAX(pima_data!$C$1:$C$768)-MIN(pima_data!$C$1:$C$768))</f>
        <v>0.532786885245902</v>
      </c>
      <c r="D630" s="5">
        <f>(pima_data!D630-MIN(pima_data!$D$1:$D$768))/(MAX(pima_data!$D$1:$D$768)-MIN(pima_data!$D$1:$D$768))</f>
        <v>0.222222222222222</v>
      </c>
      <c r="E630" s="5">
        <f>(pima_data!E630-MIN(pima_data!$E$1:$E$768))/(MAX(pima_data!$E$1:$E$768)-MIN(pima_data!$E$1:$E$768))</f>
        <v>0</v>
      </c>
      <c r="F630" s="5">
        <f>(pima_data!F630-MIN(pima_data!$F$1:$F$768))/(MAX(pima_data!$F$1:$F$768)-MIN(pima_data!$F$1:$F$768))</f>
        <v>0.368107302533532</v>
      </c>
      <c r="G630" s="5">
        <f>(pima_data!G630-MIN(pima_data!$G$1:$G$768))/(MAX(pima_data!$G$1:$G$768)-MIN(pima_data!$G$1:$G$768))</f>
        <v>0.0298889837745517</v>
      </c>
      <c r="H630" s="5">
        <f>(pima_data!H630-MIN(pima_data!$H$1:$H$768))/(MAX(pima_data!$H$1:$H$768)-MIN(pima_data!$H$1:$H$768))</f>
        <v>0</v>
      </c>
    </row>
    <row r="631" spans="1:8">
      <c r="A631" s="5">
        <f>(pima_data!A631-MIN(pima_data!$A$1:$A$768))/(MAX(pima_data!$A$1:$A$768)-MIN(pima_data!$A$1:$A$768))</f>
        <v>0.411764705882353</v>
      </c>
      <c r="B631" s="5">
        <f>(pima_data!B631-MIN(pima_data!$B$1:$B$768))/(MAX(pima_data!$B$1:$B$768)-MIN(pima_data!$B$1:$B$768))</f>
        <v>0.57286432160804</v>
      </c>
      <c r="C631" s="5">
        <f>(pima_data!C631-MIN(pima_data!$C$1:$C$768))/(MAX(pima_data!$C$1:$C$768)-MIN(pima_data!$C$1:$C$768))</f>
        <v>0.524590163934426</v>
      </c>
      <c r="D631" s="5">
        <f>(pima_data!D631-MIN(pima_data!$D$1:$D$768))/(MAX(pima_data!$D$1:$D$768)-MIN(pima_data!$D$1:$D$768))</f>
        <v>0</v>
      </c>
      <c r="E631" s="5">
        <f>(pima_data!E631-MIN(pima_data!$E$1:$E$768))/(MAX(pima_data!$E$1:$E$768)-MIN(pima_data!$E$1:$E$768))</f>
        <v>0</v>
      </c>
      <c r="F631" s="5">
        <f>(pima_data!F631-MIN(pima_data!$F$1:$F$768))/(MAX(pima_data!$F$1:$F$768)-MIN(pima_data!$F$1:$F$768))</f>
        <v>0.408345752608048</v>
      </c>
      <c r="G631" s="5">
        <f>(pima_data!G631-MIN(pima_data!$G$1:$G$768))/(MAX(pima_data!$G$1:$G$768)-MIN(pima_data!$G$1:$G$768))</f>
        <v>0.279248505550811</v>
      </c>
      <c r="H631" s="5">
        <f>(pima_data!H631-MIN(pima_data!$H$1:$H$768))/(MAX(pima_data!$H$1:$H$768)-MIN(pima_data!$H$1:$H$768))</f>
        <v>0.216666666666667</v>
      </c>
    </row>
    <row r="632" spans="1:8">
      <c r="A632" s="5">
        <f>(pima_data!A632-MIN(pima_data!$A$1:$A$768))/(MAX(pima_data!$A$1:$A$768)-MIN(pima_data!$A$1:$A$768))</f>
        <v>0</v>
      </c>
      <c r="B632" s="5">
        <f>(pima_data!B632-MIN(pima_data!$B$1:$B$768))/(MAX(pima_data!$B$1:$B$768)-MIN(pima_data!$B$1:$B$768))</f>
        <v>0.512562814070352</v>
      </c>
      <c r="C632" s="5">
        <f>(pima_data!C632-MIN(pima_data!$C$1:$C$768))/(MAX(pima_data!$C$1:$C$768)-MIN(pima_data!$C$1:$C$768))</f>
        <v>0.639344262295082</v>
      </c>
      <c r="D632" s="5">
        <f>(pima_data!D632-MIN(pima_data!$D$1:$D$768))/(MAX(pima_data!$D$1:$D$768)-MIN(pima_data!$D$1:$D$768))</f>
        <v>0.404040404040404</v>
      </c>
      <c r="E632" s="5">
        <f>(pima_data!E632-MIN(pima_data!$E$1:$E$768))/(MAX(pima_data!$E$1:$E$768)-MIN(pima_data!$E$1:$E$768))</f>
        <v>0.106382978723404</v>
      </c>
      <c r="F632" s="5">
        <f>(pima_data!F632-MIN(pima_data!$F$1:$F$768))/(MAX(pima_data!$F$1:$F$768)-MIN(pima_data!$F$1:$F$768))</f>
        <v>0.514157973174367</v>
      </c>
      <c r="G632" s="5">
        <f>(pima_data!G632-MIN(pima_data!$G$1:$G$768))/(MAX(pima_data!$G$1:$G$768)-MIN(pima_data!$G$1:$G$768))</f>
        <v>0.0683176771989752</v>
      </c>
      <c r="H632" s="5">
        <f>(pima_data!H632-MIN(pima_data!$H$1:$H$768))/(MAX(pima_data!$H$1:$H$768)-MIN(pima_data!$H$1:$H$768))</f>
        <v>0.05</v>
      </c>
    </row>
    <row r="633" spans="1:8">
      <c r="A633" s="5">
        <f>(pima_data!A633-MIN(pima_data!$A$1:$A$768))/(MAX(pima_data!$A$1:$A$768)-MIN(pima_data!$A$1:$A$768))</f>
        <v>0.117647058823529</v>
      </c>
      <c r="B633" s="5">
        <f>(pima_data!B633-MIN(pima_data!$B$1:$B$768))/(MAX(pima_data!$B$1:$B$768)-MIN(pima_data!$B$1:$B$768))</f>
        <v>0.557788944723618</v>
      </c>
      <c r="C633" s="5">
        <f>(pima_data!C633-MIN(pima_data!$C$1:$C$768))/(MAX(pima_data!$C$1:$C$768)-MIN(pima_data!$C$1:$C$768))</f>
        <v>0.491803278688525</v>
      </c>
      <c r="D633" s="5">
        <f>(pima_data!D633-MIN(pima_data!$D$1:$D$768))/(MAX(pima_data!$D$1:$D$768)-MIN(pima_data!$D$1:$D$768))</f>
        <v>0</v>
      </c>
      <c r="E633" s="5">
        <f>(pima_data!E633-MIN(pima_data!$E$1:$E$768))/(MAX(pima_data!$E$1:$E$768)-MIN(pima_data!$E$1:$E$768))</f>
        <v>0</v>
      </c>
      <c r="F633" s="5">
        <f>(pima_data!F633-MIN(pima_data!$F$1:$F$768))/(MAX(pima_data!$F$1:$F$768)-MIN(pima_data!$F$1:$F$768))</f>
        <v>0.390461997019374</v>
      </c>
      <c r="G633" s="5">
        <f>(pima_data!G633-MIN(pima_data!$G$1:$G$768))/(MAX(pima_data!$G$1:$G$768)-MIN(pima_data!$G$1:$G$768))</f>
        <v>0.113151152860803</v>
      </c>
      <c r="H633" s="5">
        <f>(pima_data!H633-MIN(pima_data!$H$1:$H$768))/(MAX(pima_data!$H$1:$H$768)-MIN(pima_data!$H$1:$H$768))</f>
        <v>0.0333333333333333</v>
      </c>
    </row>
    <row r="634" spans="1:8">
      <c r="A634" s="5">
        <f>(pima_data!A634-MIN(pima_data!$A$1:$A$768))/(MAX(pima_data!$A$1:$A$768)-MIN(pima_data!$A$1:$A$768))</f>
        <v>0.0588235294117647</v>
      </c>
      <c r="B634" s="5">
        <f>(pima_data!B634-MIN(pima_data!$B$1:$B$768))/(MAX(pima_data!$B$1:$B$768)-MIN(pima_data!$B$1:$B$768))</f>
        <v>0.64321608040201</v>
      </c>
      <c r="C634" s="5">
        <f>(pima_data!C634-MIN(pima_data!$C$1:$C$768))/(MAX(pima_data!$C$1:$C$768)-MIN(pima_data!$C$1:$C$768))</f>
        <v>0.672131147540984</v>
      </c>
      <c r="D634" s="5">
        <f>(pima_data!D634-MIN(pima_data!$D$1:$D$768))/(MAX(pima_data!$D$1:$D$768)-MIN(pima_data!$D$1:$D$768))</f>
        <v>0.171717171717172</v>
      </c>
      <c r="E634" s="5">
        <f>(pima_data!E634-MIN(pima_data!$E$1:$E$768))/(MAX(pima_data!$E$1:$E$768)-MIN(pima_data!$E$1:$E$768))</f>
        <v>0.216312056737589</v>
      </c>
      <c r="F634" s="5">
        <f>(pima_data!F634-MIN(pima_data!$F$1:$F$768))/(MAX(pima_data!$F$1:$F$768)-MIN(pima_data!$F$1:$F$768))</f>
        <v>0.409836065573771</v>
      </c>
      <c r="G634" s="5">
        <f>(pima_data!G634-MIN(pima_data!$G$1:$G$768))/(MAX(pima_data!$G$1:$G$768)-MIN(pima_data!$G$1:$G$768))</f>
        <v>0.015798462852263</v>
      </c>
      <c r="H634" s="5">
        <f>(pima_data!H634-MIN(pima_data!$H$1:$H$768))/(MAX(pima_data!$H$1:$H$768)-MIN(pima_data!$H$1:$H$768))</f>
        <v>0.0166666666666667</v>
      </c>
    </row>
    <row r="635" spans="1:8">
      <c r="A635" s="5">
        <f>(pima_data!A635-MIN(pima_data!$A$1:$A$768))/(MAX(pima_data!$A$1:$A$768)-MIN(pima_data!$A$1:$A$768))</f>
        <v>0.588235294117647</v>
      </c>
      <c r="B635" s="5">
        <f>(pima_data!B635-MIN(pima_data!$B$1:$B$768))/(MAX(pima_data!$B$1:$B$768)-MIN(pima_data!$B$1:$B$768))</f>
        <v>0.462311557788945</v>
      </c>
      <c r="C635" s="5">
        <f>(pima_data!C635-MIN(pima_data!$C$1:$C$768))/(MAX(pima_data!$C$1:$C$768)-MIN(pima_data!$C$1:$C$768))</f>
        <v>0.508196721311475</v>
      </c>
      <c r="D635" s="5">
        <f>(pima_data!D635-MIN(pima_data!$D$1:$D$768))/(MAX(pima_data!$D$1:$D$768)-MIN(pima_data!$D$1:$D$768))</f>
        <v>0</v>
      </c>
      <c r="E635" s="5">
        <f>(pima_data!E635-MIN(pima_data!$E$1:$E$768))/(MAX(pima_data!$E$1:$E$768)-MIN(pima_data!$E$1:$E$768))</f>
        <v>0</v>
      </c>
      <c r="F635" s="5">
        <f>(pima_data!F635-MIN(pima_data!$F$1:$F$768))/(MAX(pima_data!$F$1:$F$768)-MIN(pima_data!$F$1:$F$768))</f>
        <v>0.385991058122206</v>
      </c>
      <c r="G635" s="5">
        <f>(pima_data!G635-MIN(pima_data!$G$1:$G$768))/(MAX(pima_data!$G$1:$G$768)-MIN(pima_data!$G$1:$G$768))</f>
        <v>0.03800170794193</v>
      </c>
      <c r="H635" s="5">
        <f>(pima_data!H635-MIN(pima_data!$H$1:$H$768))/(MAX(pima_data!$H$1:$H$768)-MIN(pima_data!$H$1:$H$768))</f>
        <v>0.166666666666667</v>
      </c>
    </row>
    <row r="636" spans="1:8">
      <c r="A636" s="5">
        <f>(pima_data!A636-MIN(pima_data!$A$1:$A$768))/(MAX(pima_data!$A$1:$A$768)-MIN(pima_data!$A$1:$A$768))</f>
        <v>0.764705882352941</v>
      </c>
      <c r="B636" s="5">
        <f>(pima_data!B636-MIN(pima_data!$B$1:$B$768))/(MAX(pima_data!$B$1:$B$768)-MIN(pima_data!$B$1:$B$768))</f>
        <v>0.522613065326633</v>
      </c>
      <c r="C636" s="5">
        <f>(pima_data!C636-MIN(pima_data!$C$1:$C$768))/(MAX(pima_data!$C$1:$C$768)-MIN(pima_data!$C$1:$C$768))</f>
        <v>0.590163934426229</v>
      </c>
      <c r="D636" s="5">
        <f>(pima_data!D636-MIN(pima_data!$D$1:$D$768))/(MAX(pima_data!$D$1:$D$768)-MIN(pima_data!$D$1:$D$768))</f>
        <v>0</v>
      </c>
      <c r="E636" s="5">
        <f>(pima_data!E636-MIN(pima_data!$E$1:$E$768))/(MAX(pima_data!$E$1:$E$768)-MIN(pima_data!$E$1:$E$768))</f>
        <v>0</v>
      </c>
      <c r="F636" s="5">
        <f>(pima_data!F636-MIN(pima_data!$F$1:$F$768))/(MAX(pima_data!$F$1:$F$768)-MIN(pima_data!$F$1:$F$768))</f>
        <v>0.464977645305514</v>
      </c>
      <c r="G636" s="5">
        <f>(pima_data!G636-MIN(pima_data!$G$1:$G$768))/(MAX(pima_data!$G$1:$G$768)-MIN(pima_data!$G$1:$G$768))</f>
        <v>0.165243381725021</v>
      </c>
      <c r="H636" s="5">
        <f>(pima_data!H636-MIN(pima_data!$H$1:$H$768))/(MAX(pima_data!$H$1:$H$768)-MIN(pima_data!$H$1:$H$768))</f>
        <v>0.283333333333333</v>
      </c>
    </row>
    <row r="637" spans="1:8">
      <c r="A637" s="5">
        <f>(pima_data!A637-MIN(pima_data!$A$1:$A$768))/(MAX(pima_data!$A$1:$A$768)-MIN(pima_data!$A$1:$A$768))</f>
        <v>0.294117647058824</v>
      </c>
      <c r="B637" s="5">
        <f>(pima_data!B637-MIN(pima_data!$B$1:$B$768))/(MAX(pima_data!$B$1:$B$768)-MIN(pima_data!$B$1:$B$768))</f>
        <v>0.522613065326633</v>
      </c>
      <c r="C637" s="5">
        <f>(pima_data!C637-MIN(pima_data!$C$1:$C$768))/(MAX(pima_data!$C$1:$C$768)-MIN(pima_data!$C$1:$C$768))</f>
        <v>0.60655737704918</v>
      </c>
      <c r="D637" s="5">
        <f>(pima_data!D637-MIN(pima_data!$D$1:$D$768))/(MAX(pima_data!$D$1:$D$768)-MIN(pima_data!$D$1:$D$768))</f>
        <v>0</v>
      </c>
      <c r="E637" s="5">
        <f>(pima_data!E637-MIN(pima_data!$E$1:$E$768))/(MAX(pima_data!$E$1:$E$768)-MIN(pima_data!$E$1:$E$768))</f>
        <v>0</v>
      </c>
      <c r="F637" s="5">
        <f>(pima_data!F637-MIN(pima_data!$F$1:$F$768))/(MAX(pima_data!$F$1:$F$768)-MIN(pima_data!$F$1:$F$768))</f>
        <v>0.429210134128167</v>
      </c>
      <c r="G637" s="5">
        <f>(pima_data!G637-MIN(pima_data!$G$1:$G$768))/(MAX(pima_data!$G$1:$G$768)-MIN(pima_data!$G$1:$G$768))</f>
        <v>0.0320239111870196</v>
      </c>
      <c r="H637" s="5">
        <f>(pima_data!H637-MIN(pima_data!$H$1:$H$768))/(MAX(pima_data!$H$1:$H$768)-MIN(pima_data!$H$1:$H$768))</f>
        <v>0.45</v>
      </c>
    </row>
    <row r="638" spans="1:8">
      <c r="A638" s="5">
        <f>(pima_data!A638-MIN(pima_data!$A$1:$A$768))/(MAX(pima_data!$A$1:$A$768)-MIN(pima_data!$A$1:$A$768))</f>
        <v>0.117647058823529</v>
      </c>
      <c r="B638" s="5">
        <f>(pima_data!B638-MIN(pima_data!$B$1:$B$768))/(MAX(pima_data!$B$1:$B$768)-MIN(pima_data!$B$1:$B$768))</f>
        <v>0.472361809045226</v>
      </c>
      <c r="C638" s="5">
        <f>(pima_data!C638-MIN(pima_data!$C$1:$C$768))/(MAX(pima_data!$C$1:$C$768)-MIN(pima_data!$C$1:$C$768))</f>
        <v>0.622950819672131</v>
      </c>
      <c r="D638" s="5">
        <f>(pima_data!D638-MIN(pima_data!$D$1:$D$768))/(MAX(pima_data!$D$1:$D$768)-MIN(pima_data!$D$1:$D$768))</f>
        <v>0.181818181818182</v>
      </c>
      <c r="E638" s="5">
        <f>(pima_data!E638-MIN(pima_data!$E$1:$E$768))/(MAX(pima_data!$E$1:$E$768)-MIN(pima_data!$E$1:$E$768))</f>
        <v>0.0780141843971631</v>
      </c>
      <c r="F638" s="5">
        <f>(pima_data!F638-MIN(pima_data!$F$1:$F$768))/(MAX(pima_data!$F$1:$F$768)-MIN(pima_data!$F$1:$F$768))</f>
        <v>0.470938897168405</v>
      </c>
      <c r="G638" s="5">
        <f>(pima_data!G638-MIN(pima_data!$G$1:$G$768))/(MAX(pima_data!$G$1:$G$768)-MIN(pima_data!$G$1:$G$768))</f>
        <v>0.243808710503843</v>
      </c>
      <c r="H638" s="5">
        <f>(pima_data!H638-MIN(pima_data!$H$1:$H$768))/(MAX(pima_data!$H$1:$H$768)-MIN(pima_data!$H$1:$H$768))</f>
        <v>0.0333333333333333</v>
      </c>
    </row>
    <row r="639" spans="1:8">
      <c r="A639" s="5">
        <f>(pima_data!A639-MIN(pima_data!$A$1:$A$768))/(MAX(pima_data!$A$1:$A$768)-MIN(pima_data!$A$1:$A$768))</f>
        <v>0.411764705882353</v>
      </c>
      <c r="B639" s="5">
        <f>(pima_data!B639-MIN(pima_data!$B$1:$B$768))/(MAX(pima_data!$B$1:$B$768)-MIN(pima_data!$B$1:$B$768))</f>
        <v>0.487437185929648</v>
      </c>
      <c r="C639" s="5">
        <f>(pima_data!C639-MIN(pima_data!$C$1:$C$768))/(MAX(pima_data!$C$1:$C$768)-MIN(pima_data!$C$1:$C$768))</f>
        <v>0.622950819672131</v>
      </c>
      <c r="D639" s="5">
        <f>(pima_data!D639-MIN(pima_data!$D$1:$D$768))/(MAX(pima_data!$D$1:$D$768)-MIN(pima_data!$D$1:$D$768))</f>
        <v>0.323232323232323</v>
      </c>
      <c r="E639" s="5">
        <f>(pima_data!E639-MIN(pima_data!$E$1:$E$768))/(MAX(pima_data!$E$1:$E$768)-MIN(pima_data!$E$1:$E$768))</f>
        <v>0.107565011820331</v>
      </c>
      <c r="F639" s="5">
        <f>(pima_data!F639-MIN(pima_data!$F$1:$F$768))/(MAX(pima_data!$F$1:$F$768)-MIN(pima_data!$F$1:$F$768))</f>
        <v>0.609538002980626</v>
      </c>
      <c r="G639" s="5">
        <f>(pima_data!G639-MIN(pima_data!$G$1:$G$768))/(MAX(pima_data!$G$1:$G$768)-MIN(pima_data!$G$1:$G$768))</f>
        <v>0.338599487617421</v>
      </c>
      <c r="H639" s="5">
        <f>(pima_data!H639-MIN(pima_data!$H$1:$H$768))/(MAX(pima_data!$H$1:$H$768)-MIN(pima_data!$H$1:$H$768))</f>
        <v>0.183333333333333</v>
      </c>
    </row>
    <row r="640" spans="1:8">
      <c r="A640" s="5">
        <f>(pima_data!A640-MIN(pima_data!$A$1:$A$768))/(MAX(pima_data!$A$1:$A$768)-MIN(pima_data!$A$1:$A$768))</f>
        <v>0.0588235294117647</v>
      </c>
      <c r="B640" s="5">
        <f>(pima_data!B640-MIN(pima_data!$B$1:$B$768))/(MAX(pima_data!$B$1:$B$768)-MIN(pima_data!$B$1:$B$768))</f>
        <v>0.50251256281407</v>
      </c>
      <c r="C640" s="5">
        <f>(pima_data!C640-MIN(pima_data!$C$1:$C$768))/(MAX(pima_data!$C$1:$C$768)-MIN(pima_data!$C$1:$C$768))</f>
        <v>0.60655737704918</v>
      </c>
      <c r="D640" s="5">
        <f>(pima_data!D640-MIN(pima_data!$D$1:$D$768))/(MAX(pima_data!$D$1:$D$768)-MIN(pima_data!$D$1:$D$768))</f>
        <v>0.121212121212121</v>
      </c>
      <c r="E640" s="5">
        <f>(pima_data!E640-MIN(pima_data!$E$1:$E$768))/(MAX(pima_data!$E$1:$E$768)-MIN(pima_data!$E$1:$E$768))</f>
        <v>0.0543735224586288</v>
      </c>
      <c r="F640" s="5">
        <f>(pima_data!F640-MIN(pima_data!$F$1:$F$768))/(MAX(pima_data!$F$1:$F$768)-MIN(pima_data!$F$1:$F$768))</f>
        <v>0.290611028315946</v>
      </c>
      <c r="G640" s="5">
        <f>(pima_data!G640-MIN(pima_data!$G$1:$G$768))/(MAX(pima_data!$G$1:$G$768)-MIN(pima_data!$G$1:$G$768))</f>
        <v>0.0303159692570453</v>
      </c>
      <c r="H640" s="5">
        <f>(pima_data!H640-MIN(pima_data!$H$1:$H$768))/(MAX(pima_data!$H$1:$H$768)-MIN(pima_data!$H$1:$H$768))</f>
        <v>0.116666666666667</v>
      </c>
    </row>
    <row r="641" spans="1:8">
      <c r="A641" s="5">
        <f>(pima_data!A641-MIN(pima_data!$A$1:$A$768))/(MAX(pima_data!$A$1:$A$768)-MIN(pima_data!$A$1:$A$768))</f>
        <v>0</v>
      </c>
      <c r="B641" s="5">
        <f>(pima_data!B641-MIN(pima_data!$B$1:$B$768))/(MAX(pima_data!$B$1:$B$768)-MIN(pima_data!$B$1:$B$768))</f>
        <v>0.512562814070352</v>
      </c>
      <c r="C641" s="5">
        <f>(pima_data!C641-MIN(pima_data!$C$1:$C$768))/(MAX(pima_data!$C$1:$C$768)-MIN(pima_data!$C$1:$C$768))</f>
        <v>0.704918032786885</v>
      </c>
      <c r="D641" s="5">
        <f>(pima_data!D641-MIN(pima_data!$D$1:$D$768))/(MAX(pima_data!$D$1:$D$768)-MIN(pima_data!$D$1:$D$768))</f>
        <v>0.171717171717172</v>
      </c>
      <c r="E641" s="5">
        <f>(pima_data!E641-MIN(pima_data!$E$1:$E$768))/(MAX(pima_data!$E$1:$E$768)-MIN(pima_data!$E$1:$E$768))</f>
        <v>0.124113475177305</v>
      </c>
      <c r="F641" s="5">
        <f>(pima_data!F641-MIN(pima_data!$F$1:$F$768))/(MAX(pima_data!$F$1:$F$768)-MIN(pima_data!$F$1:$F$768))</f>
        <v>0.436661698956781</v>
      </c>
      <c r="G641" s="5">
        <f>(pima_data!G641-MIN(pima_data!$G$1:$G$768))/(MAX(pima_data!$G$1:$G$768)-MIN(pima_data!$G$1:$G$768))</f>
        <v>0.263450042698548</v>
      </c>
      <c r="H641" s="5">
        <f>(pima_data!H641-MIN(pima_data!$H$1:$H$768))/(MAX(pima_data!$H$1:$H$768)-MIN(pima_data!$H$1:$H$768))</f>
        <v>0.1</v>
      </c>
    </row>
    <row r="642" spans="1:8">
      <c r="A642" s="5">
        <f>(pima_data!A642-MIN(pima_data!$A$1:$A$768))/(MAX(pima_data!$A$1:$A$768)-MIN(pima_data!$A$1:$A$768))</f>
        <v>0.235294117647059</v>
      </c>
      <c r="B642" s="5">
        <f>(pima_data!B642-MIN(pima_data!$B$1:$B$768))/(MAX(pima_data!$B$1:$B$768)-MIN(pima_data!$B$1:$B$768))</f>
        <v>0.64321608040201</v>
      </c>
      <c r="C642" s="5">
        <f>(pima_data!C642-MIN(pima_data!$C$1:$C$768))/(MAX(pima_data!$C$1:$C$768)-MIN(pima_data!$C$1:$C$768))</f>
        <v>0.573770491803279</v>
      </c>
      <c r="D642" s="5">
        <f>(pima_data!D642-MIN(pima_data!$D$1:$D$768))/(MAX(pima_data!$D$1:$D$768)-MIN(pima_data!$D$1:$D$768))</f>
        <v>0</v>
      </c>
      <c r="E642" s="5">
        <f>(pima_data!E642-MIN(pima_data!$E$1:$E$768))/(MAX(pima_data!$E$1:$E$768)-MIN(pima_data!$E$1:$E$768))</f>
        <v>0</v>
      </c>
      <c r="F642" s="5">
        <f>(pima_data!F642-MIN(pima_data!$F$1:$F$768))/(MAX(pima_data!$F$1:$F$768)-MIN(pima_data!$F$1:$F$768))</f>
        <v>0.511177347242921</v>
      </c>
      <c r="G642" s="5">
        <f>(pima_data!G642-MIN(pima_data!$G$1:$G$768))/(MAX(pima_data!$G$1:$G$768)-MIN(pima_data!$G$1:$G$768))</f>
        <v>0.0960717335610589</v>
      </c>
      <c r="H642" s="5">
        <f>(pima_data!H642-MIN(pima_data!$H$1:$H$768))/(MAX(pima_data!$H$1:$H$768)-MIN(pima_data!$H$1:$H$768))</f>
        <v>0.05</v>
      </c>
    </row>
    <row r="643" spans="1:8">
      <c r="A643" s="5">
        <f>(pima_data!A643-MIN(pima_data!$A$1:$A$768))/(MAX(pima_data!$A$1:$A$768)-MIN(pima_data!$A$1:$A$768))</f>
        <v>0.352941176470588</v>
      </c>
      <c r="B643" s="5">
        <f>(pima_data!B643-MIN(pima_data!$B$1:$B$768))/(MAX(pima_data!$B$1:$B$768)-MIN(pima_data!$B$1:$B$768))</f>
        <v>0.738693467336683</v>
      </c>
      <c r="C643" s="5">
        <f>(pima_data!C643-MIN(pima_data!$C$1:$C$768))/(MAX(pima_data!$C$1:$C$768)-MIN(pima_data!$C$1:$C$768))</f>
        <v>0.655737704918033</v>
      </c>
      <c r="D643" s="5">
        <f>(pima_data!D643-MIN(pima_data!$D$1:$D$768))/(MAX(pima_data!$D$1:$D$768)-MIN(pima_data!$D$1:$D$768))</f>
        <v>0</v>
      </c>
      <c r="E643" s="5">
        <f>(pima_data!E643-MIN(pima_data!$E$1:$E$768))/(MAX(pima_data!$E$1:$E$768)-MIN(pima_data!$E$1:$E$768))</f>
        <v>0</v>
      </c>
      <c r="F643" s="5">
        <f>(pima_data!F643-MIN(pima_data!$F$1:$F$768))/(MAX(pima_data!$F$1:$F$768)-MIN(pima_data!$F$1:$F$768))</f>
        <v>0.439642324888227</v>
      </c>
      <c r="G643" s="5">
        <f>(pima_data!G643-MIN(pima_data!$G$1:$G$768))/(MAX(pima_data!$G$1:$G$768)-MIN(pima_data!$G$1:$G$768))</f>
        <v>0.0426985482493595</v>
      </c>
      <c r="H643" s="5">
        <f>(pima_data!H643-MIN(pima_data!$H$1:$H$768))/(MAX(pima_data!$H$1:$H$768)-MIN(pima_data!$H$1:$H$768))</f>
        <v>0.483333333333333</v>
      </c>
    </row>
    <row r="644" spans="1:8">
      <c r="A644" s="5">
        <f>(pima_data!A644-MIN(pima_data!$A$1:$A$768))/(MAX(pima_data!$A$1:$A$768)-MIN(pima_data!$A$1:$A$768))</f>
        <v>0.235294117647059</v>
      </c>
      <c r="B644" s="5">
        <f>(pima_data!B644-MIN(pima_data!$B$1:$B$768))/(MAX(pima_data!$B$1:$B$768)-MIN(pima_data!$B$1:$B$768))</f>
        <v>0.452261306532663</v>
      </c>
      <c r="C644" s="5">
        <f>(pima_data!C644-MIN(pima_data!$C$1:$C$768))/(MAX(pima_data!$C$1:$C$768)-MIN(pima_data!$C$1:$C$768))</f>
        <v>0</v>
      </c>
      <c r="D644" s="5">
        <f>(pima_data!D644-MIN(pima_data!$D$1:$D$768))/(MAX(pima_data!$D$1:$D$768)-MIN(pima_data!$D$1:$D$768))</f>
        <v>0</v>
      </c>
      <c r="E644" s="5">
        <f>(pima_data!E644-MIN(pima_data!$E$1:$E$768))/(MAX(pima_data!$E$1:$E$768)-MIN(pima_data!$E$1:$E$768))</f>
        <v>0</v>
      </c>
      <c r="F644" s="5">
        <f>(pima_data!F644-MIN(pima_data!$F$1:$F$768))/(MAX(pima_data!$F$1:$F$768)-MIN(pima_data!$F$1:$F$768))</f>
        <v>0.417287630402385</v>
      </c>
      <c r="G644" s="5">
        <f>(pima_data!G644-MIN(pima_data!$G$1:$G$768))/(MAX(pima_data!$G$1:$G$768)-MIN(pima_data!$G$1:$G$768))</f>
        <v>0.227156276686593</v>
      </c>
      <c r="H644" s="5">
        <f>(pima_data!H644-MIN(pima_data!$H$1:$H$768))/(MAX(pima_data!$H$1:$H$768)-MIN(pima_data!$H$1:$H$768))</f>
        <v>0.166666666666667</v>
      </c>
    </row>
    <row r="645" spans="1:8">
      <c r="A645" s="5">
        <f>(pima_data!A645-MIN(pima_data!$A$1:$A$768))/(MAX(pima_data!$A$1:$A$768)-MIN(pima_data!$A$1:$A$768))</f>
        <v>0.176470588235294</v>
      </c>
      <c r="B645" s="5">
        <f>(pima_data!B645-MIN(pima_data!$B$1:$B$768))/(MAX(pima_data!$B$1:$B$768)-MIN(pima_data!$B$1:$B$768))</f>
        <v>0.517587939698492</v>
      </c>
      <c r="C645" s="5">
        <f>(pima_data!C645-MIN(pima_data!$C$1:$C$768))/(MAX(pima_data!$C$1:$C$768)-MIN(pima_data!$C$1:$C$768))</f>
        <v>0.590163934426229</v>
      </c>
      <c r="D645" s="5">
        <f>(pima_data!D645-MIN(pima_data!$D$1:$D$768))/(MAX(pima_data!$D$1:$D$768)-MIN(pima_data!$D$1:$D$768))</f>
        <v>0.303030303030303</v>
      </c>
      <c r="E645" s="5">
        <f>(pima_data!E645-MIN(pima_data!$E$1:$E$768))/(MAX(pima_data!$E$1:$E$768)-MIN(pima_data!$E$1:$E$768))</f>
        <v>0.179669030732861</v>
      </c>
      <c r="F645" s="5">
        <f>(pima_data!F645-MIN(pima_data!$F$1:$F$768))/(MAX(pima_data!$F$1:$F$768)-MIN(pima_data!$F$1:$F$768))</f>
        <v>0.411326378539493</v>
      </c>
      <c r="G645" s="5">
        <f>(pima_data!G645-MIN(pima_data!$G$1:$G$768))/(MAX(pima_data!$G$1:$G$768)-MIN(pima_data!$G$1:$G$768))</f>
        <v>0.278394534585824</v>
      </c>
      <c r="H645" s="5">
        <f>(pima_data!H645-MIN(pima_data!$H$1:$H$768))/(MAX(pima_data!$H$1:$H$768)-MIN(pima_data!$H$1:$H$768))</f>
        <v>0.1</v>
      </c>
    </row>
    <row r="646" spans="1:8">
      <c r="A646" s="5">
        <f>(pima_data!A646-MIN(pima_data!$A$1:$A$768))/(MAX(pima_data!$A$1:$A$768)-MIN(pima_data!$A$1:$A$768))</f>
        <v>0.117647058823529</v>
      </c>
      <c r="B646" s="5">
        <f>(pima_data!B646-MIN(pima_data!$B$1:$B$768))/(MAX(pima_data!$B$1:$B$768)-MIN(pima_data!$B$1:$B$768))</f>
        <v>0.78894472361809</v>
      </c>
      <c r="C646" s="5">
        <f>(pima_data!C646-MIN(pima_data!$C$1:$C$768))/(MAX(pima_data!$C$1:$C$768)-MIN(pima_data!$C$1:$C$768))</f>
        <v>0.60655737704918</v>
      </c>
      <c r="D646" s="5">
        <f>(pima_data!D646-MIN(pima_data!$D$1:$D$768))/(MAX(pima_data!$D$1:$D$768)-MIN(pima_data!$D$1:$D$768))</f>
        <v>0.353535353535354</v>
      </c>
      <c r="E646" s="5">
        <f>(pima_data!E646-MIN(pima_data!$E$1:$E$768))/(MAX(pima_data!$E$1:$E$768)-MIN(pima_data!$E$1:$E$768))</f>
        <v>0.520094562647754</v>
      </c>
      <c r="F646" s="5">
        <f>(pima_data!F646-MIN(pima_data!$F$1:$F$768))/(MAX(pima_data!$F$1:$F$768)-MIN(pima_data!$F$1:$F$768))</f>
        <v>0.587183308494784</v>
      </c>
      <c r="G646" s="5">
        <f>(pima_data!G646-MIN(pima_data!$G$1:$G$768))/(MAX(pima_data!$G$1:$G$768)-MIN(pima_data!$G$1:$G$768))</f>
        <v>0.0239111870196413</v>
      </c>
      <c r="H646" s="5">
        <f>(pima_data!H646-MIN(pima_data!$H$1:$H$768))/(MAX(pima_data!$H$1:$H$768)-MIN(pima_data!$H$1:$H$768))</f>
        <v>0.15</v>
      </c>
    </row>
    <row r="647" spans="1:8">
      <c r="A647" s="5">
        <f>(pima_data!A647-MIN(pima_data!$A$1:$A$768))/(MAX(pima_data!$A$1:$A$768)-MIN(pima_data!$A$1:$A$768))</f>
        <v>0.0588235294117647</v>
      </c>
      <c r="B647" s="5">
        <f>(pima_data!B647-MIN(pima_data!$B$1:$B$768))/(MAX(pima_data!$B$1:$B$768)-MIN(pima_data!$B$1:$B$768))</f>
        <v>0.839195979899497</v>
      </c>
      <c r="C647" s="5">
        <f>(pima_data!C647-MIN(pima_data!$C$1:$C$768))/(MAX(pima_data!$C$1:$C$768)-MIN(pima_data!$C$1:$C$768))</f>
        <v>0.60655737704918</v>
      </c>
      <c r="D647" s="5">
        <f>(pima_data!D647-MIN(pima_data!$D$1:$D$768))/(MAX(pima_data!$D$1:$D$768)-MIN(pima_data!$D$1:$D$768))</f>
        <v>0.171717171717172</v>
      </c>
      <c r="E647" s="5">
        <f>(pima_data!E647-MIN(pima_data!$E$1:$E$768))/(MAX(pima_data!$E$1:$E$768)-MIN(pima_data!$E$1:$E$768))</f>
        <v>0.170212765957447</v>
      </c>
      <c r="F647" s="5">
        <f>(pima_data!F647-MIN(pima_data!$F$1:$F$768))/(MAX(pima_data!$F$1:$F$768)-MIN(pima_data!$F$1:$F$768))</f>
        <v>0.348733233979136</v>
      </c>
      <c r="G647" s="5">
        <f>(pima_data!G647-MIN(pima_data!$G$1:$G$768))/(MAX(pima_data!$G$1:$G$768)-MIN(pima_data!$G$1:$G$768))</f>
        <v>0.157557643040137</v>
      </c>
      <c r="H647" s="5">
        <f>(pima_data!H647-MIN(pima_data!$H$1:$H$768))/(MAX(pima_data!$H$1:$H$768)-MIN(pima_data!$H$1:$H$768))</f>
        <v>0.2</v>
      </c>
    </row>
    <row r="648" spans="1:8">
      <c r="A648" s="5">
        <f>(pima_data!A648-MIN(pima_data!$A$1:$A$768))/(MAX(pima_data!$A$1:$A$768)-MIN(pima_data!$A$1:$A$768))</f>
        <v>0</v>
      </c>
      <c r="B648" s="5">
        <f>(pima_data!B648-MIN(pima_data!$B$1:$B$768))/(MAX(pima_data!$B$1:$B$768)-MIN(pima_data!$B$1:$B$768))</f>
        <v>0.899497487437186</v>
      </c>
      <c r="C648" s="5">
        <f>(pima_data!C648-MIN(pima_data!$C$1:$C$768))/(MAX(pima_data!$C$1:$C$768)-MIN(pima_data!$C$1:$C$768))</f>
        <v>0.409836065573771</v>
      </c>
      <c r="D648" s="5">
        <f>(pima_data!D648-MIN(pima_data!$D$1:$D$768))/(MAX(pima_data!$D$1:$D$768)-MIN(pima_data!$D$1:$D$768))</f>
        <v>0.363636363636364</v>
      </c>
      <c r="E648" s="5">
        <f>(pima_data!E648-MIN(pima_data!$E$1:$E$768))/(MAX(pima_data!$E$1:$E$768)-MIN(pima_data!$E$1:$E$768))</f>
        <v>0.187943262411348</v>
      </c>
      <c r="F648" s="5">
        <f>(pima_data!F648-MIN(pima_data!$F$1:$F$768))/(MAX(pima_data!$F$1:$F$768)-MIN(pima_data!$F$1:$F$768))</f>
        <v>0.563338301043219</v>
      </c>
      <c r="G648" s="5">
        <f>(pima_data!G648-MIN(pima_data!$G$1:$G$768))/(MAX(pima_data!$G$1:$G$768)-MIN(pima_data!$G$1:$G$768))</f>
        <v>0.160973526900085</v>
      </c>
      <c r="H648" s="5">
        <f>(pima_data!H648-MIN(pima_data!$H$1:$H$768))/(MAX(pima_data!$H$1:$H$768)-MIN(pima_data!$H$1:$H$768))</f>
        <v>0.0166666666666667</v>
      </c>
    </row>
    <row r="649" spans="1:8">
      <c r="A649" s="5">
        <f>(pima_data!A649-MIN(pima_data!$A$1:$A$768))/(MAX(pima_data!$A$1:$A$768)-MIN(pima_data!$A$1:$A$768))</f>
        <v>0.647058823529412</v>
      </c>
      <c r="B649" s="5">
        <f>(pima_data!B649-MIN(pima_data!$B$1:$B$768))/(MAX(pima_data!$B$1:$B$768)-MIN(pima_data!$B$1:$B$768))</f>
        <v>0.683417085427136</v>
      </c>
      <c r="C649" s="5">
        <f>(pima_data!C649-MIN(pima_data!$C$1:$C$768))/(MAX(pima_data!$C$1:$C$768)-MIN(pima_data!$C$1:$C$768))</f>
        <v>0.688524590163934</v>
      </c>
      <c r="D649" s="5">
        <f>(pima_data!D649-MIN(pima_data!$D$1:$D$768))/(MAX(pima_data!$D$1:$D$768)-MIN(pima_data!$D$1:$D$768))</f>
        <v>0.353535353535354</v>
      </c>
      <c r="E649" s="5">
        <f>(pima_data!E649-MIN(pima_data!$E$1:$E$768))/(MAX(pima_data!$E$1:$E$768)-MIN(pima_data!$E$1:$E$768))</f>
        <v>0.153664302600473</v>
      </c>
      <c r="F649" s="5">
        <f>(pima_data!F649-MIN(pima_data!$F$1:$F$768))/(MAX(pima_data!$F$1:$F$768)-MIN(pima_data!$F$1:$F$768))</f>
        <v>0.421758569299553</v>
      </c>
      <c r="G649" s="5">
        <f>(pima_data!G649-MIN(pima_data!$G$1:$G$768))/(MAX(pima_data!$G$1:$G$768)-MIN(pima_data!$G$1:$G$768))</f>
        <v>0.0777113578138343</v>
      </c>
      <c r="H649" s="5">
        <f>(pima_data!H649-MIN(pima_data!$H$1:$H$768))/(MAX(pima_data!$H$1:$H$768)-MIN(pima_data!$H$1:$H$768))</f>
        <v>0.35</v>
      </c>
    </row>
    <row r="650" spans="1:8">
      <c r="A650" s="5">
        <f>(pima_data!A650-MIN(pima_data!$A$1:$A$768))/(MAX(pima_data!$A$1:$A$768)-MIN(pima_data!$A$1:$A$768))</f>
        <v>0</v>
      </c>
      <c r="B650" s="5">
        <f>(pima_data!B650-MIN(pima_data!$B$1:$B$768))/(MAX(pima_data!$B$1:$B$768)-MIN(pima_data!$B$1:$B$768))</f>
        <v>0.537688442211055</v>
      </c>
      <c r="C650" s="5">
        <f>(pima_data!C650-MIN(pima_data!$C$1:$C$768))/(MAX(pima_data!$C$1:$C$768)-MIN(pima_data!$C$1:$C$768))</f>
        <v>0.491803278688525</v>
      </c>
      <c r="D650" s="5">
        <f>(pima_data!D650-MIN(pima_data!$D$1:$D$768))/(MAX(pima_data!$D$1:$D$768)-MIN(pima_data!$D$1:$D$768))</f>
        <v>0.252525252525253</v>
      </c>
      <c r="E650" s="5">
        <f>(pima_data!E650-MIN(pima_data!$E$1:$E$768))/(MAX(pima_data!$E$1:$E$768)-MIN(pima_data!$E$1:$E$768))</f>
        <v>0</v>
      </c>
      <c r="F650" s="5">
        <f>(pima_data!F650-MIN(pima_data!$F$1:$F$768))/(MAX(pima_data!$F$1:$F$768)-MIN(pima_data!$F$1:$F$768))</f>
        <v>0.39344262295082</v>
      </c>
      <c r="G650" s="5">
        <f>(pima_data!G650-MIN(pima_data!$G$1:$G$768))/(MAX(pima_data!$G$1:$G$768)-MIN(pima_data!$G$1:$G$768))</f>
        <v>0.0234842015371477</v>
      </c>
      <c r="H650" s="5">
        <f>(pima_data!H650-MIN(pima_data!$H$1:$H$768))/(MAX(pima_data!$H$1:$H$768)-MIN(pima_data!$H$1:$H$768))</f>
        <v>0.0333333333333333</v>
      </c>
    </row>
    <row r="651" spans="1:8">
      <c r="A651" s="5">
        <f>(pima_data!A651-MIN(pima_data!$A$1:$A$768))/(MAX(pima_data!$A$1:$A$768)-MIN(pima_data!$A$1:$A$768))</f>
        <v>0.0588235294117647</v>
      </c>
      <c r="B651" s="5">
        <f>(pima_data!B651-MIN(pima_data!$B$1:$B$768))/(MAX(pima_data!$B$1:$B$768)-MIN(pima_data!$B$1:$B$768))</f>
        <v>0.457286432160804</v>
      </c>
      <c r="C651" s="5">
        <f>(pima_data!C651-MIN(pima_data!$C$1:$C$768))/(MAX(pima_data!$C$1:$C$768)-MIN(pima_data!$C$1:$C$768))</f>
        <v>0.442622950819672</v>
      </c>
      <c r="D651" s="5">
        <f>(pima_data!D651-MIN(pima_data!$D$1:$D$768))/(MAX(pima_data!$D$1:$D$768)-MIN(pima_data!$D$1:$D$768))</f>
        <v>0.252525252525253</v>
      </c>
      <c r="E651" s="5">
        <f>(pima_data!E651-MIN(pima_data!$E$1:$E$768))/(MAX(pima_data!$E$1:$E$768)-MIN(pima_data!$E$1:$E$768))</f>
        <v>0.118203309692671</v>
      </c>
      <c r="F651" s="5">
        <f>(pima_data!F651-MIN(pima_data!$F$1:$F$768))/(MAX(pima_data!$F$1:$F$768)-MIN(pima_data!$F$1:$F$768))</f>
        <v>0.375558867362146</v>
      </c>
      <c r="G651" s="5">
        <f>(pima_data!G651-MIN(pima_data!$G$1:$G$768))/(MAX(pima_data!$G$1:$G$768)-MIN(pima_data!$G$1:$G$768))</f>
        <v>0.0666097352690009</v>
      </c>
      <c r="H651" s="5">
        <f>(pima_data!H651-MIN(pima_data!$H$1:$H$768))/(MAX(pima_data!$H$1:$H$768)-MIN(pima_data!$H$1:$H$768))</f>
        <v>0.0333333333333333</v>
      </c>
    </row>
    <row r="652" spans="1:8">
      <c r="A652" s="5">
        <f>(pima_data!A652-MIN(pima_data!$A$1:$A$768))/(MAX(pima_data!$A$1:$A$768)-MIN(pima_data!$A$1:$A$768))</f>
        <v>0.0588235294117647</v>
      </c>
      <c r="B652" s="5">
        <f>(pima_data!B652-MIN(pima_data!$B$1:$B$768))/(MAX(pima_data!$B$1:$B$768)-MIN(pima_data!$B$1:$B$768))</f>
        <v>0.587939698492462</v>
      </c>
      <c r="C652" s="5">
        <f>(pima_data!C652-MIN(pima_data!$C$1:$C$768))/(MAX(pima_data!$C$1:$C$768)-MIN(pima_data!$C$1:$C$768))</f>
        <v>0.491803278688525</v>
      </c>
      <c r="D652" s="5">
        <f>(pima_data!D652-MIN(pima_data!$D$1:$D$768))/(MAX(pima_data!$D$1:$D$768)-MIN(pima_data!$D$1:$D$768))</f>
        <v>0.232323232323232</v>
      </c>
      <c r="E652" s="5">
        <f>(pima_data!E652-MIN(pima_data!$E$1:$E$768))/(MAX(pima_data!$E$1:$E$768)-MIN(pima_data!$E$1:$E$768))</f>
        <v>0.125295508274232</v>
      </c>
      <c r="F652" s="5">
        <f>(pima_data!F652-MIN(pima_data!$F$1:$F$768))/(MAX(pima_data!$F$1:$F$768)-MIN(pima_data!$F$1:$F$768))</f>
        <v>0.503725782414307</v>
      </c>
      <c r="G652" s="5">
        <f>(pima_data!G652-MIN(pima_data!$G$1:$G$768))/(MAX(pima_data!$G$1:$G$768)-MIN(pima_data!$G$1:$G$768))</f>
        <v>0.165670367207515</v>
      </c>
      <c r="H652" s="5">
        <f>(pima_data!H652-MIN(pima_data!$H$1:$H$768))/(MAX(pima_data!$H$1:$H$768)-MIN(pima_data!$H$1:$H$768))</f>
        <v>0.1</v>
      </c>
    </row>
    <row r="653" spans="1:8">
      <c r="A653" s="5">
        <f>(pima_data!A653-MIN(pima_data!$A$1:$A$768))/(MAX(pima_data!$A$1:$A$768)-MIN(pima_data!$A$1:$A$768))</f>
        <v>0.294117647058824</v>
      </c>
      <c r="B653" s="5">
        <f>(pima_data!B653-MIN(pima_data!$B$1:$B$768))/(MAX(pima_data!$B$1:$B$768)-MIN(pima_data!$B$1:$B$768))</f>
        <v>0.618090452261307</v>
      </c>
      <c r="C653" s="5">
        <f>(pima_data!C653-MIN(pima_data!$C$1:$C$768))/(MAX(pima_data!$C$1:$C$768)-MIN(pima_data!$C$1:$C$768))</f>
        <v>0.60655737704918</v>
      </c>
      <c r="D653" s="5">
        <f>(pima_data!D653-MIN(pima_data!$D$1:$D$768))/(MAX(pima_data!$D$1:$D$768)-MIN(pima_data!$D$1:$D$768))</f>
        <v>0.404040404040404</v>
      </c>
      <c r="E653" s="5">
        <f>(pima_data!E653-MIN(pima_data!$E$1:$E$768))/(MAX(pima_data!$E$1:$E$768)-MIN(pima_data!$E$1:$E$768))</f>
        <v>0.091016548463357</v>
      </c>
      <c r="F653" s="5">
        <f>(pima_data!F653-MIN(pima_data!$F$1:$F$768))/(MAX(pima_data!$F$1:$F$768)-MIN(pima_data!$F$1:$F$768))</f>
        <v>0.508196721311475</v>
      </c>
      <c r="G653" s="5">
        <f>(pima_data!G653-MIN(pima_data!$G$1:$G$768))/(MAX(pima_data!$G$1:$G$768)-MIN(pima_data!$G$1:$G$768))</f>
        <v>0.0815542271562767</v>
      </c>
      <c r="H653" s="5">
        <f>(pima_data!H653-MIN(pima_data!$H$1:$H$768))/(MAX(pima_data!$H$1:$H$768)-MIN(pima_data!$H$1:$H$768))</f>
        <v>0.116666666666667</v>
      </c>
    </row>
    <row r="654" spans="1:8">
      <c r="A654" s="5">
        <f>(pima_data!A654-MIN(pima_data!$A$1:$A$768))/(MAX(pima_data!$A$1:$A$768)-MIN(pima_data!$A$1:$A$768))</f>
        <v>0.117647058823529</v>
      </c>
      <c r="B654" s="5">
        <f>(pima_data!B654-MIN(pima_data!$B$1:$B$768))/(MAX(pima_data!$B$1:$B$768)-MIN(pima_data!$B$1:$B$768))</f>
        <v>0.603015075376884</v>
      </c>
      <c r="C654" s="5">
        <f>(pima_data!C654-MIN(pima_data!$C$1:$C$768))/(MAX(pima_data!$C$1:$C$768)-MIN(pima_data!$C$1:$C$768))</f>
        <v>0.442622950819672</v>
      </c>
      <c r="D654" s="5">
        <f>(pima_data!D654-MIN(pima_data!$D$1:$D$768))/(MAX(pima_data!$D$1:$D$768)-MIN(pima_data!$D$1:$D$768))</f>
        <v>0</v>
      </c>
      <c r="E654" s="5">
        <f>(pima_data!E654-MIN(pima_data!$E$1:$E$768))/(MAX(pima_data!$E$1:$E$768)-MIN(pima_data!$E$1:$E$768))</f>
        <v>0</v>
      </c>
      <c r="F654" s="5">
        <f>(pima_data!F654-MIN(pima_data!$F$1:$F$768))/(MAX(pima_data!$F$1:$F$768)-MIN(pima_data!$F$1:$F$768))</f>
        <v>0.399403874813711</v>
      </c>
      <c r="G654" s="5">
        <f>(pima_data!G654-MIN(pima_data!$G$1:$G$768))/(MAX(pima_data!$G$1:$G$768)-MIN(pima_data!$G$1:$G$768))</f>
        <v>0.160973526900085</v>
      </c>
      <c r="H654" s="5">
        <f>(pima_data!H654-MIN(pima_data!$H$1:$H$768))/(MAX(pima_data!$H$1:$H$768)-MIN(pima_data!$H$1:$H$768))</f>
        <v>0.1</v>
      </c>
    </row>
    <row r="655" spans="1:8">
      <c r="A655" s="5">
        <f>(pima_data!A655-MIN(pima_data!$A$1:$A$768))/(MAX(pima_data!$A$1:$A$768)-MIN(pima_data!$A$1:$A$768))</f>
        <v>0.0588235294117647</v>
      </c>
      <c r="B655" s="5">
        <f>(pima_data!B655-MIN(pima_data!$B$1:$B$768))/(MAX(pima_data!$B$1:$B$768)-MIN(pima_data!$B$1:$B$768))</f>
        <v>0.532663316582915</v>
      </c>
      <c r="C655" s="5">
        <f>(pima_data!C655-MIN(pima_data!$C$1:$C$768))/(MAX(pima_data!$C$1:$C$768)-MIN(pima_data!$C$1:$C$768))</f>
        <v>0.573770491803279</v>
      </c>
      <c r="D655" s="5">
        <f>(pima_data!D655-MIN(pima_data!$D$1:$D$768))/(MAX(pima_data!$D$1:$D$768)-MIN(pima_data!$D$1:$D$768))</f>
        <v>0.282828282828283</v>
      </c>
      <c r="E655" s="5">
        <f>(pima_data!E655-MIN(pima_data!$E$1:$E$768))/(MAX(pima_data!$E$1:$E$768)-MIN(pima_data!$E$1:$E$768))</f>
        <v>0.159574468085106</v>
      </c>
      <c r="F655" s="5">
        <f>(pima_data!F655-MIN(pima_data!$F$1:$F$768))/(MAX(pima_data!$F$1:$F$768)-MIN(pima_data!$F$1:$F$768))</f>
        <v>0.509687034277198</v>
      </c>
      <c r="G655" s="5">
        <f>(pima_data!G655-MIN(pima_data!$G$1:$G$768))/(MAX(pima_data!$G$1:$G$768)-MIN(pima_data!$G$1:$G$768))</f>
        <v>0.0273270708795901</v>
      </c>
      <c r="H655" s="5">
        <f>(pima_data!H655-MIN(pima_data!$H$1:$H$768))/(MAX(pima_data!$H$1:$H$768)-MIN(pima_data!$H$1:$H$768))</f>
        <v>0.0166666666666667</v>
      </c>
    </row>
    <row r="656" spans="1:8">
      <c r="A656" s="5">
        <f>(pima_data!A656-MIN(pima_data!$A$1:$A$768))/(MAX(pima_data!$A$1:$A$768)-MIN(pima_data!$A$1:$A$768))</f>
        <v>0.117647058823529</v>
      </c>
      <c r="B656" s="5">
        <f>(pima_data!B656-MIN(pima_data!$B$1:$B$768))/(MAX(pima_data!$B$1:$B$768)-MIN(pima_data!$B$1:$B$768))</f>
        <v>0.778894472361809</v>
      </c>
      <c r="C656" s="5">
        <f>(pima_data!C656-MIN(pima_data!$C$1:$C$768))/(MAX(pima_data!$C$1:$C$768)-MIN(pima_data!$C$1:$C$768))</f>
        <v>0.426229508196721</v>
      </c>
      <c r="D656" s="5">
        <f>(pima_data!D656-MIN(pima_data!$D$1:$D$768))/(MAX(pima_data!$D$1:$D$768)-MIN(pima_data!$D$1:$D$768))</f>
        <v>0.272727272727273</v>
      </c>
      <c r="E656" s="5">
        <f>(pima_data!E656-MIN(pima_data!$E$1:$E$768))/(MAX(pima_data!$E$1:$E$768)-MIN(pima_data!$E$1:$E$768))</f>
        <v>0.638297872340426</v>
      </c>
      <c r="F656" s="5">
        <f>(pima_data!F656-MIN(pima_data!$F$1:$F$768))/(MAX(pima_data!$F$1:$F$768)-MIN(pima_data!$F$1:$F$768))</f>
        <v>0.576751117734724</v>
      </c>
      <c r="G656" s="5">
        <f>(pima_data!G656-MIN(pima_data!$G$1:$G$768))/(MAX(pima_data!$G$1:$G$768)-MIN(pima_data!$G$1:$G$768))</f>
        <v>0.0691716481639624</v>
      </c>
      <c r="H656" s="5">
        <f>(pima_data!H656-MIN(pima_data!$H$1:$H$768))/(MAX(pima_data!$H$1:$H$768)-MIN(pima_data!$H$1:$H$768))</f>
        <v>0.0666666666666667</v>
      </c>
    </row>
    <row r="657" spans="1:8">
      <c r="A657" s="5">
        <f>(pima_data!A657-MIN(pima_data!$A$1:$A$768))/(MAX(pima_data!$A$1:$A$768)-MIN(pima_data!$A$1:$A$768))</f>
        <v>0.117647058823529</v>
      </c>
      <c r="B657" s="5">
        <f>(pima_data!B657-MIN(pima_data!$B$1:$B$768))/(MAX(pima_data!$B$1:$B$768)-MIN(pima_data!$B$1:$B$768))</f>
        <v>0.507537688442211</v>
      </c>
      <c r="C657" s="5">
        <f>(pima_data!C657-MIN(pima_data!$C$1:$C$768))/(MAX(pima_data!$C$1:$C$768)-MIN(pima_data!$C$1:$C$768))</f>
        <v>0.475409836065574</v>
      </c>
      <c r="D657" s="5">
        <f>(pima_data!D657-MIN(pima_data!$D$1:$D$768))/(MAX(pima_data!$D$1:$D$768)-MIN(pima_data!$D$1:$D$768))</f>
        <v>0.353535353535354</v>
      </c>
      <c r="E657" s="5">
        <f>(pima_data!E657-MIN(pima_data!$E$1:$E$768))/(MAX(pima_data!$E$1:$E$768)-MIN(pima_data!$E$1:$E$768))</f>
        <v>0.106382978723404</v>
      </c>
      <c r="F657" s="5">
        <f>(pima_data!F657-MIN(pima_data!$F$1:$F$768))/(MAX(pima_data!$F$1:$F$768)-MIN(pima_data!$F$1:$F$768))</f>
        <v>0.324888226527571</v>
      </c>
      <c r="G657" s="5">
        <f>(pima_data!G657-MIN(pima_data!$G$1:$G$768))/(MAX(pima_data!$G$1:$G$768)-MIN(pima_data!$G$1:$G$768))</f>
        <v>0.0328778821520068</v>
      </c>
      <c r="H657" s="5">
        <f>(pima_data!H657-MIN(pima_data!$H$1:$H$768))/(MAX(pima_data!$H$1:$H$768)-MIN(pima_data!$H$1:$H$768))</f>
        <v>0.0166666666666667</v>
      </c>
    </row>
    <row r="658" spans="1:8">
      <c r="A658" s="5">
        <f>(pima_data!A658-MIN(pima_data!$A$1:$A$768))/(MAX(pima_data!$A$1:$A$768)-MIN(pima_data!$A$1:$A$768))</f>
        <v>0.0588235294117647</v>
      </c>
      <c r="B658" s="5">
        <f>(pima_data!B658-MIN(pima_data!$B$1:$B$768))/(MAX(pima_data!$B$1:$B$768)-MIN(pima_data!$B$1:$B$768))</f>
        <v>0.603015075376884</v>
      </c>
      <c r="C658" s="5">
        <f>(pima_data!C658-MIN(pima_data!$C$1:$C$768))/(MAX(pima_data!$C$1:$C$768)-MIN(pima_data!$C$1:$C$768))</f>
        <v>0.655737704918033</v>
      </c>
      <c r="D658" s="5">
        <f>(pima_data!D658-MIN(pima_data!$D$1:$D$768))/(MAX(pima_data!$D$1:$D$768)-MIN(pima_data!$D$1:$D$768))</f>
        <v>0.484848484848485</v>
      </c>
      <c r="E658" s="5">
        <f>(pima_data!E658-MIN(pima_data!$E$1:$E$768))/(MAX(pima_data!$E$1:$E$768)-MIN(pima_data!$E$1:$E$768))</f>
        <v>0.236406619385343</v>
      </c>
      <c r="F658" s="5">
        <f>(pima_data!F658-MIN(pima_data!$F$1:$F$768))/(MAX(pima_data!$F$1:$F$768)-MIN(pima_data!$F$1:$F$768))</f>
        <v>0.57973174366617</v>
      </c>
      <c r="G658" s="5">
        <f>(pima_data!G658-MIN(pima_data!$G$1:$G$768))/(MAX(pima_data!$G$1:$G$768)-MIN(pima_data!$G$1:$G$768))</f>
        <v>0.462852263023057</v>
      </c>
      <c r="H658" s="5">
        <f>(pima_data!H658-MIN(pima_data!$H$1:$H$768))/(MAX(pima_data!$H$1:$H$768)-MIN(pima_data!$H$1:$H$768))</f>
        <v>0.333333333333333</v>
      </c>
    </row>
    <row r="659" spans="1:8">
      <c r="A659" s="5">
        <f>(pima_data!A659-MIN(pima_data!$A$1:$A$768))/(MAX(pima_data!$A$1:$A$768)-MIN(pima_data!$A$1:$A$768))</f>
        <v>0.647058823529412</v>
      </c>
      <c r="B659" s="5">
        <f>(pima_data!B659-MIN(pima_data!$B$1:$B$768))/(MAX(pima_data!$B$1:$B$768)-MIN(pima_data!$B$1:$B$768))</f>
        <v>0.638190954773869</v>
      </c>
      <c r="C659" s="5">
        <f>(pima_data!C659-MIN(pima_data!$C$1:$C$768))/(MAX(pima_data!$C$1:$C$768)-MIN(pima_data!$C$1:$C$768))</f>
        <v>0.868852459016393</v>
      </c>
      <c r="D659" s="5">
        <f>(pima_data!D659-MIN(pima_data!$D$1:$D$768))/(MAX(pima_data!$D$1:$D$768)-MIN(pima_data!$D$1:$D$768))</f>
        <v>0</v>
      </c>
      <c r="E659" s="5">
        <f>(pima_data!E659-MIN(pima_data!$E$1:$E$768))/(MAX(pima_data!$E$1:$E$768)-MIN(pima_data!$E$1:$E$768))</f>
        <v>0</v>
      </c>
      <c r="F659" s="5">
        <f>(pima_data!F659-MIN(pima_data!$F$1:$F$768))/(MAX(pima_data!$F$1:$F$768)-MIN(pima_data!$F$1:$F$768))</f>
        <v>0.581222056631893</v>
      </c>
      <c r="G659" s="5">
        <f>(pima_data!G659-MIN(pima_data!$G$1:$G$768))/(MAX(pima_data!$G$1:$G$768)-MIN(pima_data!$G$1:$G$768))</f>
        <v>0.0478223740392827</v>
      </c>
      <c r="H659" s="5">
        <f>(pima_data!H659-MIN(pima_data!$H$1:$H$768))/(MAX(pima_data!$H$1:$H$768)-MIN(pima_data!$H$1:$H$768))</f>
        <v>0.5</v>
      </c>
    </row>
    <row r="660" spans="1:8">
      <c r="A660" s="5">
        <f>(pima_data!A660-MIN(pima_data!$A$1:$A$768))/(MAX(pima_data!$A$1:$A$768)-MIN(pima_data!$A$1:$A$768))</f>
        <v>0.176470588235294</v>
      </c>
      <c r="B660" s="5">
        <f>(pima_data!B660-MIN(pima_data!$B$1:$B$768))/(MAX(pima_data!$B$1:$B$768)-MIN(pima_data!$B$1:$B$768))</f>
        <v>0.402010050251256</v>
      </c>
      <c r="C660" s="5">
        <f>(pima_data!C660-MIN(pima_data!$C$1:$C$768))/(MAX(pima_data!$C$1:$C$768)-MIN(pima_data!$C$1:$C$768))</f>
        <v>0.672131147540984</v>
      </c>
      <c r="D660" s="5">
        <f>(pima_data!D660-MIN(pima_data!$D$1:$D$768))/(MAX(pima_data!$D$1:$D$768)-MIN(pima_data!$D$1:$D$768))</f>
        <v>0.313131313131313</v>
      </c>
      <c r="E660" s="5">
        <f>(pima_data!E660-MIN(pima_data!$E$1:$E$768))/(MAX(pima_data!$E$1:$E$768)-MIN(pima_data!$E$1:$E$768))</f>
        <v>0.08274231678487</v>
      </c>
      <c r="F660" s="5">
        <f>(pima_data!F660-MIN(pima_data!$F$1:$F$768))/(MAX(pima_data!$F$1:$F$768)-MIN(pima_data!$F$1:$F$768))</f>
        <v>0.509687034277198</v>
      </c>
      <c r="G660" s="5">
        <f>(pima_data!G660-MIN(pima_data!$G$1:$G$768))/(MAX(pima_data!$G$1:$G$768)-MIN(pima_data!$G$1:$G$768))</f>
        <v>0.518360375747225</v>
      </c>
      <c r="H660" s="5">
        <f>(pima_data!H660-MIN(pima_data!$H$1:$H$768))/(MAX(pima_data!$H$1:$H$768)-MIN(pima_data!$H$1:$H$768))</f>
        <v>0.1</v>
      </c>
    </row>
    <row r="661" spans="1:8">
      <c r="A661" s="5">
        <f>(pima_data!A661-MIN(pima_data!$A$1:$A$768))/(MAX(pima_data!$A$1:$A$768)-MIN(pima_data!$A$1:$A$768))</f>
        <v>0.588235294117647</v>
      </c>
      <c r="B661" s="5">
        <f>(pima_data!B661-MIN(pima_data!$B$1:$B$768))/(MAX(pima_data!$B$1:$B$768)-MIN(pima_data!$B$1:$B$768))</f>
        <v>0.814070351758794</v>
      </c>
      <c r="C661" s="5">
        <f>(pima_data!C661-MIN(pima_data!$C$1:$C$768))/(MAX(pima_data!$C$1:$C$768)-MIN(pima_data!$C$1:$C$768))</f>
        <v>0.688524590163934</v>
      </c>
      <c r="D661" s="5">
        <f>(pima_data!D661-MIN(pima_data!$D$1:$D$768))/(MAX(pima_data!$D$1:$D$768)-MIN(pima_data!$D$1:$D$768))</f>
        <v>0</v>
      </c>
      <c r="E661" s="5">
        <f>(pima_data!E661-MIN(pima_data!$E$1:$E$768))/(MAX(pima_data!$E$1:$E$768)-MIN(pima_data!$E$1:$E$768))</f>
        <v>0</v>
      </c>
      <c r="F661" s="5">
        <f>(pima_data!F661-MIN(pima_data!$F$1:$F$768))/(MAX(pima_data!$F$1:$F$768)-MIN(pima_data!$F$1:$F$768))</f>
        <v>0.412816691505216</v>
      </c>
      <c r="G661" s="5">
        <f>(pima_data!G661-MIN(pima_data!$G$1:$G$768))/(MAX(pima_data!$G$1:$G$768)-MIN(pima_data!$G$1:$G$768))</f>
        <v>0.0444064901793339</v>
      </c>
      <c r="H661" s="5">
        <f>(pima_data!H661-MIN(pima_data!$H$1:$H$768))/(MAX(pima_data!$H$1:$H$768)-MIN(pima_data!$H$1:$H$768))</f>
        <v>0.55</v>
      </c>
    </row>
    <row r="662" spans="1:8">
      <c r="A662" s="5">
        <f>(pima_data!A662-MIN(pima_data!$A$1:$A$768))/(MAX(pima_data!$A$1:$A$768)-MIN(pima_data!$A$1:$A$768))</f>
        <v>0.0588235294117647</v>
      </c>
      <c r="B662" s="5">
        <f>(pima_data!B662-MIN(pima_data!$B$1:$B$768))/(MAX(pima_data!$B$1:$B$768)-MIN(pima_data!$B$1:$B$768))</f>
        <v>1</v>
      </c>
      <c r="C662" s="5">
        <f>(pima_data!C662-MIN(pima_data!$C$1:$C$768))/(MAX(pima_data!$C$1:$C$768)-MIN(pima_data!$C$1:$C$768))</f>
        <v>0.622950819672131</v>
      </c>
      <c r="D662" s="5">
        <f>(pima_data!D662-MIN(pima_data!$D$1:$D$768))/(MAX(pima_data!$D$1:$D$768)-MIN(pima_data!$D$1:$D$768))</f>
        <v>0.434343434343434</v>
      </c>
      <c r="E662" s="5">
        <f>(pima_data!E662-MIN(pima_data!$E$1:$E$768))/(MAX(pima_data!$E$1:$E$768)-MIN(pima_data!$E$1:$E$768))</f>
        <v>0</v>
      </c>
      <c r="F662" s="5">
        <f>(pima_data!F662-MIN(pima_data!$F$1:$F$768))/(MAX(pima_data!$F$1:$F$768)-MIN(pima_data!$F$1:$F$768))</f>
        <v>0.639344262295082</v>
      </c>
      <c r="G662" s="5">
        <f>(pima_data!G662-MIN(pima_data!$G$1:$G$768))/(MAX(pima_data!$G$1:$G$768)-MIN(pima_data!$G$1:$G$768))</f>
        <v>0.561912894961571</v>
      </c>
      <c r="H662" s="5">
        <f>(pima_data!H662-MIN(pima_data!$H$1:$H$768))/(MAX(pima_data!$H$1:$H$768)-MIN(pima_data!$H$1:$H$768))</f>
        <v>0.0166666666666667</v>
      </c>
    </row>
    <row r="663" spans="1:8">
      <c r="A663" s="5">
        <f>(pima_data!A663-MIN(pima_data!$A$1:$A$768))/(MAX(pima_data!$A$1:$A$768)-MIN(pima_data!$A$1:$A$768))</f>
        <v>0.470588235294118</v>
      </c>
      <c r="B663" s="5">
        <f>(pima_data!B663-MIN(pima_data!$B$1:$B$768))/(MAX(pima_data!$B$1:$B$768)-MIN(pima_data!$B$1:$B$768))</f>
        <v>0.839195979899497</v>
      </c>
      <c r="C663" s="5">
        <f>(pima_data!C663-MIN(pima_data!$C$1:$C$768))/(MAX(pima_data!$C$1:$C$768)-MIN(pima_data!$C$1:$C$768))</f>
        <v>0.868852459016393</v>
      </c>
      <c r="D663" s="5">
        <f>(pima_data!D663-MIN(pima_data!$D$1:$D$768))/(MAX(pima_data!$D$1:$D$768)-MIN(pima_data!$D$1:$D$768))</f>
        <v>0.464646464646465</v>
      </c>
      <c r="E663" s="5">
        <f>(pima_data!E663-MIN(pima_data!$E$1:$E$768))/(MAX(pima_data!$E$1:$E$768)-MIN(pima_data!$E$1:$E$768))</f>
        <v>0.273049645390071</v>
      </c>
      <c r="F663" s="5">
        <f>(pima_data!F663-MIN(pima_data!$F$1:$F$768))/(MAX(pima_data!$F$1:$F$768)-MIN(pima_data!$F$1:$F$768))</f>
        <v>0.560357675111774</v>
      </c>
      <c r="G663" s="5">
        <f>(pima_data!G663-MIN(pima_data!$G$1:$G$768))/(MAX(pima_data!$G$1:$G$768)-MIN(pima_data!$G$1:$G$768))</f>
        <v>0.0371477369769428</v>
      </c>
      <c r="H663" s="5">
        <f>(pima_data!H663-MIN(pima_data!$H$1:$H$768))/(MAX(pima_data!$H$1:$H$768)-MIN(pima_data!$H$1:$H$768))</f>
        <v>0.366666666666667</v>
      </c>
    </row>
    <row r="664" spans="1:8">
      <c r="A664" s="5">
        <f>(pima_data!A664-MIN(pima_data!$A$1:$A$768))/(MAX(pima_data!$A$1:$A$768)-MIN(pima_data!$A$1:$A$768))</f>
        <v>0.529411764705882</v>
      </c>
      <c r="B664" s="5">
        <f>(pima_data!B664-MIN(pima_data!$B$1:$B$768))/(MAX(pima_data!$B$1:$B$768)-MIN(pima_data!$B$1:$B$768))</f>
        <v>0.728643216080402</v>
      </c>
      <c r="C664" s="5">
        <f>(pima_data!C664-MIN(pima_data!$C$1:$C$768))/(MAX(pima_data!$C$1:$C$768)-MIN(pima_data!$C$1:$C$768))</f>
        <v>0.655737704918033</v>
      </c>
      <c r="D664" s="5">
        <f>(pima_data!D664-MIN(pima_data!$D$1:$D$768))/(MAX(pima_data!$D$1:$D$768)-MIN(pima_data!$D$1:$D$768))</f>
        <v>0.464646464646465</v>
      </c>
      <c r="E664" s="5">
        <f>(pima_data!E664-MIN(pima_data!$E$1:$E$768))/(MAX(pima_data!$E$1:$E$768)-MIN(pima_data!$E$1:$E$768))</f>
        <v>0.153664302600473</v>
      </c>
      <c r="F664" s="5">
        <f>(pima_data!F664-MIN(pima_data!$F$1:$F$768))/(MAX(pima_data!$F$1:$F$768)-MIN(pima_data!$F$1:$F$768))</f>
        <v>0.564828614008942</v>
      </c>
      <c r="G664" s="5">
        <f>(pima_data!G664-MIN(pima_data!$G$1:$G$768))/(MAX(pima_data!$G$1:$G$768)-MIN(pima_data!$G$1:$G$768))</f>
        <v>0.23868488471392</v>
      </c>
      <c r="H664" s="5">
        <f>(pima_data!H664-MIN(pima_data!$H$1:$H$768))/(MAX(pima_data!$H$1:$H$768)-MIN(pima_data!$H$1:$H$768))</f>
        <v>0.316666666666667</v>
      </c>
    </row>
    <row r="665" spans="1:8">
      <c r="A665" s="5">
        <f>(pima_data!A665-MIN(pima_data!$A$1:$A$768))/(MAX(pima_data!$A$1:$A$768)-MIN(pima_data!$A$1:$A$768))</f>
        <v>0.352941176470588</v>
      </c>
      <c r="B665" s="5">
        <f>(pima_data!B665-MIN(pima_data!$B$1:$B$768))/(MAX(pima_data!$B$1:$B$768)-MIN(pima_data!$B$1:$B$768))</f>
        <v>0.577889447236181</v>
      </c>
      <c r="C665" s="5">
        <f>(pima_data!C665-MIN(pima_data!$C$1:$C$768))/(MAX(pima_data!$C$1:$C$768)-MIN(pima_data!$C$1:$C$768))</f>
        <v>0.491803278688525</v>
      </c>
      <c r="D665" s="5">
        <f>(pima_data!D665-MIN(pima_data!$D$1:$D$768))/(MAX(pima_data!$D$1:$D$768)-MIN(pima_data!$D$1:$D$768))</f>
        <v>0.393939393939394</v>
      </c>
      <c r="E665" s="5">
        <f>(pima_data!E665-MIN(pima_data!$E$1:$E$768))/(MAX(pima_data!$E$1:$E$768)-MIN(pima_data!$E$1:$E$768))</f>
        <v>0</v>
      </c>
      <c r="F665" s="5">
        <f>(pima_data!F665-MIN(pima_data!$F$1:$F$768))/(MAX(pima_data!$F$1:$F$768)-MIN(pima_data!$F$1:$F$768))</f>
        <v>0.502235469448584</v>
      </c>
      <c r="G665" s="5">
        <f>(pima_data!G665-MIN(pima_data!$G$1:$G$768))/(MAX(pima_data!$G$1:$G$768)-MIN(pima_data!$G$1:$G$768))</f>
        <v>0.0713065755764304</v>
      </c>
      <c r="H665" s="5">
        <f>(pima_data!H665-MIN(pima_data!$H$1:$H$768))/(MAX(pima_data!$H$1:$H$768)-MIN(pima_data!$H$1:$H$768))</f>
        <v>0.316666666666667</v>
      </c>
    </row>
    <row r="666" spans="1:8">
      <c r="A666" s="5">
        <f>(pima_data!A666-MIN(pima_data!$A$1:$A$768))/(MAX(pima_data!$A$1:$A$768)-MIN(pima_data!$A$1:$A$768))</f>
        <v>0.0588235294117647</v>
      </c>
      <c r="B666" s="5">
        <f>(pima_data!B666-MIN(pima_data!$B$1:$B$768))/(MAX(pima_data!$B$1:$B$768)-MIN(pima_data!$B$1:$B$768))</f>
        <v>0.562814070351759</v>
      </c>
      <c r="C666" s="5">
        <f>(pima_data!C666-MIN(pima_data!$C$1:$C$768))/(MAX(pima_data!$C$1:$C$768)-MIN(pima_data!$C$1:$C$768))</f>
        <v>0.655737704918033</v>
      </c>
      <c r="D666" s="5">
        <f>(pima_data!D666-MIN(pima_data!$D$1:$D$768))/(MAX(pima_data!$D$1:$D$768)-MIN(pima_data!$D$1:$D$768))</f>
        <v>0.454545454545455</v>
      </c>
      <c r="E666" s="5">
        <f>(pima_data!E666-MIN(pima_data!$E$1:$E$768))/(MAX(pima_data!$E$1:$E$768)-MIN(pima_data!$E$1:$E$768))</f>
        <v>0.156028368794326</v>
      </c>
      <c r="F666" s="5">
        <f>(pima_data!F666-MIN(pima_data!$F$1:$F$768))/(MAX(pima_data!$F$1:$F$768)-MIN(pima_data!$F$1:$F$768))</f>
        <v>0.518628912071535</v>
      </c>
      <c r="G666" s="5">
        <f>(pima_data!G666-MIN(pima_data!$G$1:$G$768))/(MAX(pima_data!$G$1:$G$768)-MIN(pima_data!$G$1:$G$768))</f>
        <v>0.0593509820666097</v>
      </c>
      <c r="H666" s="5">
        <f>(pima_data!H666-MIN(pima_data!$H$1:$H$768))/(MAX(pima_data!$H$1:$H$768)-MIN(pima_data!$H$1:$H$768))</f>
        <v>0.05</v>
      </c>
    </row>
    <row r="667" spans="1:8">
      <c r="A667" s="5">
        <f>(pima_data!A667-MIN(pima_data!$A$1:$A$768))/(MAX(pima_data!$A$1:$A$768)-MIN(pima_data!$A$1:$A$768))</f>
        <v>0.235294117647059</v>
      </c>
      <c r="B667" s="5">
        <f>(pima_data!B667-MIN(pima_data!$B$1:$B$768))/(MAX(pima_data!$B$1:$B$768)-MIN(pima_data!$B$1:$B$768))</f>
        <v>0.728643216080402</v>
      </c>
      <c r="C667" s="5">
        <f>(pima_data!C667-MIN(pima_data!$C$1:$C$768))/(MAX(pima_data!$C$1:$C$768)-MIN(pima_data!$C$1:$C$768))</f>
        <v>0.672131147540984</v>
      </c>
      <c r="D667" s="5">
        <f>(pima_data!D667-MIN(pima_data!$D$1:$D$768))/(MAX(pima_data!$D$1:$D$768)-MIN(pima_data!$D$1:$D$768))</f>
        <v>0.181818181818182</v>
      </c>
      <c r="E667" s="5">
        <f>(pima_data!E667-MIN(pima_data!$E$1:$E$768))/(MAX(pima_data!$E$1:$E$768)-MIN(pima_data!$E$1:$E$768))</f>
        <v>0</v>
      </c>
      <c r="F667" s="5">
        <f>(pima_data!F667-MIN(pima_data!$F$1:$F$768))/(MAX(pima_data!$F$1:$F$768)-MIN(pima_data!$F$1:$F$768))</f>
        <v>0.484351713859911</v>
      </c>
      <c r="G667" s="5">
        <f>(pima_data!G667-MIN(pima_data!$G$1:$G$768))/(MAX(pima_data!$G$1:$G$768)-MIN(pima_data!$G$1:$G$768))</f>
        <v>0.0670367207514944</v>
      </c>
      <c r="H667" s="5">
        <f>(pima_data!H667-MIN(pima_data!$H$1:$H$768))/(MAX(pima_data!$H$1:$H$768)-MIN(pima_data!$H$1:$H$768))</f>
        <v>0.816666666666667</v>
      </c>
    </row>
    <row r="668" spans="1:8">
      <c r="A668" s="5">
        <f>(pima_data!A668-MIN(pima_data!$A$1:$A$768))/(MAX(pima_data!$A$1:$A$768)-MIN(pima_data!$A$1:$A$768))</f>
        <v>0.588235294117647</v>
      </c>
      <c r="B668" s="5">
        <f>(pima_data!B668-MIN(pima_data!$B$1:$B$768))/(MAX(pima_data!$B$1:$B$768)-MIN(pima_data!$B$1:$B$768))</f>
        <v>0.557788944723618</v>
      </c>
      <c r="C668" s="5">
        <f>(pima_data!C668-MIN(pima_data!$C$1:$C$768))/(MAX(pima_data!$C$1:$C$768)-MIN(pima_data!$C$1:$C$768))</f>
        <v>0.573770491803279</v>
      </c>
      <c r="D668" s="5">
        <f>(pima_data!D668-MIN(pima_data!$D$1:$D$768))/(MAX(pima_data!$D$1:$D$768)-MIN(pima_data!$D$1:$D$768))</f>
        <v>0.272727272727273</v>
      </c>
      <c r="E668" s="5">
        <f>(pima_data!E668-MIN(pima_data!$E$1:$E$768))/(MAX(pima_data!$E$1:$E$768)-MIN(pima_data!$E$1:$E$768))</f>
        <v>0</v>
      </c>
      <c r="F668" s="5">
        <f>(pima_data!F668-MIN(pima_data!$F$1:$F$768))/(MAX(pima_data!$F$1:$F$768)-MIN(pima_data!$F$1:$F$768))</f>
        <v>0.409836065573771</v>
      </c>
      <c r="G668" s="5">
        <f>(pima_data!G668-MIN(pima_data!$G$1:$G$768))/(MAX(pima_data!$G$1:$G$768)-MIN(pima_data!$G$1:$G$768))</f>
        <v>0.0269000853970965</v>
      </c>
      <c r="H668" s="5">
        <f>(pima_data!H668-MIN(pima_data!$H$1:$H$768))/(MAX(pima_data!$H$1:$H$768)-MIN(pima_data!$H$1:$H$768))</f>
        <v>0.316666666666667</v>
      </c>
    </row>
    <row r="669" spans="1:8">
      <c r="A669" s="5">
        <f>(pima_data!A669-MIN(pima_data!$A$1:$A$768))/(MAX(pima_data!$A$1:$A$768)-MIN(pima_data!$A$1:$A$768))</f>
        <v>0.352941176470588</v>
      </c>
      <c r="B669" s="5">
        <f>(pima_data!B669-MIN(pima_data!$B$1:$B$768))/(MAX(pima_data!$B$1:$B$768)-MIN(pima_data!$B$1:$B$768))</f>
        <v>0.492462311557789</v>
      </c>
      <c r="C669" s="5">
        <f>(pima_data!C669-MIN(pima_data!$C$1:$C$768))/(MAX(pima_data!$C$1:$C$768)-MIN(pima_data!$C$1:$C$768))</f>
        <v>0.475409836065574</v>
      </c>
      <c r="D669" s="5">
        <f>(pima_data!D669-MIN(pima_data!$D$1:$D$768))/(MAX(pima_data!$D$1:$D$768)-MIN(pima_data!$D$1:$D$768))</f>
        <v>0.333333333333333</v>
      </c>
      <c r="E669" s="5">
        <f>(pima_data!E669-MIN(pima_data!$E$1:$E$768))/(MAX(pima_data!$E$1:$E$768)-MIN(pima_data!$E$1:$E$768))</f>
        <v>0.224586288416076</v>
      </c>
      <c r="F669" s="5">
        <f>(pima_data!F669-MIN(pima_data!$F$1:$F$768))/(MAX(pima_data!$F$1:$F$768)-MIN(pima_data!$F$1:$F$768))</f>
        <v>0.506706408345753</v>
      </c>
      <c r="G669" s="5">
        <f>(pima_data!G669-MIN(pima_data!$G$1:$G$768))/(MAX(pima_data!$G$1:$G$768)-MIN(pima_data!$G$1:$G$768))</f>
        <v>0.150298889837746</v>
      </c>
      <c r="H669" s="5">
        <f>(pima_data!H669-MIN(pima_data!$H$1:$H$768))/(MAX(pima_data!$H$1:$H$768)-MIN(pima_data!$H$1:$H$768))</f>
        <v>0.366666666666667</v>
      </c>
    </row>
    <row r="670" spans="1:8">
      <c r="A670" s="5">
        <f>(pima_data!A670-MIN(pima_data!$A$1:$A$768))/(MAX(pima_data!$A$1:$A$768)-MIN(pima_data!$A$1:$A$768))</f>
        <v>0.529411764705882</v>
      </c>
      <c r="B670" s="5">
        <f>(pima_data!B670-MIN(pima_data!$B$1:$B$768))/(MAX(pima_data!$B$1:$B$768)-MIN(pima_data!$B$1:$B$768))</f>
        <v>0.773869346733668</v>
      </c>
      <c r="C670" s="5">
        <f>(pima_data!C670-MIN(pima_data!$C$1:$C$768))/(MAX(pima_data!$C$1:$C$768)-MIN(pima_data!$C$1:$C$768))</f>
        <v>0.639344262295082</v>
      </c>
      <c r="D670" s="5">
        <f>(pima_data!D670-MIN(pima_data!$D$1:$D$768))/(MAX(pima_data!$D$1:$D$768)-MIN(pima_data!$D$1:$D$768))</f>
        <v>0.303030303030303</v>
      </c>
      <c r="E670" s="5">
        <f>(pima_data!E670-MIN(pima_data!$E$1:$E$768))/(MAX(pima_data!$E$1:$E$768)-MIN(pima_data!$E$1:$E$768))</f>
        <v>0.118203309692671</v>
      </c>
      <c r="F670" s="5">
        <f>(pima_data!F670-MIN(pima_data!$F$1:$F$768))/(MAX(pima_data!$F$1:$F$768)-MIN(pima_data!$F$1:$F$768))</f>
        <v>0.460506706408346</v>
      </c>
      <c r="G670" s="5">
        <f>(pima_data!G670-MIN(pima_data!$G$1:$G$768))/(MAX(pima_data!$G$1:$G$768)-MIN(pima_data!$G$1:$G$768))</f>
        <v>0.0367207514944492</v>
      </c>
      <c r="H670" s="5">
        <f>(pima_data!H670-MIN(pima_data!$H$1:$H$768))/(MAX(pima_data!$H$1:$H$768)-MIN(pima_data!$H$1:$H$768))</f>
        <v>0.4</v>
      </c>
    </row>
    <row r="671" spans="1:8">
      <c r="A671" s="5">
        <f>(pima_data!A671-MIN(pima_data!$A$1:$A$768))/(MAX(pima_data!$A$1:$A$768)-MIN(pima_data!$A$1:$A$768))</f>
        <v>0.352941176470588</v>
      </c>
      <c r="B671" s="5">
        <f>(pima_data!B671-MIN(pima_data!$B$1:$B$768))/(MAX(pima_data!$B$1:$B$768)-MIN(pima_data!$B$1:$B$768))</f>
        <v>0.829145728643216</v>
      </c>
      <c r="C671" s="5">
        <f>(pima_data!C671-MIN(pima_data!$C$1:$C$768))/(MAX(pima_data!$C$1:$C$768)-MIN(pima_data!$C$1:$C$768))</f>
        <v>0.557377049180328</v>
      </c>
      <c r="D671" s="5">
        <f>(pima_data!D671-MIN(pima_data!$D$1:$D$768))/(MAX(pima_data!$D$1:$D$768)-MIN(pima_data!$D$1:$D$768))</f>
        <v>0.262626262626263</v>
      </c>
      <c r="E671" s="5">
        <f>(pima_data!E671-MIN(pima_data!$E$1:$E$768))/(MAX(pima_data!$E$1:$E$768)-MIN(pima_data!$E$1:$E$768))</f>
        <v>0.198581560283688</v>
      </c>
      <c r="F671" s="5">
        <f>(pima_data!F671-MIN(pima_data!$F$1:$F$768))/(MAX(pima_data!$F$1:$F$768)-MIN(pima_data!$F$1:$F$768))</f>
        <v>0.500745156482861</v>
      </c>
      <c r="G671" s="5">
        <f>(pima_data!G671-MIN(pima_data!$G$1:$G$768))/(MAX(pima_data!$G$1:$G$768)-MIN(pima_data!$G$1:$G$768))</f>
        <v>0.236122971818958</v>
      </c>
      <c r="H671" s="5">
        <f>(pima_data!H671-MIN(pima_data!$H$1:$H$768))/(MAX(pima_data!$H$1:$H$768)-MIN(pima_data!$H$1:$H$768))</f>
        <v>0.466666666666667</v>
      </c>
    </row>
    <row r="672" spans="1:8">
      <c r="A672" s="5">
        <f>(pima_data!A672-MIN(pima_data!$A$1:$A$768))/(MAX(pima_data!$A$1:$A$768)-MIN(pima_data!$A$1:$A$768))</f>
        <v>0.0588235294117647</v>
      </c>
      <c r="B672" s="5">
        <f>(pima_data!B672-MIN(pima_data!$B$1:$B$768))/(MAX(pima_data!$B$1:$B$768)-MIN(pima_data!$B$1:$B$768))</f>
        <v>0.49748743718593</v>
      </c>
      <c r="C672" s="5">
        <f>(pima_data!C672-MIN(pima_data!$C$1:$C$768))/(MAX(pima_data!$C$1:$C$768)-MIN(pima_data!$C$1:$C$768))</f>
        <v>0.475409836065574</v>
      </c>
      <c r="D672" s="5">
        <f>(pima_data!D672-MIN(pima_data!$D$1:$D$768))/(MAX(pima_data!$D$1:$D$768)-MIN(pima_data!$D$1:$D$768))</f>
        <v>0.101010101010101</v>
      </c>
      <c r="E672" s="5">
        <f>(pima_data!E672-MIN(pima_data!$E$1:$E$768))/(MAX(pima_data!$E$1:$E$768)-MIN(pima_data!$E$1:$E$768))</f>
        <v>0</v>
      </c>
      <c r="F672" s="5">
        <f>(pima_data!F672-MIN(pima_data!$F$1:$F$768))/(MAX(pima_data!$F$1:$F$768)-MIN(pima_data!$F$1:$F$768))</f>
        <v>0.378539493293592</v>
      </c>
      <c r="G672" s="5">
        <f>(pima_data!G672-MIN(pima_data!$G$1:$G$768))/(MAX(pima_data!$G$1:$G$768)-MIN(pima_data!$G$1:$G$768))</f>
        <v>0.201964133219471</v>
      </c>
      <c r="H672" s="5">
        <f>(pima_data!H672-MIN(pima_data!$H$1:$H$768))/(MAX(pima_data!$H$1:$H$768)-MIN(pima_data!$H$1:$H$768))</f>
        <v>0</v>
      </c>
    </row>
    <row r="673" spans="1:8">
      <c r="A673" s="5">
        <f>(pima_data!A673-MIN(pima_data!$A$1:$A$768))/(MAX(pima_data!$A$1:$A$768)-MIN(pima_data!$A$1:$A$768))</f>
        <v>0.588235294117647</v>
      </c>
      <c r="B673" s="5">
        <f>(pima_data!B673-MIN(pima_data!$B$1:$B$768))/(MAX(pima_data!$B$1:$B$768)-MIN(pima_data!$B$1:$B$768))</f>
        <v>0.341708542713568</v>
      </c>
      <c r="C673" s="5">
        <f>(pima_data!C673-MIN(pima_data!$C$1:$C$768))/(MAX(pima_data!$C$1:$C$768)-MIN(pima_data!$C$1:$C$768))</f>
        <v>0.868852459016393</v>
      </c>
      <c r="D673" s="5">
        <f>(pima_data!D673-MIN(pima_data!$D$1:$D$768))/(MAX(pima_data!$D$1:$D$768)-MIN(pima_data!$D$1:$D$768))</f>
        <v>0.232323232323232</v>
      </c>
      <c r="E673" s="5">
        <f>(pima_data!E673-MIN(pima_data!$E$1:$E$768))/(MAX(pima_data!$E$1:$E$768)-MIN(pima_data!$E$1:$E$768))</f>
        <v>0.057919621749409</v>
      </c>
      <c r="F673" s="5">
        <f>(pima_data!F673-MIN(pima_data!$F$1:$F$768))/(MAX(pima_data!$F$1:$F$768)-MIN(pima_data!$F$1:$F$768))</f>
        <v>0.529061102831595</v>
      </c>
      <c r="G673" s="5">
        <f>(pima_data!G673-MIN(pima_data!$G$1:$G$768))/(MAX(pima_data!$G$1:$G$768)-MIN(pima_data!$G$1:$G$768))</f>
        <v>0.0883859948761742</v>
      </c>
      <c r="H673" s="5">
        <f>(pima_data!H673-MIN(pima_data!$H$1:$H$768))/(MAX(pima_data!$H$1:$H$768)-MIN(pima_data!$H$1:$H$768))</f>
        <v>0.433333333333333</v>
      </c>
    </row>
    <row r="674" spans="1:8">
      <c r="A674" s="5">
        <f>(pima_data!A674-MIN(pima_data!$A$1:$A$768))/(MAX(pima_data!$A$1:$A$768)-MIN(pima_data!$A$1:$A$768))</f>
        <v>0.176470588235294</v>
      </c>
      <c r="B674" s="5">
        <f>(pima_data!B674-MIN(pima_data!$B$1:$B$768))/(MAX(pima_data!$B$1:$B$768)-MIN(pima_data!$B$1:$B$768))</f>
        <v>0.618090452261307</v>
      </c>
      <c r="C674" s="5">
        <f>(pima_data!C674-MIN(pima_data!$C$1:$C$768))/(MAX(pima_data!$C$1:$C$768)-MIN(pima_data!$C$1:$C$768))</f>
        <v>0.819672131147541</v>
      </c>
      <c r="D674" s="5">
        <f>(pima_data!D674-MIN(pima_data!$D$1:$D$768))/(MAX(pima_data!$D$1:$D$768)-MIN(pima_data!$D$1:$D$768))</f>
        <v>0.353535353535354</v>
      </c>
      <c r="E674" s="5">
        <f>(pima_data!E674-MIN(pima_data!$E$1:$E$768))/(MAX(pima_data!$E$1:$E$768)-MIN(pima_data!$E$1:$E$768))</f>
        <v>0.283687943262411</v>
      </c>
      <c r="F674" s="5">
        <f>(pima_data!F674-MIN(pima_data!$F$1:$F$768))/(MAX(pima_data!$F$1:$F$768)-MIN(pima_data!$F$1:$F$768))</f>
        <v>0.853949329359165</v>
      </c>
      <c r="G674" s="5">
        <f>(pima_data!G674-MIN(pima_data!$G$1:$G$768))/(MAX(pima_data!$G$1:$G$768)-MIN(pima_data!$G$1:$G$768))</f>
        <v>0.342442356959863</v>
      </c>
      <c r="H674" s="5">
        <f>(pima_data!H674-MIN(pima_data!$H$1:$H$768))/(MAX(pima_data!$H$1:$H$768)-MIN(pima_data!$H$1:$H$768))</f>
        <v>0.0166666666666667</v>
      </c>
    </row>
    <row r="675" spans="1:8">
      <c r="A675" s="5">
        <f>(pima_data!A675-MIN(pima_data!$A$1:$A$768))/(MAX(pima_data!$A$1:$A$768)-MIN(pima_data!$A$1:$A$768))</f>
        <v>0.470588235294118</v>
      </c>
      <c r="B675" s="5">
        <f>(pima_data!B675-MIN(pima_data!$B$1:$B$768))/(MAX(pima_data!$B$1:$B$768)-MIN(pima_data!$B$1:$B$768))</f>
        <v>0.457286432160804</v>
      </c>
      <c r="C675" s="5">
        <f>(pima_data!C675-MIN(pima_data!$C$1:$C$768))/(MAX(pima_data!$C$1:$C$768)-MIN(pima_data!$C$1:$C$768))</f>
        <v>0.672131147540984</v>
      </c>
      <c r="D675" s="5">
        <f>(pima_data!D675-MIN(pima_data!$D$1:$D$768))/(MAX(pima_data!$D$1:$D$768)-MIN(pima_data!$D$1:$D$768))</f>
        <v>0</v>
      </c>
      <c r="E675" s="5">
        <f>(pima_data!E675-MIN(pima_data!$E$1:$E$768))/(MAX(pima_data!$E$1:$E$768)-MIN(pima_data!$E$1:$E$768))</f>
        <v>0</v>
      </c>
      <c r="F675" s="5">
        <f>(pima_data!F675-MIN(pima_data!$F$1:$F$768))/(MAX(pima_data!$F$1:$F$768)-MIN(pima_data!$F$1:$F$768))</f>
        <v>0.530551415797317</v>
      </c>
      <c r="G675" s="5">
        <f>(pima_data!G675-MIN(pima_data!$G$1:$G$768))/(MAX(pima_data!$G$1:$G$768)-MIN(pima_data!$G$1:$G$768))</f>
        <v>0.21733561058924</v>
      </c>
      <c r="H675" s="5">
        <f>(pima_data!H675-MIN(pima_data!$H$1:$H$768))/(MAX(pima_data!$H$1:$H$768)-MIN(pima_data!$H$1:$H$768))</f>
        <v>0.783333333333333</v>
      </c>
    </row>
    <row r="676" spans="1:8">
      <c r="A676" s="5">
        <f>(pima_data!A676-MIN(pima_data!$A$1:$A$768))/(MAX(pima_data!$A$1:$A$768)-MIN(pima_data!$A$1:$A$768))</f>
        <v>0.352941176470588</v>
      </c>
      <c r="B676" s="5">
        <f>(pima_data!B676-MIN(pima_data!$B$1:$B$768))/(MAX(pima_data!$B$1:$B$768)-MIN(pima_data!$B$1:$B$768))</f>
        <v>0.979899497487437</v>
      </c>
      <c r="C676" s="5">
        <f>(pima_data!C676-MIN(pima_data!$C$1:$C$768))/(MAX(pima_data!$C$1:$C$768)-MIN(pima_data!$C$1:$C$768))</f>
        <v>0.573770491803279</v>
      </c>
      <c r="D676" s="5">
        <f>(pima_data!D676-MIN(pima_data!$D$1:$D$768))/(MAX(pima_data!$D$1:$D$768)-MIN(pima_data!$D$1:$D$768))</f>
        <v>0</v>
      </c>
      <c r="E676" s="5">
        <f>(pima_data!E676-MIN(pima_data!$E$1:$E$768))/(MAX(pima_data!$E$1:$E$768)-MIN(pima_data!$E$1:$E$768))</f>
        <v>0</v>
      </c>
      <c r="F676" s="5">
        <f>(pima_data!F676-MIN(pima_data!$F$1:$F$768))/(MAX(pima_data!$F$1:$F$768)-MIN(pima_data!$F$1:$F$768))</f>
        <v>0.460506706408346</v>
      </c>
      <c r="G676" s="5">
        <f>(pima_data!G676-MIN(pima_data!$G$1:$G$768))/(MAX(pima_data!$G$1:$G$768)-MIN(pima_data!$G$1:$G$768))</f>
        <v>0.106746370623399</v>
      </c>
      <c r="H676" s="5">
        <f>(pima_data!H676-MIN(pima_data!$H$1:$H$768))/(MAX(pima_data!$H$1:$H$768)-MIN(pima_data!$H$1:$H$768))</f>
        <v>0.166666666666667</v>
      </c>
    </row>
    <row r="677" spans="1:8">
      <c r="A677" s="5">
        <f>(pima_data!A677-MIN(pima_data!$A$1:$A$768))/(MAX(pima_data!$A$1:$A$768)-MIN(pima_data!$A$1:$A$768))</f>
        <v>0.529411764705882</v>
      </c>
      <c r="B677" s="5">
        <f>(pima_data!B677-MIN(pima_data!$B$1:$B$768))/(MAX(pima_data!$B$1:$B$768)-MIN(pima_data!$B$1:$B$768))</f>
        <v>0.78391959798995</v>
      </c>
      <c r="C677" s="5">
        <f>(pima_data!C677-MIN(pima_data!$C$1:$C$768))/(MAX(pima_data!$C$1:$C$768)-MIN(pima_data!$C$1:$C$768))</f>
        <v>0.704918032786885</v>
      </c>
      <c r="D677" s="5">
        <f>(pima_data!D677-MIN(pima_data!$D$1:$D$768))/(MAX(pima_data!$D$1:$D$768)-MIN(pima_data!$D$1:$D$768))</f>
        <v>0</v>
      </c>
      <c r="E677" s="5">
        <f>(pima_data!E677-MIN(pima_data!$E$1:$E$768))/(MAX(pima_data!$E$1:$E$768)-MIN(pima_data!$E$1:$E$768))</f>
        <v>0</v>
      </c>
      <c r="F677" s="5">
        <f>(pima_data!F677-MIN(pima_data!$F$1:$F$768))/(MAX(pima_data!$F$1:$F$768)-MIN(pima_data!$F$1:$F$768))</f>
        <v>0.369597615499255</v>
      </c>
      <c r="G677" s="5">
        <f>(pima_data!G677-MIN(pima_data!$G$1:$G$768))/(MAX(pima_data!$G$1:$G$768)-MIN(pima_data!$G$1:$G$768))</f>
        <v>0.0649017933390265</v>
      </c>
      <c r="H677" s="5">
        <f>(pima_data!H677-MIN(pima_data!$H$1:$H$768))/(MAX(pima_data!$H$1:$H$768)-MIN(pima_data!$H$1:$H$768))</f>
        <v>0.533333333333333</v>
      </c>
    </row>
    <row r="678" spans="1:8">
      <c r="A678" s="5">
        <f>(pima_data!A678-MIN(pima_data!$A$1:$A$768))/(MAX(pima_data!$A$1:$A$768)-MIN(pima_data!$A$1:$A$768))</f>
        <v>0</v>
      </c>
      <c r="B678" s="5">
        <f>(pima_data!B678-MIN(pima_data!$B$1:$B$768))/(MAX(pima_data!$B$1:$B$768)-MIN(pima_data!$B$1:$B$768))</f>
        <v>0.467336683417085</v>
      </c>
      <c r="C678" s="5">
        <f>(pima_data!C678-MIN(pima_data!$C$1:$C$768))/(MAX(pima_data!$C$1:$C$768)-MIN(pima_data!$C$1:$C$768))</f>
        <v>0.491803278688525</v>
      </c>
      <c r="D678" s="5">
        <f>(pima_data!D678-MIN(pima_data!$D$1:$D$768))/(MAX(pima_data!$D$1:$D$768)-MIN(pima_data!$D$1:$D$768))</f>
        <v>0</v>
      </c>
      <c r="E678" s="5">
        <f>(pima_data!E678-MIN(pima_data!$E$1:$E$768))/(MAX(pima_data!$E$1:$E$768)-MIN(pima_data!$E$1:$E$768))</f>
        <v>0</v>
      </c>
      <c r="F678" s="5">
        <f>(pima_data!F678-MIN(pima_data!$F$1:$F$768))/(MAX(pima_data!$F$1:$F$768)-MIN(pima_data!$F$1:$F$768))</f>
        <v>0.526080476900149</v>
      </c>
      <c r="G678" s="5">
        <f>(pima_data!G678-MIN(pima_data!$G$1:$G$768))/(MAX(pima_data!$G$1:$G$768)-MIN(pima_data!$G$1:$G$768))</f>
        <v>0.0789923142613151</v>
      </c>
      <c r="H678" s="5">
        <f>(pima_data!H678-MIN(pima_data!$H$1:$H$768))/(MAX(pima_data!$H$1:$H$768)-MIN(pima_data!$H$1:$H$768))</f>
        <v>0.0666666666666667</v>
      </c>
    </row>
    <row r="679" spans="1:8">
      <c r="A679" s="5">
        <f>(pima_data!A679-MIN(pima_data!$A$1:$A$768))/(MAX(pima_data!$A$1:$A$768)-MIN(pima_data!$A$1:$A$768))</f>
        <v>0.176470588235294</v>
      </c>
      <c r="B679" s="5">
        <f>(pima_data!B679-MIN(pima_data!$B$1:$B$768))/(MAX(pima_data!$B$1:$B$768)-MIN(pima_data!$B$1:$B$768))</f>
        <v>0.608040201005025</v>
      </c>
      <c r="C679" s="5">
        <f>(pima_data!C679-MIN(pima_data!$C$1:$C$768))/(MAX(pima_data!$C$1:$C$768)-MIN(pima_data!$C$1:$C$768))</f>
        <v>0.426229508196721</v>
      </c>
      <c r="D679" s="5">
        <f>(pima_data!D679-MIN(pima_data!$D$1:$D$768))/(MAX(pima_data!$D$1:$D$768)-MIN(pima_data!$D$1:$D$768))</f>
        <v>0</v>
      </c>
      <c r="E679" s="5">
        <f>(pima_data!E679-MIN(pima_data!$E$1:$E$768))/(MAX(pima_data!$E$1:$E$768)-MIN(pima_data!$E$1:$E$768))</f>
        <v>0</v>
      </c>
      <c r="F679" s="5">
        <f>(pima_data!F679-MIN(pima_data!$F$1:$F$768))/(MAX(pima_data!$F$1:$F$768)-MIN(pima_data!$F$1:$F$768))</f>
        <v>0.536512667660209</v>
      </c>
      <c r="G679" s="5">
        <f>(pima_data!G679-MIN(pima_data!$G$1:$G$768))/(MAX(pima_data!$G$1:$G$768)-MIN(pima_data!$G$1:$G$768))</f>
        <v>0.0209222886421862</v>
      </c>
      <c r="H679" s="5">
        <f>(pima_data!H679-MIN(pima_data!$H$1:$H$768))/(MAX(pima_data!$H$1:$H$768)-MIN(pima_data!$H$1:$H$768))</f>
        <v>0.0666666666666667</v>
      </c>
    </row>
    <row r="680" spans="1:8">
      <c r="A680" s="5">
        <f>(pima_data!A680-MIN(pima_data!$A$1:$A$768))/(MAX(pima_data!$A$1:$A$768)-MIN(pima_data!$A$1:$A$768))</f>
        <v>0.117647058823529</v>
      </c>
      <c r="B680" s="5">
        <f>(pima_data!B680-MIN(pima_data!$B$1:$B$768))/(MAX(pima_data!$B$1:$B$768)-MIN(pima_data!$B$1:$B$768))</f>
        <v>0.507537688442211</v>
      </c>
      <c r="C680" s="5">
        <f>(pima_data!C680-MIN(pima_data!$C$1:$C$768))/(MAX(pima_data!$C$1:$C$768)-MIN(pima_data!$C$1:$C$768))</f>
        <v>0.475409836065574</v>
      </c>
      <c r="D680" s="5">
        <f>(pima_data!D680-MIN(pima_data!$D$1:$D$768))/(MAX(pima_data!$D$1:$D$768)-MIN(pima_data!$D$1:$D$768))</f>
        <v>0.171717171717172</v>
      </c>
      <c r="E680" s="5">
        <f>(pima_data!E680-MIN(pima_data!$E$1:$E$768))/(MAX(pima_data!$E$1:$E$768)-MIN(pima_data!$E$1:$E$768))</f>
        <v>0.313238770685579</v>
      </c>
      <c r="F680" s="5">
        <f>(pima_data!F680-MIN(pima_data!$F$1:$F$768))/(MAX(pima_data!$F$1:$F$768)-MIN(pima_data!$F$1:$F$768))</f>
        <v>0.360655737704918</v>
      </c>
      <c r="G680" s="5">
        <f>(pima_data!G680-MIN(pima_data!$G$1:$G$768))/(MAX(pima_data!$G$1:$G$768)-MIN(pima_data!$G$1:$G$768))</f>
        <v>0.228864218616567</v>
      </c>
      <c r="H680" s="5">
        <f>(pima_data!H680-MIN(pima_data!$H$1:$H$768))/(MAX(pima_data!$H$1:$H$768)-MIN(pima_data!$H$1:$H$768))</f>
        <v>0.0333333333333333</v>
      </c>
    </row>
    <row r="681" spans="1:8">
      <c r="A681" s="5">
        <f>(pima_data!A681-MIN(pima_data!$A$1:$A$768))/(MAX(pima_data!$A$1:$A$768)-MIN(pima_data!$A$1:$A$768))</f>
        <v>0.117647058823529</v>
      </c>
      <c r="B681" s="5">
        <f>(pima_data!B681-MIN(pima_data!$B$1:$B$768))/(MAX(pima_data!$B$1:$B$768)-MIN(pima_data!$B$1:$B$768))</f>
        <v>0.281407035175879</v>
      </c>
      <c r="C681" s="5">
        <f>(pima_data!C681-MIN(pima_data!$C$1:$C$768))/(MAX(pima_data!$C$1:$C$768)-MIN(pima_data!$C$1:$C$768))</f>
        <v>0.459016393442623</v>
      </c>
      <c r="D681" s="5">
        <f>(pima_data!D681-MIN(pima_data!$D$1:$D$768))/(MAX(pima_data!$D$1:$D$768)-MIN(pima_data!$D$1:$D$768))</f>
        <v>0.282828282828283</v>
      </c>
      <c r="E681" s="5">
        <f>(pima_data!E681-MIN(pima_data!$E$1:$E$768))/(MAX(pima_data!$E$1:$E$768)-MIN(pima_data!$E$1:$E$768))</f>
        <v>0.0531914893617021</v>
      </c>
      <c r="F681" s="5">
        <f>(pima_data!F681-MIN(pima_data!$F$1:$F$768))/(MAX(pima_data!$F$1:$F$768)-MIN(pima_data!$F$1:$F$768))</f>
        <v>0.360655737704918</v>
      </c>
      <c r="G681" s="5">
        <f>(pima_data!G681-MIN(pima_data!$G$1:$G$768))/(MAX(pima_data!$G$1:$G$768)-MIN(pima_data!$G$1:$G$768))</f>
        <v>0.108454312553373</v>
      </c>
      <c r="H681" s="5">
        <f>(pima_data!H681-MIN(pima_data!$H$1:$H$768))/(MAX(pima_data!$H$1:$H$768)-MIN(pima_data!$H$1:$H$768))</f>
        <v>0.0166666666666667</v>
      </c>
    </row>
    <row r="682" spans="1:8">
      <c r="A682" s="5">
        <f>(pima_data!A682-MIN(pima_data!$A$1:$A$768))/(MAX(pima_data!$A$1:$A$768)-MIN(pima_data!$A$1:$A$768))</f>
        <v>0</v>
      </c>
      <c r="B682" s="5">
        <f>(pima_data!B682-MIN(pima_data!$B$1:$B$768))/(MAX(pima_data!$B$1:$B$768)-MIN(pima_data!$B$1:$B$768))</f>
        <v>0.814070351758794</v>
      </c>
      <c r="C682" s="5">
        <f>(pima_data!C682-MIN(pima_data!$C$1:$C$768))/(MAX(pima_data!$C$1:$C$768)-MIN(pima_data!$C$1:$C$768))</f>
        <v>0.622950819672131</v>
      </c>
      <c r="D682" s="5">
        <f>(pima_data!D682-MIN(pima_data!$D$1:$D$768))/(MAX(pima_data!$D$1:$D$768)-MIN(pima_data!$D$1:$D$768))</f>
        <v>0.363636363636364</v>
      </c>
      <c r="E682" s="5">
        <f>(pima_data!E682-MIN(pima_data!$E$1:$E$768))/(MAX(pima_data!$E$1:$E$768)-MIN(pima_data!$E$1:$E$768))</f>
        <v>0</v>
      </c>
      <c r="F682" s="5">
        <f>(pima_data!F682-MIN(pima_data!$F$1:$F$768))/(MAX(pima_data!$F$1:$F$768)-MIN(pima_data!$F$1:$F$768))</f>
        <v>0.73919523099851</v>
      </c>
      <c r="G682" s="5">
        <f>(pima_data!G682-MIN(pima_data!$G$1:$G$768))/(MAX(pima_data!$G$1:$G$768)-MIN(pima_data!$G$1:$G$768))</f>
        <v>0.122117847993168</v>
      </c>
      <c r="H682" s="5">
        <f>(pima_data!H682-MIN(pima_data!$H$1:$H$768))/(MAX(pima_data!$H$1:$H$768)-MIN(pima_data!$H$1:$H$768))</f>
        <v>0.0833333333333333</v>
      </c>
    </row>
    <row r="683" spans="1:8">
      <c r="A683" s="5">
        <f>(pima_data!A683-MIN(pima_data!$A$1:$A$768))/(MAX(pima_data!$A$1:$A$768)-MIN(pima_data!$A$1:$A$768))</f>
        <v>0</v>
      </c>
      <c r="B683" s="5">
        <f>(pima_data!B683-MIN(pima_data!$B$1:$B$768))/(MAX(pima_data!$B$1:$B$768)-MIN(pima_data!$B$1:$B$768))</f>
        <v>0.477386934673367</v>
      </c>
      <c r="C683" s="5">
        <f>(pima_data!C683-MIN(pima_data!$C$1:$C$768))/(MAX(pima_data!$C$1:$C$768)-MIN(pima_data!$C$1:$C$768))</f>
        <v>0.524590163934426</v>
      </c>
      <c r="D683" s="5">
        <f>(pima_data!D683-MIN(pima_data!$D$1:$D$768))/(MAX(pima_data!$D$1:$D$768)-MIN(pima_data!$D$1:$D$768))</f>
        <v>0.393939393939394</v>
      </c>
      <c r="E683" s="5">
        <f>(pima_data!E683-MIN(pima_data!$E$1:$E$768))/(MAX(pima_data!$E$1:$E$768)-MIN(pima_data!$E$1:$E$768))</f>
        <v>0.124113475177305</v>
      </c>
      <c r="F683" s="5">
        <f>(pima_data!F683-MIN(pima_data!$F$1:$F$768))/(MAX(pima_data!$F$1:$F$768)-MIN(pima_data!$F$1:$F$768))</f>
        <v>0.66467958271237</v>
      </c>
      <c r="G683" s="5">
        <f>(pima_data!G683-MIN(pima_data!$G$1:$G$768))/(MAX(pima_data!$G$1:$G$768)-MIN(pima_data!$G$1:$G$768))</f>
        <v>0.122971818958155</v>
      </c>
      <c r="H683" s="5">
        <f>(pima_data!H683-MIN(pima_data!$H$1:$H$768))/(MAX(pima_data!$H$1:$H$768)-MIN(pima_data!$H$1:$H$768))</f>
        <v>0.0166666666666667</v>
      </c>
    </row>
    <row r="684" spans="1:8">
      <c r="A684" s="5">
        <f>(pima_data!A684-MIN(pima_data!$A$1:$A$768))/(MAX(pima_data!$A$1:$A$768)-MIN(pima_data!$A$1:$A$768))</f>
        <v>0.235294117647059</v>
      </c>
      <c r="B684" s="5">
        <f>(pima_data!B684-MIN(pima_data!$B$1:$B$768))/(MAX(pima_data!$B$1:$B$768)-MIN(pima_data!$B$1:$B$768))</f>
        <v>0.628140703517588</v>
      </c>
      <c r="C684" s="5">
        <f>(pima_data!C684-MIN(pima_data!$C$1:$C$768))/(MAX(pima_data!$C$1:$C$768)-MIN(pima_data!$C$1:$C$768))</f>
        <v>0.655737704918033</v>
      </c>
      <c r="D684" s="5">
        <f>(pima_data!D684-MIN(pima_data!$D$1:$D$768))/(MAX(pima_data!$D$1:$D$768)-MIN(pima_data!$D$1:$D$768))</f>
        <v>0</v>
      </c>
      <c r="E684" s="5">
        <f>(pima_data!E684-MIN(pima_data!$E$1:$E$768))/(MAX(pima_data!$E$1:$E$768)-MIN(pima_data!$E$1:$E$768))</f>
        <v>0</v>
      </c>
      <c r="F684" s="5">
        <f>(pima_data!F684-MIN(pima_data!$F$1:$F$768))/(MAX(pima_data!$F$1:$F$768)-MIN(pima_data!$F$1:$F$768))</f>
        <v>0.481371087928465</v>
      </c>
      <c r="G684" s="5">
        <f>(pima_data!G684-MIN(pima_data!$G$1:$G$768))/(MAX(pima_data!$G$1:$G$768)-MIN(pima_data!$G$1:$G$768))</f>
        <v>0.195559350982067</v>
      </c>
      <c r="H684" s="5">
        <f>(pima_data!H684-MIN(pima_data!$H$1:$H$768))/(MAX(pima_data!$H$1:$H$768)-MIN(pima_data!$H$1:$H$768))</f>
        <v>0.1</v>
      </c>
    </row>
    <row r="685" spans="1:8">
      <c r="A685" s="5">
        <f>(pima_data!A685-MIN(pima_data!$A$1:$A$768))/(MAX(pima_data!$A$1:$A$768)-MIN(pima_data!$A$1:$A$768))</f>
        <v>0.294117647058824</v>
      </c>
      <c r="B685" s="5">
        <f>(pima_data!B685-MIN(pima_data!$B$1:$B$768))/(MAX(pima_data!$B$1:$B$768)-MIN(pima_data!$B$1:$B$768))</f>
        <v>0.683417085427136</v>
      </c>
      <c r="C685" s="5">
        <f>(pima_data!C685-MIN(pima_data!$C$1:$C$768))/(MAX(pima_data!$C$1:$C$768)-MIN(pima_data!$C$1:$C$768))</f>
        <v>0.672131147540984</v>
      </c>
      <c r="D685" s="5">
        <f>(pima_data!D685-MIN(pima_data!$D$1:$D$768))/(MAX(pima_data!$D$1:$D$768)-MIN(pima_data!$D$1:$D$768))</f>
        <v>0</v>
      </c>
      <c r="E685" s="5">
        <f>(pima_data!E685-MIN(pima_data!$E$1:$E$768))/(MAX(pima_data!$E$1:$E$768)-MIN(pima_data!$E$1:$E$768))</f>
        <v>0</v>
      </c>
      <c r="F685" s="5">
        <f>(pima_data!F685-MIN(pima_data!$F$1:$F$768))/(MAX(pima_data!$F$1:$F$768)-MIN(pima_data!$F$1:$F$768))</f>
        <v>0</v>
      </c>
      <c r="G685" s="5">
        <f>(pima_data!G685-MIN(pima_data!$G$1:$G$768))/(MAX(pima_data!$G$1:$G$768)-MIN(pima_data!$G$1:$G$768))</f>
        <v>0.239965841161401</v>
      </c>
      <c r="H685" s="5">
        <f>(pima_data!H685-MIN(pima_data!$H$1:$H$768))/(MAX(pima_data!$H$1:$H$768)-MIN(pima_data!$H$1:$H$768))</f>
        <v>0.8</v>
      </c>
    </row>
    <row r="686" spans="1:8">
      <c r="A686" s="5">
        <f>(pima_data!A686-MIN(pima_data!$A$1:$A$768))/(MAX(pima_data!$A$1:$A$768)-MIN(pima_data!$A$1:$A$768))</f>
        <v>0.117647058823529</v>
      </c>
      <c r="B686" s="5">
        <f>(pima_data!B686-MIN(pima_data!$B$1:$B$768))/(MAX(pima_data!$B$1:$B$768)-MIN(pima_data!$B$1:$B$768))</f>
        <v>0.648241206030151</v>
      </c>
      <c r="C686" s="5">
        <f>(pima_data!C686-MIN(pima_data!$C$1:$C$768))/(MAX(pima_data!$C$1:$C$768)-MIN(pima_data!$C$1:$C$768))</f>
        <v>0.60655737704918</v>
      </c>
      <c r="D686" s="5">
        <f>(pima_data!D686-MIN(pima_data!$D$1:$D$768))/(MAX(pima_data!$D$1:$D$768)-MIN(pima_data!$D$1:$D$768))</f>
        <v>0.262626262626263</v>
      </c>
      <c r="E686" s="5">
        <f>(pima_data!E686-MIN(pima_data!$E$1:$E$768))/(MAX(pima_data!$E$1:$E$768)-MIN(pima_data!$E$1:$E$768))</f>
        <v>0.242316784869976</v>
      </c>
      <c r="F686" s="5">
        <f>(pima_data!F686-MIN(pima_data!$F$1:$F$768))/(MAX(pima_data!$F$1:$F$768)-MIN(pima_data!$F$1:$F$768))</f>
        <v>0.49478390461997</v>
      </c>
      <c r="G686" s="5">
        <f>(pima_data!G686-MIN(pima_data!$G$1:$G$768))/(MAX(pima_data!$G$1:$G$768)-MIN(pima_data!$G$1:$G$768))</f>
        <v>0.219043552519214</v>
      </c>
      <c r="H686" s="5">
        <f>(pima_data!H686-MIN(pima_data!$H$1:$H$768))/(MAX(pima_data!$H$1:$H$768)-MIN(pima_data!$H$1:$H$768))</f>
        <v>0.0666666666666667</v>
      </c>
    </row>
    <row r="687" spans="1:8">
      <c r="A687" s="5">
        <f>(pima_data!A687-MIN(pima_data!$A$1:$A$768))/(MAX(pima_data!$A$1:$A$768)-MIN(pima_data!$A$1:$A$768))</f>
        <v>0.176470588235294</v>
      </c>
      <c r="B687" s="5">
        <f>(pima_data!B687-MIN(pima_data!$B$1:$B$768))/(MAX(pima_data!$B$1:$B$768)-MIN(pima_data!$B$1:$B$768))</f>
        <v>0.653266331658292</v>
      </c>
      <c r="C687" s="5">
        <f>(pima_data!C687-MIN(pima_data!$C$1:$C$768))/(MAX(pima_data!$C$1:$C$768)-MIN(pima_data!$C$1:$C$768))</f>
        <v>0.524590163934426</v>
      </c>
      <c r="D687" s="5">
        <f>(pima_data!D687-MIN(pima_data!$D$1:$D$768))/(MAX(pima_data!$D$1:$D$768)-MIN(pima_data!$D$1:$D$768))</f>
        <v>0</v>
      </c>
      <c r="E687" s="5">
        <f>(pima_data!E687-MIN(pima_data!$E$1:$E$768))/(MAX(pima_data!$E$1:$E$768)-MIN(pima_data!$E$1:$E$768))</f>
        <v>0</v>
      </c>
      <c r="F687" s="5">
        <f>(pima_data!F687-MIN(pima_data!$F$1:$F$768))/(MAX(pima_data!$F$1:$F$768)-MIN(pima_data!$F$1:$F$768))</f>
        <v>0.344262295081967</v>
      </c>
      <c r="G687" s="5">
        <f>(pima_data!G687-MIN(pima_data!$G$1:$G$768))/(MAX(pima_data!$G$1:$G$768)-MIN(pima_data!$G$1:$G$768))</f>
        <v>0.100768573868488</v>
      </c>
      <c r="H687" s="5">
        <f>(pima_data!H687-MIN(pima_data!$H$1:$H$768))/(MAX(pima_data!$H$1:$H$768)-MIN(pima_data!$H$1:$H$768))</f>
        <v>0.0166666666666667</v>
      </c>
    </row>
    <row r="688" spans="1:8">
      <c r="A688" s="5">
        <f>(pima_data!A688-MIN(pima_data!$A$1:$A$768))/(MAX(pima_data!$A$1:$A$768)-MIN(pima_data!$A$1:$A$768))</f>
        <v>0.0588235294117647</v>
      </c>
      <c r="B688" s="5">
        <f>(pima_data!B688-MIN(pima_data!$B$1:$B$768))/(MAX(pima_data!$B$1:$B$768)-MIN(pima_data!$B$1:$B$768))</f>
        <v>0.537688442211055</v>
      </c>
      <c r="C688" s="5">
        <f>(pima_data!C688-MIN(pima_data!$C$1:$C$768))/(MAX(pima_data!$C$1:$C$768)-MIN(pima_data!$C$1:$C$768))</f>
        <v>0.409836065573771</v>
      </c>
      <c r="D688" s="5">
        <f>(pima_data!D688-MIN(pima_data!$D$1:$D$768))/(MAX(pima_data!$D$1:$D$768)-MIN(pima_data!$D$1:$D$768))</f>
        <v>0.191919191919192</v>
      </c>
      <c r="E688" s="5">
        <f>(pima_data!E688-MIN(pima_data!$E$1:$E$768))/(MAX(pima_data!$E$1:$E$768)-MIN(pima_data!$E$1:$E$768))</f>
        <v>0</v>
      </c>
      <c r="F688" s="5">
        <f>(pima_data!F688-MIN(pima_data!$F$1:$F$768))/(MAX(pima_data!$F$1:$F$768)-MIN(pima_data!$F$1:$F$768))</f>
        <v>0.421758569299553</v>
      </c>
      <c r="G688" s="5">
        <f>(pima_data!G688-MIN(pima_data!$G$1:$G$768))/(MAX(pima_data!$G$1:$G$768)-MIN(pima_data!$G$1:$G$768))</f>
        <v>0.0439795046968403</v>
      </c>
      <c r="H688" s="5">
        <f>(pima_data!H688-MIN(pima_data!$H$1:$H$768))/(MAX(pima_data!$H$1:$H$768)-MIN(pima_data!$H$1:$H$768))</f>
        <v>0.133333333333333</v>
      </c>
    </row>
    <row r="689" spans="1:8">
      <c r="A689" s="5">
        <f>(pima_data!A689-MIN(pima_data!$A$1:$A$768))/(MAX(pima_data!$A$1:$A$768)-MIN(pima_data!$A$1:$A$768))</f>
        <v>0.0588235294117647</v>
      </c>
      <c r="B689" s="5">
        <f>(pima_data!B689-MIN(pima_data!$B$1:$B$768))/(MAX(pima_data!$B$1:$B$768)-MIN(pima_data!$B$1:$B$768))</f>
        <v>0.703517587939699</v>
      </c>
      <c r="C689" s="5">
        <f>(pima_data!C689-MIN(pima_data!$C$1:$C$768))/(MAX(pima_data!$C$1:$C$768)-MIN(pima_data!$C$1:$C$768))</f>
        <v>0.60655737704918</v>
      </c>
      <c r="D689" s="5">
        <f>(pima_data!D689-MIN(pima_data!$D$1:$D$768))/(MAX(pima_data!$D$1:$D$768)-MIN(pima_data!$D$1:$D$768))</f>
        <v>0.262626262626263</v>
      </c>
      <c r="E689" s="5">
        <f>(pima_data!E689-MIN(pima_data!$E$1:$E$768))/(MAX(pima_data!$E$1:$E$768)-MIN(pima_data!$E$1:$E$768))</f>
        <v>0.212765957446809</v>
      </c>
      <c r="F689" s="5">
        <f>(pima_data!F689-MIN(pima_data!$F$1:$F$768))/(MAX(pima_data!$F$1:$F$768)-MIN(pima_data!$F$1:$F$768))</f>
        <v>0.359165424739195</v>
      </c>
      <c r="G689" s="5">
        <f>(pima_data!G689-MIN(pima_data!$G$1:$G$768))/(MAX(pima_data!$G$1:$G$768)-MIN(pima_data!$G$1:$G$768))</f>
        <v>0.320239111870196</v>
      </c>
      <c r="H689" s="5">
        <f>(pima_data!H689-MIN(pima_data!$H$1:$H$768))/(MAX(pima_data!$H$1:$H$768)-MIN(pima_data!$H$1:$H$768))</f>
        <v>0.0333333333333333</v>
      </c>
    </row>
    <row r="690" spans="1:8">
      <c r="A690" s="5">
        <f>(pima_data!A690-MIN(pima_data!$A$1:$A$768))/(MAX(pima_data!$A$1:$A$768)-MIN(pima_data!$A$1:$A$768))</f>
        <v>0.0588235294117647</v>
      </c>
      <c r="B690" s="5">
        <f>(pima_data!B690-MIN(pima_data!$B$1:$B$768))/(MAX(pima_data!$B$1:$B$768)-MIN(pima_data!$B$1:$B$768))</f>
        <v>0.723618090452261</v>
      </c>
      <c r="C690" s="5">
        <f>(pima_data!C690-MIN(pima_data!$C$1:$C$768))/(MAX(pima_data!$C$1:$C$768)-MIN(pima_data!$C$1:$C$768))</f>
        <v>0.672131147540984</v>
      </c>
      <c r="D690" s="5">
        <f>(pima_data!D690-MIN(pima_data!$D$1:$D$768))/(MAX(pima_data!$D$1:$D$768)-MIN(pima_data!$D$1:$D$768))</f>
        <v>0.464646464646465</v>
      </c>
      <c r="E690" s="5">
        <f>(pima_data!E690-MIN(pima_data!$E$1:$E$768))/(MAX(pima_data!$E$1:$E$768)-MIN(pima_data!$E$1:$E$768))</f>
        <v>0.212765957446809</v>
      </c>
      <c r="F690" s="5">
        <f>(pima_data!F690-MIN(pima_data!$F$1:$F$768))/(MAX(pima_data!$F$1:$F$768)-MIN(pima_data!$F$1:$F$768))</f>
        <v>0.687034277198212</v>
      </c>
      <c r="G690" s="5">
        <f>(pima_data!G690-MIN(pima_data!$G$1:$G$768))/(MAX(pima_data!$G$1:$G$768)-MIN(pima_data!$G$1:$G$768))</f>
        <v>0.109735269000854</v>
      </c>
      <c r="H690" s="5">
        <f>(pima_data!H690-MIN(pima_data!$H$1:$H$768))/(MAX(pima_data!$H$1:$H$768)-MIN(pima_data!$H$1:$H$768))</f>
        <v>0.416666666666667</v>
      </c>
    </row>
    <row r="691" spans="1:8">
      <c r="A691" s="5">
        <f>(pima_data!A691-MIN(pima_data!$A$1:$A$768))/(MAX(pima_data!$A$1:$A$768)-MIN(pima_data!$A$1:$A$768))</f>
        <v>0.470588235294118</v>
      </c>
      <c r="B691" s="5">
        <f>(pima_data!B691-MIN(pima_data!$B$1:$B$768))/(MAX(pima_data!$B$1:$B$768)-MIN(pima_data!$B$1:$B$768))</f>
        <v>0.537688442211055</v>
      </c>
      <c r="C691" s="5">
        <f>(pima_data!C691-MIN(pima_data!$C$1:$C$768))/(MAX(pima_data!$C$1:$C$768)-MIN(pima_data!$C$1:$C$768))</f>
        <v>0.655737704918033</v>
      </c>
      <c r="D691" s="5">
        <f>(pima_data!D691-MIN(pima_data!$D$1:$D$768))/(MAX(pima_data!$D$1:$D$768)-MIN(pima_data!$D$1:$D$768))</f>
        <v>0</v>
      </c>
      <c r="E691" s="5">
        <f>(pima_data!E691-MIN(pima_data!$E$1:$E$768))/(MAX(pima_data!$E$1:$E$768)-MIN(pima_data!$E$1:$E$768))</f>
        <v>0</v>
      </c>
      <c r="F691" s="5">
        <f>(pima_data!F691-MIN(pima_data!$F$1:$F$768))/(MAX(pima_data!$F$1:$F$768)-MIN(pima_data!$F$1:$F$768))</f>
        <v>0.366616989567809</v>
      </c>
      <c r="G691" s="5">
        <f>(pima_data!G691-MIN(pima_data!$G$1:$G$768))/(MAX(pima_data!$G$1:$G$768)-MIN(pima_data!$G$1:$G$768))</f>
        <v>0.332194705380017</v>
      </c>
      <c r="H691" s="5">
        <f>(pima_data!H691-MIN(pima_data!$H$1:$H$768))/(MAX(pima_data!$H$1:$H$768)-MIN(pima_data!$H$1:$H$768))</f>
        <v>0.216666666666667</v>
      </c>
    </row>
    <row r="692" spans="1:8">
      <c r="A692" s="5">
        <f>(pima_data!A692-MIN(pima_data!$A$1:$A$768))/(MAX(pima_data!$A$1:$A$768)-MIN(pima_data!$A$1:$A$768))</f>
        <v>0.764705882352941</v>
      </c>
      <c r="B692" s="5">
        <f>(pima_data!B692-MIN(pima_data!$B$1:$B$768))/(MAX(pima_data!$B$1:$B$768)-MIN(pima_data!$B$1:$B$768))</f>
        <v>0.793969849246231</v>
      </c>
      <c r="C692" s="5">
        <f>(pima_data!C692-MIN(pima_data!$C$1:$C$768))/(MAX(pima_data!$C$1:$C$768)-MIN(pima_data!$C$1:$C$768))</f>
        <v>0.934426229508197</v>
      </c>
      <c r="D692" s="5">
        <f>(pima_data!D692-MIN(pima_data!$D$1:$D$768))/(MAX(pima_data!$D$1:$D$768)-MIN(pima_data!$D$1:$D$768))</f>
        <v>0</v>
      </c>
      <c r="E692" s="5">
        <f>(pima_data!E692-MIN(pima_data!$E$1:$E$768))/(MAX(pima_data!$E$1:$E$768)-MIN(pima_data!$E$1:$E$768))</f>
        <v>0</v>
      </c>
      <c r="F692" s="5">
        <f>(pima_data!F692-MIN(pima_data!$F$1:$F$768))/(MAX(pima_data!$F$1:$F$768)-MIN(pima_data!$F$1:$F$768))</f>
        <v>0.630402384500745</v>
      </c>
      <c r="G692" s="5">
        <f>(pima_data!G692-MIN(pima_data!$G$1:$G$768))/(MAX(pima_data!$G$1:$G$768)-MIN(pima_data!$G$1:$G$768))</f>
        <v>0.0764304013663535</v>
      </c>
      <c r="H692" s="5">
        <f>(pima_data!H692-MIN(pima_data!$H$1:$H$768))/(MAX(pima_data!$H$1:$H$768)-MIN(pima_data!$H$1:$H$768))</f>
        <v>0.383333333333333</v>
      </c>
    </row>
    <row r="693" spans="1:8">
      <c r="A693" s="5">
        <f>(pima_data!A693-MIN(pima_data!$A$1:$A$768))/(MAX(pima_data!$A$1:$A$768)-MIN(pima_data!$A$1:$A$768))</f>
        <v>0.117647058823529</v>
      </c>
      <c r="B693" s="5">
        <f>(pima_data!B693-MIN(pima_data!$B$1:$B$768))/(MAX(pima_data!$B$1:$B$768)-MIN(pima_data!$B$1:$B$768))</f>
        <v>0.608040201005025</v>
      </c>
      <c r="C693" s="5">
        <f>(pima_data!C693-MIN(pima_data!$C$1:$C$768))/(MAX(pima_data!$C$1:$C$768)-MIN(pima_data!$C$1:$C$768))</f>
        <v>0.573770491803279</v>
      </c>
      <c r="D693" s="5">
        <f>(pima_data!D693-MIN(pima_data!$D$1:$D$768))/(MAX(pima_data!$D$1:$D$768)-MIN(pima_data!$D$1:$D$768))</f>
        <v>0.323232323232323</v>
      </c>
      <c r="E693" s="5">
        <f>(pima_data!E693-MIN(pima_data!$E$1:$E$768))/(MAX(pima_data!$E$1:$E$768)-MIN(pima_data!$E$1:$E$768))</f>
        <v>0.112293144208038</v>
      </c>
      <c r="F693" s="5">
        <f>(pima_data!F693-MIN(pima_data!$F$1:$F$768))/(MAX(pima_data!$F$1:$F$768)-MIN(pima_data!$F$1:$F$768))</f>
        <v>0.582712369597616</v>
      </c>
      <c r="G693" s="5">
        <f>(pima_data!G693-MIN(pima_data!$G$1:$G$768))/(MAX(pima_data!$G$1:$G$768)-MIN(pima_data!$G$1:$G$768))</f>
        <v>0.345004269854825</v>
      </c>
      <c r="H693" s="5">
        <f>(pima_data!H693-MIN(pima_data!$H$1:$H$768))/(MAX(pima_data!$H$1:$H$768)-MIN(pima_data!$H$1:$H$768))</f>
        <v>0.0333333333333333</v>
      </c>
    </row>
    <row r="694" spans="1:8">
      <c r="A694" s="5">
        <f>(pima_data!A694-MIN(pima_data!$A$1:$A$768))/(MAX(pima_data!$A$1:$A$768)-MIN(pima_data!$A$1:$A$768))</f>
        <v>0.411764705882353</v>
      </c>
      <c r="B694" s="5">
        <f>(pima_data!B694-MIN(pima_data!$B$1:$B$768))/(MAX(pima_data!$B$1:$B$768)-MIN(pima_data!$B$1:$B$768))</f>
        <v>0.648241206030151</v>
      </c>
      <c r="C694" s="5">
        <f>(pima_data!C694-MIN(pima_data!$C$1:$C$768))/(MAX(pima_data!$C$1:$C$768)-MIN(pima_data!$C$1:$C$768))</f>
        <v>0.557377049180328</v>
      </c>
      <c r="D694" s="5">
        <f>(pima_data!D694-MIN(pima_data!$D$1:$D$768))/(MAX(pima_data!$D$1:$D$768)-MIN(pima_data!$D$1:$D$768))</f>
        <v>0.494949494949495</v>
      </c>
      <c r="E694" s="5">
        <f>(pima_data!E694-MIN(pima_data!$E$1:$E$768))/(MAX(pima_data!$E$1:$E$768)-MIN(pima_data!$E$1:$E$768))</f>
        <v>0.147754137115839</v>
      </c>
      <c r="F694" s="5">
        <f>(pima_data!F694-MIN(pima_data!$F$1:$F$768))/(MAX(pima_data!$F$1:$F$768)-MIN(pima_data!$F$1:$F$768))</f>
        <v>0.573770491803279</v>
      </c>
      <c r="G694" s="5">
        <f>(pima_data!G694-MIN(pima_data!$G$1:$G$768))/(MAX(pima_data!$G$1:$G$768)-MIN(pima_data!$G$1:$G$768))</f>
        <v>0.154141759180188</v>
      </c>
      <c r="H694" s="5">
        <f>(pima_data!H694-MIN(pima_data!$H$1:$H$768))/(MAX(pima_data!$H$1:$H$768)-MIN(pima_data!$H$1:$H$768))</f>
        <v>0.366666666666667</v>
      </c>
    </row>
    <row r="695" spans="1:8">
      <c r="A695" s="5">
        <f>(pima_data!A695-MIN(pima_data!$A$1:$A$768))/(MAX(pima_data!$A$1:$A$768)-MIN(pima_data!$A$1:$A$768))</f>
        <v>0.117647058823529</v>
      </c>
      <c r="B695" s="5">
        <f>(pima_data!B695-MIN(pima_data!$B$1:$B$768))/(MAX(pima_data!$B$1:$B$768)-MIN(pima_data!$B$1:$B$768))</f>
        <v>0.452261306532663</v>
      </c>
      <c r="C695" s="5">
        <f>(pima_data!C695-MIN(pima_data!$C$1:$C$768))/(MAX(pima_data!$C$1:$C$768)-MIN(pima_data!$C$1:$C$768))</f>
        <v>0.491803278688525</v>
      </c>
      <c r="D695" s="5">
        <f>(pima_data!D695-MIN(pima_data!$D$1:$D$768))/(MAX(pima_data!$D$1:$D$768)-MIN(pima_data!$D$1:$D$768))</f>
        <v>0</v>
      </c>
      <c r="E695" s="5">
        <f>(pima_data!E695-MIN(pima_data!$E$1:$E$768))/(MAX(pima_data!$E$1:$E$768)-MIN(pima_data!$E$1:$E$768))</f>
        <v>0</v>
      </c>
      <c r="F695" s="5">
        <f>(pima_data!F695-MIN(pima_data!$F$1:$F$768))/(MAX(pima_data!$F$1:$F$768)-MIN(pima_data!$F$1:$F$768))</f>
        <v>0.350223546944858</v>
      </c>
      <c r="G695" s="5">
        <f>(pima_data!G695-MIN(pima_data!$G$1:$G$768))/(MAX(pima_data!$G$1:$G$768)-MIN(pima_data!$G$1:$G$768))</f>
        <v>0.0482493595217763</v>
      </c>
      <c r="H695" s="5">
        <f>(pima_data!H695-MIN(pima_data!$H$1:$H$768))/(MAX(pima_data!$H$1:$H$768)-MIN(pima_data!$H$1:$H$768))</f>
        <v>0.0666666666666667</v>
      </c>
    </row>
    <row r="696" spans="1:8">
      <c r="A696" s="5">
        <f>(pima_data!A696-MIN(pima_data!$A$1:$A$768))/(MAX(pima_data!$A$1:$A$768)-MIN(pima_data!$A$1:$A$768))</f>
        <v>0.411764705882353</v>
      </c>
      <c r="B696" s="5">
        <f>(pima_data!B696-MIN(pima_data!$B$1:$B$768))/(MAX(pima_data!$B$1:$B$768)-MIN(pima_data!$B$1:$B$768))</f>
        <v>0.71356783919598</v>
      </c>
      <c r="C696" s="5">
        <f>(pima_data!C696-MIN(pima_data!$C$1:$C$768))/(MAX(pima_data!$C$1:$C$768)-MIN(pima_data!$C$1:$C$768))</f>
        <v>0.737704918032787</v>
      </c>
      <c r="D696" s="5">
        <f>(pima_data!D696-MIN(pima_data!$D$1:$D$768))/(MAX(pima_data!$D$1:$D$768)-MIN(pima_data!$D$1:$D$768))</f>
        <v>0.242424242424242</v>
      </c>
      <c r="E696" s="5">
        <f>(pima_data!E696-MIN(pima_data!$E$1:$E$768))/(MAX(pima_data!$E$1:$E$768)-MIN(pima_data!$E$1:$E$768))</f>
        <v>0.567375886524823</v>
      </c>
      <c r="F696" s="5">
        <f>(pima_data!F696-MIN(pima_data!$F$1:$F$768))/(MAX(pima_data!$F$1:$F$768)-MIN(pima_data!$F$1:$F$768))</f>
        <v>0.453055141579732</v>
      </c>
      <c r="G696" s="5">
        <f>(pima_data!G696-MIN(pima_data!$G$1:$G$768))/(MAX(pima_data!$G$1:$G$768)-MIN(pima_data!$G$1:$G$768))</f>
        <v>0.0213492741246798</v>
      </c>
      <c r="H696" s="5">
        <f>(pima_data!H696-MIN(pima_data!$H$1:$H$768))/(MAX(pima_data!$H$1:$H$768)-MIN(pima_data!$H$1:$H$768))</f>
        <v>0.366666666666667</v>
      </c>
    </row>
    <row r="697" spans="1:8">
      <c r="A697" s="5">
        <f>(pima_data!A697-MIN(pima_data!$A$1:$A$768))/(MAX(pima_data!$A$1:$A$768)-MIN(pima_data!$A$1:$A$768))</f>
        <v>0.176470588235294</v>
      </c>
      <c r="B697" s="5">
        <f>(pima_data!B697-MIN(pima_data!$B$1:$B$768))/(MAX(pima_data!$B$1:$B$768)-MIN(pima_data!$B$1:$B$768))</f>
        <v>0.849246231155779</v>
      </c>
      <c r="C697" s="5">
        <f>(pima_data!C697-MIN(pima_data!$C$1:$C$768))/(MAX(pima_data!$C$1:$C$768)-MIN(pima_data!$C$1:$C$768))</f>
        <v>0.60655737704918</v>
      </c>
      <c r="D697" s="5">
        <f>(pima_data!D697-MIN(pima_data!$D$1:$D$768))/(MAX(pima_data!$D$1:$D$768)-MIN(pima_data!$D$1:$D$768))</f>
        <v>0.191919191919192</v>
      </c>
      <c r="E697" s="5">
        <f>(pima_data!E697-MIN(pima_data!$E$1:$E$768))/(MAX(pima_data!$E$1:$E$768)-MIN(pima_data!$E$1:$E$768))</f>
        <v>0.147754137115839</v>
      </c>
      <c r="F697" s="5">
        <f>(pima_data!F697-MIN(pima_data!$F$1:$F$768))/(MAX(pima_data!$F$1:$F$768)-MIN(pima_data!$F$1:$F$768))</f>
        <v>0.445603576751118</v>
      </c>
      <c r="G697" s="5">
        <f>(pima_data!G697-MIN(pima_data!$G$1:$G$768))/(MAX(pima_data!$G$1:$G$768)-MIN(pima_data!$G$1:$G$768))</f>
        <v>0.0811272416737831</v>
      </c>
      <c r="H697" s="5">
        <f>(pima_data!H697-MIN(pima_data!$H$1:$H$768))/(MAX(pima_data!$H$1:$H$768)-MIN(pima_data!$H$1:$H$768))</f>
        <v>0.166666666666667</v>
      </c>
    </row>
    <row r="698" spans="1:8">
      <c r="A698" s="5">
        <f>(pima_data!A698-MIN(pima_data!$A$1:$A$768))/(MAX(pima_data!$A$1:$A$768)-MIN(pima_data!$A$1:$A$768))</f>
        <v>0</v>
      </c>
      <c r="B698" s="5">
        <f>(pima_data!B698-MIN(pima_data!$B$1:$B$768))/(MAX(pima_data!$B$1:$B$768)-MIN(pima_data!$B$1:$B$768))</f>
        <v>0.49748743718593</v>
      </c>
      <c r="C698" s="5">
        <f>(pima_data!C698-MIN(pima_data!$C$1:$C$768))/(MAX(pima_data!$C$1:$C$768)-MIN(pima_data!$C$1:$C$768))</f>
        <v>0</v>
      </c>
      <c r="D698" s="5">
        <f>(pima_data!D698-MIN(pima_data!$D$1:$D$768))/(MAX(pima_data!$D$1:$D$768)-MIN(pima_data!$D$1:$D$768))</f>
        <v>0</v>
      </c>
      <c r="E698" s="5">
        <f>(pima_data!E698-MIN(pima_data!$E$1:$E$768))/(MAX(pima_data!$E$1:$E$768)-MIN(pima_data!$E$1:$E$768))</f>
        <v>0</v>
      </c>
      <c r="F698" s="5">
        <f>(pima_data!F698-MIN(pima_data!$F$1:$F$768))/(MAX(pima_data!$F$1:$F$768)-MIN(pima_data!$F$1:$F$768))</f>
        <v>0.3725782414307</v>
      </c>
      <c r="G698" s="5">
        <f>(pima_data!G698-MIN(pima_data!$G$1:$G$768))/(MAX(pima_data!$G$1:$G$768)-MIN(pima_data!$G$1:$G$768))</f>
        <v>0.0747224594363792</v>
      </c>
      <c r="H698" s="5">
        <f>(pima_data!H698-MIN(pima_data!$H$1:$H$768))/(MAX(pima_data!$H$1:$H$768)-MIN(pima_data!$H$1:$H$768))</f>
        <v>0.0166666666666667</v>
      </c>
    </row>
    <row r="699" spans="1:8">
      <c r="A699" s="5">
        <f>(pima_data!A699-MIN(pima_data!$A$1:$A$768))/(MAX(pima_data!$A$1:$A$768)-MIN(pima_data!$A$1:$A$768))</f>
        <v>0.235294117647059</v>
      </c>
      <c r="B699" s="5">
        <f>(pima_data!B699-MIN(pima_data!$B$1:$B$768))/(MAX(pima_data!$B$1:$B$768)-MIN(pima_data!$B$1:$B$768))</f>
        <v>0.638190954773869</v>
      </c>
      <c r="C699" s="5">
        <f>(pima_data!C699-MIN(pima_data!$C$1:$C$768))/(MAX(pima_data!$C$1:$C$768)-MIN(pima_data!$C$1:$C$768))</f>
        <v>0.721311475409836</v>
      </c>
      <c r="D699" s="5">
        <f>(pima_data!D699-MIN(pima_data!$D$1:$D$768))/(MAX(pima_data!$D$1:$D$768)-MIN(pima_data!$D$1:$D$768))</f>
        <v>0.111111111111111</v>
      </c>
      <c r="E699" s="5">
        <f>(pima_data!E699-MIN(pima_data!$E$1:$E$768))/(MAX(pima_data!$E$1:$E$768)-MIN(pima_data!$E$1:$E$768))</f>
        <v>0.183215130023641</v>
      </c>
      <c r="F699" s="5">
        <f>(pima_data!F699-MIN(pima_data!$F$1:$F$768))/(MAX(pima_data!$F$1:$F$768)-MIN(pima_data!$F$1:$F$768))</f>
        <v>0.514157973174367</v>
      </c>
      <c r="G699" s="5">
        <f>(pima_data!G699-MIN(pima_data!$G$1:$G$768))/(MAX(pima_data!$G$1:$G$768)-MIN(pima_data!$G$1:$G$768))</f>
        <v>0.22203245089667</v>
      </c>
      <c r="H699" s="5">
        <f>(pima_data!H699-MIN(pima_data!$H$1:$H$768))/(MAX(pima_data!$H$1:$H$768)-MIN(pima_data!$H$1:$H$768))</f>
        <v>0.116666666666667</v>
      </c>
    </row>
    <row r="700" spans="1:8">
      <c r="A700" s="5">
        <f>(pima_data!A700-MIN(pima_data!$A$1:$A$768))/(MAX(pima_data!$A$1:$A$768)-MIN(pima_data!$A$1:$A$768))</f>
        <v>0.235294117647059</v>
      </c>
      <c r="B700" s="5">
        <f>(pima_data!B700-MIN(pima_data!$B$1:$B$768))/(MAX(pima_data!$B$1:$B$768)-MIN(pima_data!$B$1:$B$768))</f>
        <v>0.592964824120603</v>
      </c>
      <c r="C700" s="5">
        <f>(pima_data!C700-MIN(pima_data!$C$1:$C$768))/(MAX(pima_data!$C$1:$C$768)-MIN(pima_data!$C$1:$C$768))</f>
        <v>0.573770491803279</v>
      </c>
      <c r="D700" s="5">
        <f>(pima_data!D700-MIN(pima_data!$D$1:$D$768))/(MAX(pima_data!$D$1:$D$768)-MIN(pima_data!$D$1:$D$768))</f>
        <v>0</v>
      </c>
      <c r="E700" s="5">
        <f>(pima_data!E700-MIN(pima_data!$E$1:$E$768))/(MAX(pima_data!$E$1:$E$768)-MIN(pima_data!$E$1:$E$768))</f>
        <v>0</v>
      </c>
      <c r="F700" s="5">
        <f>(pima_data!F700-MIN(pima_data!$F$1:$F$768))/(MAX(pima_data!$F$1:$F$768)-MIN(pima_data!$F$1:$F$768))</f>
        <v>0.663189269746647</v>
      </c>
      <c r="G700" s="5">
        <f>(pima_data!G700-MIN(pima_data!$G$1:$G$768))/(MAX(pima_data!$G$1:$G$768)-MIN(pima_data!$G$1:$G$768))</f>
        <v>0.35269000853971</v>
      </c>
      <c r="H700" s="5">
        <f>(pima_data!H700-MIN(pima_data!$H$1:$H$768))/(MAX(pima_data!$H$1:$H$768)-MIN(pima_data!$H$1:$H$768))</f>
        <v>0.0833333333333333</v>
      </c>
    </row>
    <row r="701" spans="1:8">
      <c r="A701" s="5">
        <f>(pima_data!A701-MIN(pima_data!$A$1:$A$768))/(MAX(pima_data!$A$1:$A$768)-MIN(pima_data!$A$1:$A$768))</f>
        <v>0.117647058823529</v>
      </c>
      <c r="B701" s="5">
        <f>(pima_data!B701-MIN(pima_data!$B$1:$B$768))/(MAX(pima_data!$B$1:$B$768)-MIN(pima_data!$B$1:$B$768))</f>
        <v>0.613065326633166</v>
      </c>
      <c r="C701" s="5">
        <f>(pima_data!C701-MIN(pima_data!$C$1:$C$768))/(MAX(pima_data!$C$1:$C$768)-MIN(pima_data!$C$1:$C$768))</f>
        <v>0.622950819672131</v>
      </c>
      <c r="D701" s="5">
        <f>(pima_data!D701-MIN(pima_data!$D$1:$D$768))/(MAX(pima_data!$D$1:$D$768)-MIN(pima_data!$D$1:$D$768))</f>
        <v>0.272727272727273</v>
      </c>
      <c r="E701" s="5">
        <f>(pima_data!E701-MIN(pima_data!$E$1:$E$768))/(MAX(pima_data!$E$1:$E$768)-MIN(pima_data!$E$1:$E$768))</f>
        <v>0.236406619385343</v>
      </c>
      <c r="F701" s="5">
        <f>(pima_data!F701-MIN(pima_data!$F$1:$F$768))/(MAX(pima_data!$F$1:$F$768)-MIN(pima_data!$F$1:$F$768))</f>
        <v>0.535022354694486</v>
      </c>
      <c r="G701" s="5">
        <f>(pima_data!G701-MIN(pima_data!$G$1:$G$768))/(MAX(pima_data!$G$1:$G$768)-MIN(pima_data!$G$1:$G$768))</f>
        <v>0.172929120409906</v>
      </c>
      <c r="H701" s="5">
        <f>(pima_data!H701-MIN(pima_data!$H$1:$H$768))/(MAX(pima_data!$H$1:$H$768)-MIN(pima_data!$H$1:$H$768))</f>
        <v>0.0833333333333333</v>
      </c>
    </row>
    <row r="702" spans="1:8">
      <c r="A702" s="5">
        <f>(pima_data!A702-MIN(pima_data!$A$1:$A$768))/(MAX(pima_data!$A$1:$A$768)-MIN(pima_data!$A$1:$A$768))</f>
        <v>0.352941176470588</v>
      </c>
      <c r="B702" s="5">
        <f>(pima_data!B702-MIN(pima_data!$B$1:$B$768))/(MAX(pima_data!$B$1:$B$768)-MIN(pima_data!$B$1:$B$768))</f>
        <v>0.628140703517588</v>
      </c>
      <c r="C702" s="5">
        <f>(pima_data!C702-MIN(pima_data!$C$1:$C$768))/(MAX(pima_data!$C$1:$C$768)-MIN(pima_data!$C$1:$C$768))</f>
        <v>0.639344262295082</v>
      </c>
      <c r="D702" s="5">
        <f>(pima_data!D702-MIN(pima_data!$D$1:$D$768))/(MAX(pima_data!$D$1:$D$768)-MIN(pima_data!$D$1:$D$768))</f>
        <v>0.313131313131313</v>
      </c>
      <c r="E702" s="5">
        <f>(pima_data!E702-MIN(pima_data!$E$1:$E$768))/(MAX(pima_data!$E$1:$E$768)-MIN(pima_data!$E$1:$E$768))</f>
        <v>0</v>
      </c>
      <c r="F702" s="5">
        <f>(pima_data!F702-MIN(pima_data!$F$1:$F$768))/(MAX(pima_data!$F$1:$F$768)-MIN(pima_data!$F$1:$F$768))</f>
        <v>0.411326378539493</v>
      </c>
      <c r="G702" s="5">
        <f>(pima_data!G702-MIN(pima_data!$G$1:$G$768))/(MAX(pima_data!$G$1:$G$768)-MIN(pima_data!$G$1:$G$768))</f>
        <v>0.207941929974381</v>
      </c>
      <c r="H702" s="5">
        <f>(pima_data!H702-MIN(pima_data!$H$1:$H$768))/(MAX(pima_data!$H$1:$H$768)-MIN(pima_data!$H$1:$H$768))</f>
        <v>0.466666666666667</v>
      </c>
    </row>
    <row r="703" spans="1:8">
      <c r="A703" s="5">
        <f>(pima_data!A703-MIN(pima_data!$A$1:$A$768))/(MAX(pima_data!$A$1:$A$768)-MIN(pima_data!$A$1:$A$768))</f>
        <v>0.0588235294117647</v>
      </c>
      <c r="B703" s="5">
        <f>(pima_data!B703-MIN(pima_data!$B$1:$B$768))/(MAX(pima_data!$B$1:$B$768)-MIN(pima_data!$B$1:$B$768))</f>
        <v>0.844221105527638</v>
      </c>
      <c r="C703" s="5">
        <f>(pima_data!C703-MIN(pima_data!$C$1:$C$768))/(MAX(pima_data!$C$1:$C$768)-MIN(pima_data!$C$1:$C$768))</f>
        <v>0.721311475409836</v>
      </c>
      <c r="D703" s="5">
        <f>(pima_data!D703-MIN(pima_data!$D$1:$D$768))/(MAX(pima_data!$D$1:$D$768)-MIN(pima_data!$D$1:$D$768))</f>
        <v>0.292929292929293</v>
      </c>
      <c r="E703" s="5">
        <f>(pima_data!E703-MIN(pima_data!$E$1:$E$768))/(MAX(pima_data!$E$1:$E$768)-MIN(pima_data!$E$1:$E$768))</f>
        <v>0</v>
      </c>
      <c r="F703" s="5">
        <f>(pima_data!F703-MIN(pima_data!$F$1:$F$768))/(MAX(pima_data!$F$1:$F$768)-MIN(pima_data!$F$1:$F$768))</f>
        <v>0.521609538002981</v>
      </c>
      <c r="G703" s="5">
        <f>(pima_data!G703-MIN(pima_data!$G$1:$G$768))/(MAX(pima_data!$G$1:$G$768)-MIN(pima_data!$G$1:$G$768))</f>
        <v>0.353116994022203</v>
      </c>
      <c r="H703" s="5">
        <f>(pima_data!H703-MIN(pima_data!$H$1:$H$768))/(MAX(pima_data!$H$1:$H$768)-MIN(pima_data!$H$1:$H$768))</f>
        <v>0.516666666666667</v>
      </c>
    </row>
    <row r="704" spans="1:8">
      <c r="A704" s="5">
        <f>(pima_data!A704-MIN(pima_data!$A$1:$A$768))/(MAX(pima_data!$A$1:$A$768)-MIN(pima_data!$A$1:$A$768))</f>
        <v>0.117647058823529</v>
      </c>
      <c r="B704" s="5">
        <f>(pima_data!B704-MIN(pima_data!$B$1:$B$768))/(MAX(pima_data!$B$1:$B$768)-MIN(pima_data!$B$1:$B$768))</f>
        <v>0.648241206030151</v>
      </c>
      <c r="C704" s="5">
        <f>(pima_data!C704-MIN(pima_data!$C$1:$C$768))/(MAX(pima_data!$C$1:$C$768)-MIN(pima_data!$C$1:$C$768))</f>
        <v>0</v>
      </c>
      <c r="D704" s="5">
        <f>(pima_data!D704-MIN(pima_data!$D$1:$D$768))/(MAX(pima_data!$D$1:$D$768)-MIN(pima_data!$D$1:$D$768))</f>
        <v>0</v>
      </c>
      <c r="E704" s="5">
        <f>(pima_data!E704-MIN(pima_data!$E$1:$E$768))/(MAX(pima_data!$E$1:$E$768)-MIN(pima_data!$E$1:$E$768))</f>
        <v>0</v>
      </c>
      <c r="F704" s="5">
        <f>(pima_data!F704-MIN(pima_data!$F$1:$F$768))/(MAX(pima_data!$F$1:$F$768)-MIN(pima_data!$F$1:$F$768))</f>
        <v>0.573770491803279</v>
      </c>
      <c r="G704" s="5">
        <f>(pima_data!G704-MIN(pima_data!$G$1:$G$768))/(MAX(pima_data!$G$1:$G$768)-MIN(pima_data!$G$1:$G$768))</f>
        <v>0.0964987190435525</v>
      </c>
      <c r="H704" s="5">
        <f>(pima_data!H704-MIN(pima_data!$H$1:$H$768))/(MAX(pima_data!$H$1:$H$768)-MIN(pima_data!$H$1:$H$768))</f>
        <v>0.333333333333333</v>
      </c>
    </row>
    <row r="705" spans="1:8">
      <c r="A705" s="5">
        <f>(pima_data!A705-MIN(pima_data!$A$1:$A$768))/(MAX(pima_data!$A$1:$A$768)-MIN(pima_data!$A$1:$A$768))</f>
        <v>0.235294117647059</v>
      </c>
      <c r="B705" s="5">
        <f>(pima_data!B705-MIN(pima_data!$B$1:$B$768))/(MAX(pima_data!$B$1:$B$768)-MIN(pima_data!$B$1:$B$768))</f>
        <v>0.552763819095477</v>
      </c>
      <c r="C705" s="5">
        <f>(pima_data!C705-MIN(pima_data!$C$1:$C$768))/(MAX(pima_data!$C$1:$C$768)-MIN(pima_data!$C$1:$C$768))</f>
        <v>0.622950819672131</v>
      </c>
      <c r="D705" s="5">
        <f>(pima_data!D705-MIN(pima_data!$D$1:$D$768))/(MAX(pima_data!$D$1:$D$768)-MIN(pima_data!$D$1:$D$768))</f>
        <v>0.202020202020202</v>
      </c>
      <c r="E705" s="5">
        <f>(pima_data!E705-MIN(pima_data!$E$1:$E$768))/(MAX(pima_data!$E$1:$E$768)-MIN(pima_data!$E$1:$E$768))</f>
        <v>0.118203309692671</v>
      </c>
      <c r="F705" s="5">
        <f>(pima_data!F705-MIN(pima_data!$F$1:$F$768))/(MAX(pima_data!$F$1:$F$768)-MIN(pima_data!$F$1:$F$768))</f>
        <v>0.423248882265276</v>
      </c>
      <c r="G705" s="5">
        <f>(pima_data!G705-MIN(pima_data!$G$1:$G$768))/(MAX(pima_data!$G$1:$G$768)-MIN(pima_data!$G$1:$G$768))</f>
        <v>0.0170794192997438</v>
      </c>
      <c r="H705" s="5">
        <f>(pima_data!H705-MIN(pima_data!$H$1:$H$768))/(MAX(pima_data!$H$1:$H$768)-MIN(pima_data!$H$1:$H$768))</f>
        <v>0.1</v>
      </c>
    </row>
    <row r="706" spans="1:8">
      <c r="A706" s="5">
        <f>(pima_data!A706-MIN(pima_data!$A$1:$A$768))/(MAX(pima_data!$A$1:$A$768)-MIN(pima_data!$A$1:$A$768))</f>
        <v>0.352941176470588</v>
      </c>
      <c r="B706" s="5">
        <f>(pima_data!B706-MIN(pima_data!$B$1:$B$768))/(MAX(pima_data!$B$1:$B$768)-MIN(pima_data!$B$1:$B$768))</f>
        <v>0.402010050251256</v>
      </c>
      <c r="C706" s="5">
        <f>(pima_data!C706-MIN(pima_data!$C$1:$C$768))/(MAX(pima_data!$C$1:$C$768)-MIN(pima_data!$C$1:$C$768))</f>
        <v>0.655737704918033</v>
      </c>
      <c r="D706" s="5">
        <f>(pima_data!D706-MIN(pima_data!$D$1:$D$768))/(MAX(pima_data!$D$1:$D$768)-MIN(pima_data!$D$1:$D$768))</f>
        <v>0.363636363636364</v>
      </c>
      <c r="E706" s="5">
        <f>(pima_data!E706-MIN(pima_data!$E$1:$E$768))/(MAX(pima_data!$E$1:$E$768)-MIN(pima_data!$E$1:$E$768))</f>
        <v>0</v>
      </c>
      <c r="F706" s="5">
        <f>(pima_data!F706-MIN(pima_data!$F$1:$F$768))/(MAX(pima_data!$F$1:$F$768)-MIN(pima_data!$F$1:$F$768))</f>
        <v>0.593144560357675</v>
      </c>
      <c r="G706" s="5">
        <f>(pima_data!G706-MIN(pima_data!$G$1:$G$768))/(MAX(pima_data!$G$1:$G$768)-MIN(pima_data!$G$1:$G$768))</f>
        <v>0.0422715627668659</v>
      </c>
      <c r="H706" s="5">
        <f>(pima_data!H706-MIN(pima_data!$H$1:$H$768))/(MAX(pima_data!$H$1:$H$768)-MIN(pima_data!$H$1:$H$768))</f>
        <v>0.116666666666667</v>
      </c>
    </row>
    <row r="707" spans="1:8">
      <c r="A707" s="5">
        <f>(pima_data!A707-MIN(pima_data!$A$1:$A$768))/(MAX(pima_data!$A$1:$A$768)-MIN(pima_data!$A$1:$A$768))</f>
        <v>0.588235294117647</v>
      </c>
      <c r="B707" s="5">
        <f>(pima_data!B707-MIN(pima_data!$B$1:$B$768))/(MAX(pima_data!$B$1:$B$768)-MIN(pima_data!$B$1:$B$768))</f>
        <v>0.577889447236181</v>
      </c>
      <c r="C707" s="5">
        <f>(pima_data!C707-MIN(pima_data!$C$1:$C$768))/(MAX(pima_data!$C$1:$C$768)-MIN(pima_data!$C$1:$C$768))</f>
        <v>0</v>
      </c>
      <c r="D707" s="5">
        <f>(pima_data!D707-MIN(pima_data!$D$1:$D$768))/(MAX(pima_data!$D$1:$D$768)-MIN(pima_data!$D$1:$D$768))</f>
        <v>0</v>
      </c>
      <c r="E707" s="5">
        <f>(pima_data!E707-MIN(pima_data!$E$1:$E$768))/(MAX(pima_data!$E$1:$E$768)-MIN(pima_data!$E$1:$E$768))</f>
        <v>0</v>
      </c>
      <c r="F707" s="5">
        <f>(pima_data!F707-MIN(pima_data!$F$1:$F$768))/(MAX(pima_data!$F$1:$F$768)-MIN(pima_data!$F$1:$F$768))</f>
        <v>0</v>
      </c>
      <c r="G707" s="5">
        <f>(pima_data!G707-MIN(pima_data!$G$1:$G$768))/(MAX(pima_data!$G$1:$G$768)-MIN(pima_data!$G$1:$G$768))</f>
        <v>0.0781383432963279</v>
      </c>
      <c r="H707" s="5">
        <f>(pima_data!H707-MIN(pima_data!$H$1:$H$768))/(MAX(pima_data!$H$1:$H$768)-MIN(pima_data!$H$1:$H$768))</f>
        <v>0.15</v>
      </c>
    </row>
    <row r="708" spans="1:8">
      <c r="A708" s="5">
        <f>(pima_data!A708-MIN(pima_data!$A$1:$A$768))/(MAX(pima_data!$A$1:$A$768)-MIN(pima_data!$A$1:$A$768))</f>
        <v>0.117647058823529</v>
      </c>
      <c r="B708" s="5">
        <f>(pima_data!B708-MIN(pima_data!$B$1:$B$768))/(MAX(pima_data!$B$1:$B$768)-MIN(pima_data!$B$1:$B$768))</f>
        <v>0.638190954773869</v>
      </c>
      <c r="C708" s="5">
        <f>(pima_data!C708-MIN(pima_data!$C$1:$C$768))/(MAX(pima_data!$C$1:$C$768)-MIN(pima_data!$C$1:$C$768))</f>
        <v>0.377049180327869</v>
      </c>
      <c r="D708" s="5">
        <f>(pima_data!D708-MIN(pima_data!$D$1:$D$768))/(MAX(pima_data!$D$1:$D$768)-MIN(pima_data!$D$1:$D$768))</f>
        <v>0.212121212121212</v>
      </c>
      <c r="E708" s="5">
        <f>(pima_data!E708-MIN(pima_data!$E$1:$E$768))/(MAX(pima_data!$E$1:$E$768)-MIN(pima_data!$E$1:$E$768))</f>
        <v>0.395981087470449</v>
      </c>
      <c r="F708" s="5">
        <f>(pima_data!F708-MIN(pima_data!$F$1:$F$768))/(MAX(pima_data!$F$1:$F$768)-MIN(pima_data!$F$1:$F$768))</f>
        <v>0.512667660208644</v>
      </c>
      <c r="G708" s="5">
        <f>(pima_data!G708-MIN(pima_data!$G$1:$G$768))/(MAX(pima_data!$G$1:$G$768)-MIN(pima_data!$G$1:$G$768))</f>
        <v>0.0418445772843723</v>
      </c>
      <c r="H708" s="5">
        <f>(pima_data!H708-MIN(pima_data!$H$1:$H$768))/(MAX(pima_data!$H$1:$H$768)-MIN(pima_data!$H$1:$H$768))</f>
        <v>0.0166666666666667</v>
      </c>
    </row>
    <row r="709" spans="1:8">
      <c r="A709" s="5">
        <f>(pima_data!A709-MIN(pima_data!$A$1:$A$768))/(MAX(pima_data!$A$1:$A$768)-MIN(pima_data!$A$1:$A$768))</f>
        <v>0.529411764705882</v>
      </c>
      <c r="B709" s="5">
        <f>(pima_data!B709-MIN(pima_data!$B$1:$B$768))/(MAX(pima_data!$B$1:$B$768)-MIN(pima_data!$B$1:$B$768))</f>
        <v>0.824120603015075</v>
      </c>
      <c r="C709" s="5">
        <f>(pima_data!C709-MIN(pima_data!$C$1:$C$768))/(MAX(pima_data!$C$1:$C$768)-MIN(pima_data!$C$1:$C$768))</f>
        <v>0.639344262295082</v>
      </c>
      <c r="D709" s="5">
        <f>(pima_data!D709-MIN(pima_data!$D$1:$D$768))/(MAX(pima_data!$D$1:$D$768)-MIN(pima_data!$D$1:$D$768))</f>
        <v>0</v>
      </c>
      <c r="E709" s="5">
        <f>(pima_data!E709-MIN(pima_data!$E$1:$E$768))/(MAX(pima_data!$E$1:$E$768)-MIN(pima_data!$E$1:$E$768))</f>
        <v>0</v>
      </c>
      <c r="F709" s="5">
        <f>(pima_data!F709-MIN(pima_data!$F$1:$F$768))/(MAX(pima_data!$F$1:$F$768)-MIN(pima_data!$F$1:$F$768))</f>
        <v>0.488822652757079</v>
      </c>
      <c r="G709" s="5">
        <f>(pima_data!G709-MIN(pima_data!$G$1:$G$768))/(MAX(pima_data!$G$1:$G$768)-MIN(pima_data!$G$1:$G$768))</f>
        <v>0.0298889837745517</v>
      </c>
      <c r="H709" s="5">
        <f>(pima_data!H709-MIN(pima_data!$H$1:$H$768))/(MAX(pima_data!$H$1:$H$768)-MIN(pima_data!$H$1:$H$768))</f>
        <v>0.4</v>
      </c>
    </row>
    <row r="710" spans="1:8">
      <c r="A710" s="5">
        <f>(pima_data!A710-MIN(pima_data!$A$1:$A$768))/(MAX(pima_data!$A$1:$A$768)-MIN(pima_data!$A$1:$A$768))</f>
        <v>0.117647058823529</v>
      </c>
      <c r="B710" s="5">
        <f>(pima_data!B710-MIN(pima_data!$B$1:$B$768))/(MAX(pima_data!$B$1:$B$768)-MIN(pima_data!$B$1:$B$768))</f>
        <v>0.467336683417085</v>
      </c>
      <c r="C710" s="5">
        <f>(pima_data!C710-MIN(pima_data!$C$1:$C$768))/(MAX(pima_data!$C$1:$C$768)-MIN(pima_data!$C$1:$C$768))</f>
        <v>0.524590163934426</v>
      </c>
      <c r="D710" s="5">
        <f>(pima_data!D710-MIN(pima_data!$D$1:$D$768))/(MAX(pima_data!$D$1:$D$768)-MIN(pima_data!$D$1:$D$768))</f>
        <v>0.323232323232323</v>
      </c>
      <c r="E710" s="5">
        <f>(pima_data!E710-MIN(pima_data!$E$1:$E$768))/(MAX(pima_data!$E$1:$E$768)-MIN(pima_data!$E$1:$E$768))</f>
        <v>0.189125295508274</v>
      </c>
      <c r="F710" s="5">
        <f>(pima_data!F710-MIN(pima_data!$F$1:$F$768))/(MAX(pima_data!$F$1:$F$768)-MIN(pima_data!$F$1:$F$768))</f>
        <v>0.566318926974665</v>
      </c>
      <c r="G710" s="5">
        <f>(pima_data!G710-MIN(pima_data!$G$1:$G$768))/(MAX(pima_data!$G$1:$G$768)-MIN(pima_data!$G$1:$G$768))</f>
        <v>0.254483347566183</v>
      </c>
      <c r="H710" s="5">
        <f>(pima_data!H710-MIN(pima_data!$H$1:$H$768))/(MAX(pima_data!$H$1:$H$768)-MIN(pima_data!$H$1:$H$768))</f>
        <v>0.0333333333333333</v>
      </c>
    </row>
    <row r="711" spans="1:8">
      <c r="A711" s="5">
        <f>(pima_data!A711-MIN(pima_data!$A$1:$A$768))/(MAX(pima_data!$A$1:$A$768)-MIN(pima_data!$A$1:$A$768))</f>
        <v>0.176470588235294</v>
      </c>
      <c r="B711" s="5">
        <f>(pima_data!B711-MIN(pima_data!$B$1:$B$768))/(MAX(pima_data!$B$1:$B$768)-MIN(pima_data!$B$1:$B$768))</f>
        <v>0.793969849246231</v>
      </c>
      <c r="C711" s="5">
        <f>(pima_data!C711-MIN(pima_data!$C$1:$C$768))/(MAX(pima_data!$C$1:$C$768)-MIN(pima_data!$C$1:$C$768))</f>
        <v>0.524590163934426</v>
      </c>
      <c r="D711" s="5">
        <f>(pima_data!D711-MIN(pima_data!$D$1:$D$768))/(MAX(pima_data!$D$1:$D$768)-MIN(pima_data!$D$1:$D$768))</f>
        <v>0.131313131313131</v>
      </c>
      <c r="E711" s="5">
        <f>(pima_data!E711-MIN(pima_data!$E$1:$E$768))/(MAX(pima_data!$E$1:$E$768)-MIN(pima_data!$E$1:$E$768))</f>
        <v>0.457446808510638</v>
      </c>
      <c r="F711" s="5">
        <f>(pima_data!F711-MIN(pima_data!$F$1:$F$768))/(MAX(pima_data!$F$1:$F$768)-MIN(pima_data!$F$1:$F$768))</f>
        <v>0.464977645305514</v>
      </c>
      <c r="G711" s="5">
        <f>(pima_data!G711-MIN(pima_data!$G$1:$G$768))/(MAX(pima_data!$G$1:$G$768)-MIN(pima_data!$G$1:$G$768))</f>
        <v>0.0926558497011101</v>
      </c>
      <c r="H711" s="5">
        <f>(pima_data!H711-MIN(pima_data!$H$1:$H$768))/(MAX(pima_data!$H$1:$H$768)-MIN(pima_data!$H$1:$H$768))</f>
        <v>0.05</v>
      </c>
    </row>
    <row r="712" spans="1:8">
      <c r="A712" s="5">
        <f>(pima_data!A712-MIN(pima_data!$A$1:$A$768))/(MAX(pima_data!$A$1:$A$768)-MIN(pima_data!$A$1:$A$768))</f>
        <v>0.294117647058824</v>
      </c>
      <c r="B712" s="5">
        <f>(pima_data!B712-MIN(pima_data!$B$1:$B$768))/(MAX(pima_data!$B$1:$B$768)-MIN(pima_data!$B$1:$B$768))</f>
        <v>0.633165829145729</v>
      </c>
      <c r="C712" s="5">
        <f>(pima_data!C712-MIN(pima_data!$C$1:$C$768))/(MAX(pima_data!$C$1:$C$768)-MIN(pima_data!$C$1:$C$768))</f>
        <v>0.639344262295082</v>
      </c>
      <c r="D712" s="5">
        <f>(pima_data!D712-MIN(pima_data!$D$1:$D$768))/(MAX(pima_data!$D$1:$D$768)-MIN(pima_data!$D$1:$D$768))</f>
        <v>0.272727272727273</v>
      </c>
      <c r="E712" s="5">
        <f>(pima_data!E712-MIN(pima_data!$E$1:$E$768))/(MAX(pima_data!$E$1:$E$768)-MIN(pima_data!$E$1:$E$768))</f>
        <v>0.0260047281323877</v>
      </c>
      <c r="F712" s="5">
        <f>(pima_data!F712-MIN(pima_data!$F$1:$F$768))/(MAX(pima_data!$F$1:$F$768)-MIN(pima_data!$F$1:$F$768))</f>
        <v>0.441132637853949</v>
      </c>
      <c r="G712" s="5">
        <f>(pima_data!G712-MIN(pima_data!$G$1:$G$768))/(MAX(pima_data!$G$1:$G$768)-MIN(pima_data!$G$1:$G$768))</f>
        <v>0.154141759180188</v>
      </c>
      <c r="H712" s="5">
        <f>(pima_data!H712-MIN(pima_data!$H$1:$H$768))/(MAX(pima_data!$H$1:$H$768)-MIN(pima_data!$H$1:$H$768))</f>
        <v>0.316666666666667</v>
      </c>
    </row>
    <row r="713" spans="1:8">
      <c r="A713" s="5">
        <f>(pima_data!A713-MIN(pima_data!$A$1:$A$768))/(MAX(pima_data!$A$1:$A$768)-MIN(pima_data!$A$1:$A$768))</f>
        <v>0.588235294117647</v>
      </c>
      <c r="B713" s="5">
        <f>(pima_data!B713-MIN(pima_data!$B$1:$B$768))/(MAX(pima_data!$B$1:$B$768)-MIN(pima_data!$B$1:$B$768))</f>
        <v>0.648241206030151</v>
      </c>
      <c r="C713" s="5">
        <f>(pima_data!C713-MIN(pima_data!$C$1:$C$768))/(MAX(pima_data!$C$1:$C$768)-MIN(pima_data!$C$1:$C$768))</f>
        <v>0.508196721311475</v>
      </c>
      <c r="D713" s="5">
        <f>(pima_data!D713-MIN(pima_data!$D$1:$D$768))/(MAX(pima_data!$D$1:$D$768)-MIN(pima_data!$D$1:$D$768))</f>
        <v>0.363636363636364</v>
      </c>
      <c r="E713" s="5">
        <f>(pima_data!E713-MIN(pima_data!$E$1:$E$768))/(MAX(pima_data!$E$1:$E$768)-MIN(pima_data!$E$1:$E$768))</f>
        <v>0</v>
      </c>
      <c r="F713" s="5">
        <f>(pima_data!F713-MIN(pima_data!$F$1:$F$768))/(MAX(pima_data!$F$1:$F$768)-MIN(pima_data!$F$1:$F$768))</f>
        <v>0.614008941877794</v>
      </c>
      <c r="G713" s="5">
        <f>(pima_data!G713-MIN(pima_data!$G$1:$G$768))/(MAX(pima_data!$G$1:$G$768)-MIN(pima_data!$G$1:$G$768))</f>
        <v>0.154995730145175</v>
      </c>
      <c r="H713" s="5">
        <f>(pima_data!H713-MIN(pima_data!$H$1:$H$768))/(MAX(pima_data!$H$1:$H$768)-MIN(pima_data!$H$1:$H$768))</f>
        <v>0.283333333333333</v>
      </c>
    </row>
    <row r="714" spans="1:8">
      <c r="A714" s="5">
        <f>(pima_data!A714-MIN(pima_data!$A$1:$A$768))/(MAX(pima_data!$A$1:$A$768)-MIN(pima_data!$A$1:$A$768))</f>
        <v>0</v>
      </c>
      <c r="B714" s="5">
        <f>(pima_data!B714-MIN(pima_data!$B$1:$B$768))/(MAX(pima_data!$B$1:$B$768)-MIN(pima_data!$B$1:$B$768))</f>
        <v>0.673366834170854</v>
      </c>
      <c r="C714" s="5">
        <f>(pima_data!C714-MIN(pima_data!$C$1:$C$768))/(MAX(pima_data!$C$1:$C$768)-MIN(pima_data!$C$1:$C$768))</f>
        <v>0.475409836065574</v>
      </c>
      <c r="D714" s="5">
        <f>(pima_data!D714-MIN(pima_data!$D$1:$D$768))/(MAX(pima_data!$D$1:$D$768)-MIN(pima_data!$D$1:$D$768))</f>
        <v>0.202020202020202</v>
      </c>
      <c r="E714" s="5">
        <f>(pima_data!E714-MIN(pima_data!$E$1:$E$768))/(MAX(pima_data!$E$1:$E$768)-MIN(pima_data!$E$1:$E$768))</f>
        <v>0.343971631205674</v>
      </c>
      <c r="F714" s="5">
        <f>(pima_data!F714-MIN(pima_data!$F$1:$F$768))/(MAX(pima_data!$F$1:$F$768)-MIN(pima_data!$F$1:$F$768))</f>
        <v>0.39344262295082</v>
      </c>
      <c r="G714" s="5">
        <f>(pima_data!G714-MIN(pima_data!$G$1:$G$768))/(MAX(pima_data!$G$1:$G$768)-MIN(pima_data!$G$1:$G$768))</f>
        <v>0.116994022203245</v>
      </c>
      <c r="H714" s="5">
        <f>(pima_data!H714-MIN(pima_data!$H$1:$H$768))/(MAX(pima_data!$H$1:$H$768)-MIN(pima_data!$H$1:$H$768))</f>
        <v>0</v>
      </c>
    </row>
    <row r="715" spans="1:8">
      <c r="A715" s="5">
        <f>(pima_data!A715-MIN(pima_data!$A$1:$A$768))/(MAX(pima_data!$A$1:$A$768)-MIN(pima_data!$A$1:$A$768))</f>
        <v>0.176470588235294</v>
      </c>
      <c r="B715" s="5">
        <f>(pima_data!B715-MIN(pima_data!$B$1:$B$768))/(MAX(pima_data!$B$1:$B$768)-MIN(pima_data!$B$1:$B$768))</f>
        <v>0.512562814070352</v>
      </c>
      <c r="C715" s="5">
        <f>(pima_data!C715-MIN(pima_data!$C$1:$C$768))/(MAX(pima_data!$C$1:$C$768)-MIN(pima_data!$C$1:$C$768))</f>
        <v>0.60655737704918</v>
      </c>
      <c r="D715" s="5">
        <f>(pima_data!D715-MIN(pima_data!$D$1:$D$768))/(MAX(pima_data!$D$1:$D$768)-MIN(pima_data!$D$1:$D$768))</f>
        <v>0</v>
      </c>
      <c r="E715" s="5">
        <f>(pima_data!E715-MIN(pima_data!$E$1:$E$768))/(MAX(pima_data!$E$1:$E$768)-MIN(pima_data!$E$1:$E$768))</f>
        <v>0</v>
      </c>
      <c r="F715" s="5">
        <f>(pima_data!F715-MIN(pima_data!$F$1:$F$768))/(MAX(pima_data!$F$1:$F$768)-MIN(pima_data!$F$1:$F$768))</f>
        <v>0.439642324888227</v>
      </c>
      <c r="G715" s="5">
        <f>(pima_data!G715-MIN(pima_data!$G$1:$G$768))/(MAX(pima_data!$G$1:$G$768)-MIN(pima_data!$G$1:$G$768))</f>
        <v>0.0183603757472246</v>
      </c>
      <c r="H715" s="5">
        <f>(pima_data!H715-MIN(pima_data!$H$1:$H$768))/(MAX(pima_data!$H$1:$H$768)-MIN(pima_data!$H$1:$H$768))</f>
        <v>0.183333333333333</v>
      </c>
    </row>
    <row r="716" spans="1:8">
      <c r="A716" s="5">
        <f>(pima_data!A716-MIN(pima_data!$A$1:$A$768))/(MAX(pima_data!$A$1:$A$768)-MIN(pima_data!$A$1:$A$768))</f>
        <v>0.411764705882353</v>
      </c>
      <c r="B716" s="5">
        <f>(pima_data!B716-MIN(pima_data!$B$1:$B$768))/(MAX(pima_data!$B$1:$B$768)-MIN(pima_data!$B$1:$B$768))</f>
        <v>0.939698492462312</v>
      </c>
      <c r="C716" s="5">
        <f>(pima_data!C716-MIN(pima_data!$C$1:$C$768))/(MAX(pima_data!$C$1:$C$768)-MIN(pima_data!$C$1:$C$768))</f>
        <v>0.409836065573771</v>
      </c>
      <c r="D716" s="5">
        <f>(pima_data!D716-MIN(pima_data!$D$1:$D$768))/(MAX(pima_data!$D$1:$D$768)-MIN(pima_data!$D$1:$D$768))</f>
        <v>0.333333333333333</v>
      </c>
      <c r="E716" s="5">
        <f>(pima_data!E716-MIN(pima_data!$E$1:$E$768))/(MAX(pima_data!$E$1:$E$768)-MIN(pima_data!$E$1:$E$768))</f>
        <v>0.463356973995272</v>
      </c>
      <c r="F716" s="5">
        <f>(pima_data!F716-MIN(pima_data!$F$1:$F$768))/(MAX(pima_data!$F$1:$F$768)-MIN(pima_data!$F$1:$F$768))</f>
        <v>0.50521609538003</v>
      </c>
      <c r="G716" s="5">
        <f>(pima_data!G716-MIN(pima_data!$G$1:$G$768))/(MAX(pima_data!$G$1:$G$768)-MIN(pima_data!$G$1:$G$768))</f>
        <v>0.319385140905209</v>
      </c>
      <c r="H716" s="5">
        <f>(pima_data!H716-MIN(pima_data!$H$1:$H$768))/(MAX(pima_data!$H$1:$H$768)-MIN(pima_data!$H$1:$H$768))</f>
        <v>0.216666666666667</v>
      </c>
    </row>
    <row r="717" spans="1:8">
      <c r="A717" s="5">
        <f>(pima_data!A717-MIN(pima_data!$A$1:$A$768))/(MAX(pima_data!$A$1:$A$768)-MIN(pima_data!$A$1:$A$768))</f>
        <v>0.176470588235294</v>
      </c>
      <c r="B717" s="5">
        <f>(pima_data!B717-MIN(pima_data!$B$1:$B$768))/(MAX(pima_data!$B$1:$B$768)-MIN(pima_data!$B$1:$B$768))</f>
        <v>0.869346733668342</v>
      </c>
      <c r="C717" s="5">
        <f>(pima_data!C717-MIN(pima_data!$C$1:$C$768))/(MAX(pima_data!$C$1:$C$768)-MIN(pima_data!$C$1:$C$768))</f>
        <v>0.639344262295082</v>
      </c>
      <c r="D717" s="5">
        <f>(pima_data!D717-MIN(pima_data!$D$1:$D$768))/(MAX(pima_data!$D$1:$D$768)-MIN(pima_data!$D$1:$D$768))</f>
        <v>0.393939393939394</v>
      </c>
      <c r="E717" s="5">
        <f>(pima_data!E717-MIN(pima_data!$E$1:$E$768))/(MAX(pima_data!$E$1:$E$768)-MIN(pima_data!$E$1:$E$768))</f>
        <v>0.218676122931442</v>
      </c>
      <c r="F717" s="5">
        <f>(pima_data!F717-MIN(pima_data!$F$1:$F$768))/(MAX(pima_data!$F$1:$F$768)-MIN(pima_data!$F$1:$F$768))</f>
        <v>0.503725782414307</v>
      </c>
      <c r="G717" s="5">
        <f>(pima_data!G717-MIN(pima_data!$G$1:$G$768))/(MAX(pima_data!$G$1:$G$768)-MIN(pima_data!$G$1:$G$768))</f>
        <v>0.380871050384287</v>
      </c>
      <c r="H717" s="5">
        <f>(pima_data!H717-MIN(pima_data!$H$1:$H$768))/(MAX(pima_data!$H$1:$H$768)-MIN(pima_data!$H$1:$H$768))</f>
        <v>0.166666666666667</v>
      </c>
    </row>
    <row r="718" spans="1:8">
      <c r="A718" s="5">
        <f>(pima_data!A718-MIN(pima_data!$A$1:$A$768))/(MAX(pima_data!$A$1:$A$768)-MIN(pima_data!$A$1:$A$768))</f>
        <v>0.588235294117647</v>
      </c>
      <c r="B718" s="5">
        <f>(pima_data!B718-MIN(pima_data!$B$1:$B$768))/(MAX(pima_data!$B$1:$B$768)-MIN(pima_data!$B$1:$B$768))</f>
        <v>0.472361809045226</v>
      </c>
      <c r="C718" s="5">
        <f>(pima_data!C718-MIN(pima_data!$C$1:$C$768))/(MAX(pima_data!$C$1:$C$768)-MIN(pima_data!$C$1:$C$768))</f>
        <v>0.590163934426229</v>
      </c>
      <c r="D718" s="5">
        <f>(pima_data!D718-MIN(pima_data!$D$1:$D$768))/(MAX(pima_data!$D$1:$D$768)-MIN(pima_data!$D$1:$D$768))</f>
        <v>0.181818181818182</v>
      </c>
      <c r="E718" s="5">
        <f>(pima_data!E718-MIN(pima_data!$E$1:$E$768))/(MAX(pima_data!$E$1:$E$768)-MIN(pima_data!$E$1:$E$768))</f>
        <v>0</v>
      </c>
      <c r="F718" s="5">
        <f>(pima_data!F718-MIN(pima_data!$F$1:$F$768))/(MAX(pima_data!$F$1:$F$768)-MIN(pima_data!$F$1:$F$768))</f>
        <v>0.344262295081967</v>
      </c>
      <c r="G718" s="5">
        <f>(pima_data!G718-MIN(pima_data!$G$1:$G$768))/(MAX(pima_data!$G$1:$G$768)-MIN(pima_data!$G$1:$G$768))</f>
        <v>0.220751494449189</v>
      </c>
      <c r="H718" s="5">
        <f>(pima_data!H718-MIN(pima_data!$H$1:$H$768))/(MAX(pima_data!$H$1:$H$768)-MIN(pima_data!$H$1:$H$768))</f>
        <v>0.583333333333333</v>
      </c>
    </row>
    <row r="719" spans="1:8">
      <c r="A719" s="5">
        <f>(pima_data!A719-MIN(pima_data!$A$1:$A$768))/(MAX(pima_data!$A$1:$A$768)-MIN(pima_data!$A$1:$A$768))</f>
        <v>0.0588235294117647</v>
      </c>
      <c r="B719" s="5">
        <f>(pima_data!B719-MIN(pima_data!$B$1:$B$768))/(MAX(pima_data!$B$1:$B$768)-MIN(pima_data!$B$1:$B$768))</f>
        <v>0.542713567839196</v>
      </c>
      <c r="C719" s="5">
        <f>(pima_data!C719-MIN(pima_data!$C$1:$C$768))/(MAX(pima_data!$C$1:$C$768)-MIN(pima_data!$C$1:$C$768))</f>
        <v>0.491803278688525</v>
      </c>
      <c r="D719" s="5">
        <f>(pima_data!D719-MIN(pima_data!$D$1:$D$768))/(MAX(pima_data!$D$1:$D$768)-MIN(pima_data!$D$1:$D$768))</f>
        <v>0.464646464646465</v>
      </c>
      <c r="E719" s="5">
        <f>(pima_data!E719-MIN(pima_data!$E$1:$E$768))/(MAX(pima_data!$E$1:$E$768)-MIN(pima_data!$E$1:$E$768))</f>
        <v>0.210401891252955</v>
      </c>
      <c r="F719" s="5">
        <f>(pima_data!F719-MIN(pima_data!$F$1:$F$768))/(MAX(pima_data!$F$1:$F$768)-MIN(pima_data!$F$1:$F$768))</f>
        <v>0.529061102831595</v>
      </c>
      <c r="G719" s="5">
        <f>(pima_data!G719-MIN(pima_data!$G$1:$G$768))/(MAX(pima_data!$G$1:$G$768)-MIN(pima_data!$G$1:$G$768))</f>
        <v>0.143894107600342</v>
      </c>
      <c r="H719" s="5">
        <f>(pima_data!H719-MIN(pima_data!$H$1:$H$768))/(MAX(pima_data!$H$1:$H$768)-MIN(pima_data!$H$1:$H$768))</f>
        <v>0.05</v>
      </c>
    </row>
    <row r="720" spans="1:8">
      <c r="A720" s="5">
        <f>(pima_data!A720-MIN(pima_data!$A$1:$A$768))/(MAX(pima_data!$A$1:$A$768)-MIN(pima_data!$A$1:$A$768))</f>
        <v>0.294117647058824</v>
      </c>
      <c r="B720" s="5">
        <f>(pima_data!B720-MIN(pima_data!$B$1:$B$768))/(MAX(pima_data!$B$1:$B$768)-MIN(pima_data!$B$1:$B$768))</f>
        <v>0.487437185929648</v>
      </c>
      <c r="C720" s="5">
        <f>(pima_data!C720-MIN(pima_data!$C$1:$C$768))/(MAX(pima_data!$C$1:$C$768)-MIN(pima_data!$C$1:$C$768))</f>
        <v>0.622950819672131</v>
      </c>
      <c r="D720" s="5">
        <f>(pima_data!D720-MIN(pima_data!$D$1:$D$768))/(MAX(pima_data!$D$1:$D$768)-MIN(pima_data!$D$1:$D$768))</f>
        <v>0.272727272727273</v>
      </c>
      <c r="E720" s="5">
        <f>(pima_data!E720-MIN(pima_data!$E$1:$E$768))/(MAX(pima_data!$E$1:$E$768)-MIN(pima_data!$E$1:$E$768))</f>
        <v>0</v>
      </c>
      <c r="F720" s="5">
        <f>(pima_data!F720-MIN(pima_data!$F$1:$F$768))/(MAX(pima_data!$F$1:$F$768)-MIN(pima_data!$F$1:$F$768))</f>
        <v>0.530551415797317</v>
      </c>
      <c r="G720" s="5">
        <f>(pima_data!G720-MIN(pima_data!$G$1:$G$768))/(MAX(pima_data!$G$1:$G$768)-MIN(pima_data!$G$1:$G$768))</f>
        <v>0.128095644748079</v>
      </c>
      <c r="H720" s="5">
        <f>(pima_data!H720-MIN(pima_data!$H$1:$H$768))/(MAX(pima_data!$H$1:$H$768)-MIN(pima_data!$H$1:$H$768))</f>
        <v>0.516666666666667</v>
      </c>
    </row>
    <row r="721" spans="1:8">
      <c r="A721" s="5">
        <f>(pima_data!A721-MIN(pima_data!$A$1:$A$768))/(MAX(pima_data!$A$1:$A$768)-MIN(pima_data!$A$1:$A$768))</f>
        <v>0.235294117647059</v>
      </c>
      <c r="B721" s="5">
        <f>(pima_data!B721-MIN(pima_data!$B$1:$B$768))/(MAX(pima_data!$B$1:$B$768)-MIN(pima_data!$B$1:$B$768))</f>
        <v>0.417085427135678</v>
      </c>
      <c r="C721" s="5">
        <f>(pima_data!C721-MIN(pima_data!$C$1:$C$768))/(MAX(pima_data!$C$1:$C$768)-MIN(pima_data!$C$1:$C$768))</f>
        <v>0.704918032786885</v>
      </c>
      <c r="D721" s="5">
        <f>(pima_data!D721-MIN(pima_data!$D$1:$D$768))/(MAX(pima_data!$D$1:$D$768)-MIN(pima_data!$D$1:$D$768))</f>
        <v>0.191919191919192</v>
      </c>
      <c r="E721" s="5">
        <f>(pima_data!E721-MIN(pima_data!$E$1:$E$768))/(MAX(pima_data!$E$1:$E$768)-MIN(pima_data!$E$1:$E$768))</f>
        <v>0</v>
      </c>
      <c r="F721" s="5">
        <f>(pima_data!F721-MIN(pima_data!$F$1:$F$768))/(MAX(pima_data!$F$1:$F$768)-MIN(pima_data!$F$1:$F$768))</f>
        <v>0.436661698956781</v>
      </c>
      <c r="G721" s="5">
        <f>(pima_data!G721-MIN(pima_data!$G$1:$G$768))/(MAX(pima_data!$G$1:$G$768)-MIN(pima_data!$G$1:$G$768))</f>
        <v>0.102049530315969</v>
      </c>
      <c r="H721" s="5">
        <f>(pima_data!H721-MIN(pima_data!$H$1:$H$768))/(MAX(pima_data!$H$1:$H$768)-MIN(pima_data!$H$1:$H$768))</f>
        <v>0.216666666666667</v>
      </c>
    </row>
    <row r="722" spans="1:8">
      <c r="A722" s="5">
        <f>(pima_data!A722-MIN(pima_data!$A$1:$A$768))/(MAX(pima_data!$A$1:$A$768)-MIN(pima_data!$A$1:$A$768))</f>
        <v>0.0588235294117647</v>
      </c>
      <c r="B722" s="5">
        <f>(pima_data!B722-MIN(pima_data!$B$1:$B$768))/(MAX(pima_data!$B$1:$B$768)-MIN(pima_data!$B$1:$B$768))</f>
        <v>0.57286432160804</v>
      </c>
      <c r="C722" s="5">
        <f>(pima_data!C722-MIN(pima_data!$C$1:$C$768))/(MAX(pima_data!$C$1:$C$768)-MIN(pima_data!$C$1:$C$768))</f>
        <v>0.540983606557377</v>
      </c>
      <c r="D722" s="5">
        <f>(pima_data!D722-MIN(pima_data!$D$1:$D$768))/(MAX(pima_data!$D$1:$D$768)-MIN(pima_data!$D$1:$D$768))</f>
        <v>0.363636363636364</v>
      </c>
      <c r="E722" s="5">
        <f>(pima_data!E722-MIN(pima_data!$E$1:$E$768))/(MAX(pima_data!$E$1:$E$768)-MIN(pima_data!$E$1:$E$768))</f>
        <v>0.236406619385343</v>
      </c>
      <c r="F722" s="5">
        <f>(pima_data!F722-MIN(pima_data!$F$1:$F$768))/(MAX(pima_data!$F$1:$F$768)-MIN(pima_data!$F$1:$F$768))</f>
        <v>0.567809239940388</v>
      </c>
      <c r="G722" s="5">
        <f>(pima_data!G722-MIN(pima_data!$G$1:$G$768))/(MAX(pima_data!$G$1:$G$768)-MIN(pima_data!$G$1:$G$768))</f>
        <v>0.0900939368061486</v>
      </c>
      <c r="H722" s="5">
        <f>(pima_data!H722-MIN(pima_data!$H$1:$H$768))/(MAX(pima_data!$H$1:$H$768)-MIN(pima_data!$H$1:$H$768))</f>
        <v>0</v>
      </c>
    </row>
    <row r="723" spans="1:8">
      <c r="A723" s="5">
        <f>(pima_data!A723-MIN(pima_data!$A$1:$A$768))/(MAX(pima_data!$A$1:$A$768)-MIN(pima_data!$A$1:$A$768))</f>
        <v>0.0588235294117647</v>
      </c>
      <c r="B723" s="5">
        <f>(pima_data!B723-MIN(pima_data!$B$1:$B$768))/(MAX(pima_data!$B$1:$B$768)-MIN(pima_data!$B$1:$B$768))</f>
        <v>0.748743718592965</v>
      </c>
      <c r="C723" s="5">
        <f>(pima_data!C723-MIN(pima_data!$C$1:$C$768))/(MAX(pima_data!$C$1:$C$768)-MIN(pima_data!$C$1:$C$768))</f>
        <v>0.557377049180328</v>
      </c>
      <c r="D723" s="5">
        <f>(pima_data!D723-MIN(pima_data!$D$1:$D$768))/(MAX(pima_data!$D$1:$D$768)-MIN(pima_data!$D$1:$D$768))</f>
        <v>0.292929292929293</v>
      </c>
      <c r="E723" s="5">
        <f>(pima_data!E723-MIN(pima_data!$E$1:$E$768))/(MAX(pima_data!$E$1:$E$768)-MIN(pima_data!$E$1:$E$768))</f>
        <v>0.150118203309693</v>
      </c>
      <c r="F723" s="5">
        <f>(pima_data!F723-MIN(pima_data!$F$1:$F$768))/(MAX(pima_data!$F$1:$F$768)-MIN(pima_data!$F$1:$F$768))</f>
        <v>0.436661698956781</v>
      </c>
      <c r="G723" s="5">
        <f>(pima_data!G723-MIN(pima_data!$G$1:$G$768))/(MAX(pima_data!$G$1:$G$768)-MIN(pima_data!$G$1:$G$768))</f>
        <v>0.115713065755764</v>
      </c>
      <c r="H723" s="5">
        <f>(pima_data!H723-MIN(pima_data!$H$1:$H$768))/(MAX(pima_data!$H$1:$H$768)-MIN(pima_data!$H$1:$H$768))</f>
        <v>0.35</v>
      </c>
    </row>
    <row r="724" spans="1:8">
      <c r="A724" s="5">
        <f>(pima_data!A724-MIN(pima_data!$A$1:$A$768))/(MAX(pima_data!$A$1:$A$768)-MIN(pima_data!$A$1:$A$768))</f>
        <v>0.294117647058824</v>
      </c>
      <c r="B724" s="5">
        <f>(pima_data!B724-MIN(pima_data!$B$1:$B$768))/(MAX(pima_data!$B$1:$B$768)-MIN(pima_data!$B$1:$B$768))</f>
        <v>0.587939698492462</v>
      </c>
      <c r="C724" s="5">
        <f>(pima_data!C724-MIN(pima_data!$C$1:$C$768))/(MAX(pima_data!$C$1:$C$768)-MIN(pima_data!$C$1:$C$768))</f>
        <v>0.704918032786885</v>
      </c>
      <c r="D724" s="5">
        <f>(pima_data!D724-MIN(pima_data!$D$1:$D$768))/(MAX(pima_data!$D$1:$D$768)-MIN(pima_data!$D$1:$D$768))</f>
        <v>0.303030303030303</v>
      </c>
      <c r="E724" s="5">
        <f>(pima_data!E724-MIN(pima_data!$E$1:$E$768))/(MAX(pima_data!$E$1:$E$768)-MIN(pima_data!$E$1:$E$768))</f>
        <v>0.124113475177305</v>
      </c>
      <c r="F724" s="5">
        <f>(pima_data!F724-MIN(pima_data!$F$1:$F$768))/(MAX(pima_data!$F$1:$F$768)-MIN(pima_data!$F$1:$F$768))</f>
        <v>0.582712369597616</v>
      </c>
      <c r="G724" s="5">
        <f>(pima_data!G724-MIN(pima_data!$G$1:$G$768))/(MAX(pima_data!$G$1:$G$768)-MIN(pima_data!$G$1:$G$768))</f>
        <v>0.073868488471392</v>
      </c>
      <c r="H724" s="5">
        <f>(pima_data!H724-MIN(pima_data!$H$1:$H$768))/(MAX(pima_data!$H$1:$H$768)-MIN(pima_data!$H$1:$H$768))</f>
        <v>0.35</v>
      </c>
    </row>
    <row r="725" spans="1:8">
      <c r="A725" s="5">
        <f>(pima_data!A725-MIN(pima_data!$A$1:$A$768))/(MAX(pima_data!$A$1:$A$768)-MIN(pima_data!$A$1:$A$768))</f>
        <v>0.0588235294117647</v>
      </c>
      <c r="B725" s="5">
        <f>(pima_data!B725-MIN(pima_data!$B$1:$B$768))/(MAX(pima_data!$B$1:$B$768)-MIN(pima_data!$B$1:$B$768))</f>
        <v>0.557788944723618</v>
      </c>
      <c r="C725" s="5">
        <f>(pima_data!C725-MIN(pima_data!$C$1:$C$768))/(MAX(pima_data!$C$1:$C$768)-MIN(pima_data!$C$1:$C$768))</f>
        <v>0.770491803278688</v>
      </c>
      <c r="D725" s="5">
        <f>(pima_data!D725-MIN(pima_data!$D$1:$D$768))/(MAX(pima_data!$D$1:$D$768)-MIN(pima_data!$D$1:$D$768))</f>
        <v>0</v>
      </c>
      <c r="E725" s="5">
        <f>(pima_data!E725-MIN(pima_data!$E$1:$E$768))/(MAX(pima_data!$E$1:$E$768)-MIN(pima_data!$E$1:$E$768))</f>
        <v>0</v>
      </c>
      <c r="F725" s="5">
        <f>(pima_data!F725-MIN(pima_data!$F$1:$F$768))/(MAX(pima_data!$F$1:$F$768)-MIN(pima_data!$F$1:$F$768))</f>
        <v>0.488822652757079</v>
      </c>
      <c r="G725" s="5">
        <f>(pima_data!G725-MIN(pima_data!$G$1:$G$768))/(MAX(pima_data!$G$1:$G$768)-MIN(pima_data!$G$1:$G$768))</f>
        <v>0.0798462852263023</v>
      </c>
      <c r="H725" s="5">
        <f>(pima_data!H725-MIN(pima_data!$H$1:$H$768))/(MAX(pima_data!$H$1:$H$768)-MIN(pima_data!$H$1:$H$768))</f>
        <v>0.4</v>
      </c>
    </row>
    <row r="726" spans="1:8">
      <c r="A726" s="5">
        <f>(pima_data!A726-MIN(pima_data!$A$1:$A$768))/(MAX(pima_data!$A$1:$A$768)-MIN(pima_data!$A$1:$A$768))</f>
        <v>0.235294117647059</v>
      </c>
      <c r="B726" s="5">
        <f>(pima_data!B726-MIN(pima_data!$B$1:$B$768))/(MAX(pima_data!$B$1:$B$768)-MIN(pima_data!$B$1:$B$768))</f>
        <v>0.562814070351759</v>
      </c>
      <c r="C726" s="5">
        <f>(pima_data!C726-MIN(pima_data!$C$1:$C$768))/(MAX(pima_data!$C$1:$C$768)-MIN(pima_data!$C$1:$C$768))</f>
        <v>0.639344262295082</v>
      </c>
      <c r="D726" s="5">
        <f>(pima_data!D726-MIN(pima_data!$D$1:$D$768))/(MAX(pima_data!$D$1:$D$768)-MIN(pima_data!$D$1:$D$768))</f>
        <v>0.404040404040404</v>
      </c>
      <c r="E726" s="5">
        <f>(pima_data!E726-MIN(pima_data!$E$1:$E$768))/(MAX(pima_data!$E$1:$E$768)-MIN(pima_data!$E$1:$E$768))</f>
        <v>0</v>
      </c>
      <c r="F726" s="5">
        <f>(pima_data!F726-MIN(pima_data!$F$1:$F$768))/(MAX(pima_data!$F$1:$F$768)-MIN(pima_data!$F$1:$F$768))</f>
        <v>0.587183308494784</v>
      </c>
      <c r="G726" s="5">
        <f>(pima_data!G726-MIN(pima_data!$G$1:$G$768))/(MAX(pima_data!$G$1:$G$768)-MIN(pima_data!$G$1:$G$768))</f>
        <v>0.067463706233988</v>
      </c>
      <c r="H726" s="5">
        <f>(pima_data!H726-MIN(pima_data!$H$1:$H$768))/(MAX(pima_data!$H$1:$H$768)-MIN(pima_data!$H$1:$H$768))</f>
        <v>0.283333333333333</v>
      </c>
    </row>
    <row r="727" spans="1:8">
      <c r="A727" s="5">
        <f>(pima_data!A727-MIN(pima_data!$A$1:$A$768))/(MAX(pima_data!$A$1:$A$768)-MIN(pima_data!$A$1:$A$768))</f>
        <v>0.0588235294117647</v>
      </c>
      <c r="B727" s="5">
        <f>(pima_data!B727-MIN(pima_data!$B$1:$B$768))/(MAX(pima_data!$B$1:$B$768)-MIN(pima_data!$B$1:$B$768))</f>
        <v>0.582914572864322</v>
      </c>
      <c r="C727" s="5">
        <f>(pima_data!C727-MIN(pima_data!$C$1:$C$768))/(MAX(pima_data!$C$1:$C$768)-MIN(pima_data!$C$1:$C$768))</f>
        <v>0.639344262295082</v>
      </c>
      <c r="D727" s="5">
        <f>(pima_data!D727-MIN(pima_data!$D$1:$D$768))/(MAX(pima_data!$D$1:$D$768)-MIN(pima_data!$D$1:$D$768))</f>
        <v>0.292929292929293</v>
      </c>
      <c r="E727" s="5">
        <f>(pima_data!E727-MIN(pima_data!$E$1:$E$768))/(MAX(pima_data!$E$1:$E$768)-MIN(pima_data!$E$1:$E$768))</f>
        <v>0.212765957446809</v>
      </c>
      <c r="F727" s="5">
        <f>(pima_data!F727-MIN(pima_data!$F$1:$F$768))/(MAX(pima_data!$F$1:$F$768)-MIN(pima_data!$F$1:$F$768))</f>
        <v>0.538002980625932</v>
      </c>
      <c r="G727" s="5">
        <f>(pima_data!G727-MIN(pima_data!$G$1:$G$768))/(MAX(pima_data!$G$1:$G$768)-MIN(pima_data!$G$1:$G$768))</f>
        <v>0.178479931682323</v>
      </c>
      <c r="H727" s="5">
        <f>(pima_data!H727-MIN(pima_data!$H$1:$H$768))/(MAX(pima_data!$H$1:$H$768)-MIN(pima_data!$H$1:$H$768))</f>
        <v>0.0666666666666667</v>
      </c>
    </row>
    <row r="728" spans="1:8">
      <c r="A728" s="5">
        <f>(pima_data!A728-MIN(pima_data!$A$1:$A$768))/(MAX(pima_data!$A$1:$A$768)-MIN(pima_data!$A$1:$A$768))</f>
        <v>0</v>
      </c>
      <c r="B728" s="5">
        <f>(pima_data!B728-MIN(pima_data!$B$1:$B$768))/(MAX(pima_data!$B$1:$B$768)-MIN(pima_data!$B$1:$B$768))</f>
        <v>0.708542713567839</v>
      </c>
      <c r="C728" s="5">
        <f>(pima_data!C728-MIN(pima_data!$C$1:$C$768))/(MAX(pima_data!$C$1:$C$768)-MIN(pima_data!$C$1:$C$768))</f>
        <v>0.688524590163934</v>
      </c>
      <c r="D728" s="5">
        <f>(pima_data!D728-MIN(pima_data!$D$1:$D$768))/(MAX(pima_data!$D$1:$D$768)-MIN(pima_data!$D$1:$D$768))</f>
        <v>0.262626262626263</v>
      </c>
      <c r="E728" s="5">
        <f>(pima_data!E728-MIN(pima_data!$E$1:$E$768))/(MAX(pima_data!$E$1:$E$768)-MIN(pima_data!$E$1:$E$768))</f>
        <v>0</v>
      </c>
      <c r="F728" s="5">
        <f>(pima_data!F728-MIN(pima_data!$F$1:$F$768))/(MAX(pima_data!$F$1:$F$768)-MIN(pima_data!$F$1:$F$768))</f>
        <v>0.482861400894188</v>
      </c>
      <c r="G728" s="5">
        <f>(pima_data!G728-MIN(pima_data!$G$1:$G$768))/(MAX(pima_data!$G$1:$G$768)-MIN(pima_data!$G$1:$G$768))</f>
        <v>0.151579846285226</v>
      </c>
      <c r="H728" s="5">
        <f>(pima_data!H728-MIN(pima_data!$H$1:$H$768))/(MAX(pima_data!$H$1:$H$768)-MIN(pima_data!$H$1:$H$768))</f>
        <v>0.0166666666666667</v>
      </c>
    </row>
    <row r="729" spans="1:8">
      <c r="A729" s="5">
        <f>(pima_data!A729-MIN(pima_data!$A$1:$A$768))/(MAX(pima_data!$A$1:$A$768)-MIN(pima_data!$A$1:$A$768))</f>
        <v>0.117647058823529</v>
      </c>
      <c r="B729" s="5">
        <f>(pima_data!B729-MIN(pima_data!$B$1:$B$768))/(MAX(pima_data!$B$1:$B$768)-MIN(pima_data!$B$1:$B$768))</f>
        <v>0.879396984924623</v>
      </c>
      <c r="C729" s="5">
        <f>(pima_data!C729-MIN(pima_data!$C$1:$C$768))/(MAX(pima_data!$C$1:$C$768)-MIN(pima_data!$C$1:$C$768))</f>
        <v>0.721311475409836</v>
      </c>
      <c r="D729" s="5">
        <f>(pima_data!D729-MIN(pima_data!$D$1:$D$768))/(MAX(pima_data!$D$1:$D$768)-MIN(pima_data!$D$1:$D$768))</f>
        <v>0</v>
      </c>
      <c r="E729" s="5">
        <f>(pima_data!E729-MIN(pima_data!$E$1:$E$768))/(MAX(pima_data!$E$1:$E$768)-MIN(pima_data!$E$1:$E$768))</f>
        <v>0</v>
      </c>
      <c r="F729" s="5">
        <f>(pima_data!F729-MIN(pima_data!$F$1:$F$768))/(MAX(pima_data!$F$1:$F$768)-MIN(pima_data!$F$1:$F$768))</f>
        <v>0.341281669150522</v>
      </c>
      <c r="G729" s="5">
        <f>(pima_data!G729-MIN(pima_data!$G$1:$G$768))/(MAX(pima_data!$G$1:$G$768)-MIN(pima_data!$G$1:$G$768))</f>
        <v>0.105892399658412</v>
      </c>
      <c r="H729" s="5">
        <f>(pima_data!H729-MIN(pima_data!$H$1:$H$768))/(MAX(pima_data!$H$1:$H$768)-MIN(pima_data!$H$1:$H$768))</f>
        <v>0.0166666666666667</v>
      </c>
    </row>
    <row r="730" spans="1:8">
      <c r="A730" s="5">
        <f>(pima_data!A730-MIN(pima_data!$A$1:$A$768))/(MAX(pima_data!$A$1:$A$768)-MIN(pima_data!$A$1:$A$768))</f>
        <v>0.117647058823529</v>
      </c>
      <c r="B730" s="5">
        <f>(pima_data!B730-MIN(pima_data!$B$1:$B$768))/(MAX(pima_data!$B$1:$B$768)-MIN(pima_data!$B$1:$B$768))</f>
        <v>0.462311557788945</v>
      </c>
      <c r="C730" s="5">
        <f>(pima_data!C730-MIN(pima_data!$C$1:$C$768))/(MAX(pima_data!$C$1:$C$768)-MIN(pima_data!$C$1:$C$768))</f>
        <v>0.426229508196721</v>
      </c>
      <c r="D730" s="5">
        <f>(pima_data!D730-MIN(pima_data!$D$1:$D$768))/(MAX(pima_data!$D$1:$D$768)-MIN(pima_data!$D$1:$D$768))</f>
        <v>0</v>
      </c>
      <c r="E730" s="5">
        <f>(pima_data!E730-MIN(pima_data!$E$1:$E$768))/(MAX(pima_data!$E$1:$E$768)-MIN(pima_data!$E$1:$E$768))</f>
        <v>0</v>
      </c>
      <c r="F730" s="5">
        <f>(pima_data!F730-MIN(pima_data!$F$1:$F$768))/(MAX(pima_data!$F$1:$F$768)-MIN(pima_data!$F$1:$F$768))</f>
        <v>0.448584202682563</v>
      </c>
      <c r="G730" s="5">
        <f>(pima_data!G730-MIN(pima_data!$G$1:$G$768))/(MAX(pima_data!$G$1:$G$768)-MIN(pima_data!$G$1:$G$768))</f>
        <v>0.0269000853970965</v>
      </c>
      <c r="H730" s="5">
        <f>(pima_data!H730-MIN(pima_data!$H$1:$H$768))/(MAX(pima_data!$H$1:$H$768)-MIN(pima_data!$H$1:$H$768))</f>
        <v>0.0166666666666667</v>
      </c>
    </row>
    <row r="731" spans="1:8">
      <c r="A731" s="5">
        <f>(pima_data!A731-MIN(pima_data!$A$1:$A$768))/(MAX(pima_data!$A$1:$A$768)-MIN(pima_data!$A$1:$A$768))</f>
        <v>0.176470588235294</v>
      </c>
      <c r="B731" s="5">
        <f>(pima_data!B731-MIN(pima_data!$B$1:$B$768))/(MAX(pima_data!$B$1:$B$768)-MIN(pima_data!$B$1:$B$768))</f>
        <v>0.653266331658292</v>
      </c>
      <c r="C731" s="5">
        <f>(pima_data!C731-MIN(pima_data!$C$1:$C$768))/(MAX(pima_data!$C$1:$C$768)-MIN(pima_data!$C$1:$C$768))</f>
        <v>0.639344262295082</v>
      </c>
      <c r="D731" s="5">
        <f>(pima_data!D731-MIN(pima_data!$D$1:$D$768))/(MAX(pima_data!$D$1:$D$768)-MIN(pima_data!$D$1:$D$768))</f>
        <v>0.232323232323232</v>
      </c>
      <c r="E731" s="5">
        <f>(pima_data!E731-MIN(pima_data!$E$1:$E$768))/(MAX(pima_data!$E$1:$E$768)-MIN(pima_data!$E$1:$E$768))</f>
        <v>0.0933806146572104</v>
      </c>
      <c r="F731" s="5">
        <f>(pima_data!F731-MIN(pima_data!$F$1:$F$768))/(MAX(pima_data!$F$1:$F$768)-MIN(pima_data!$F$1:$F$768))</f>
        <v>0.423248882265276</v>
      </c>
      <c r="G731" s="5">
        <f>(pima_data!G731-MIN(pima_data!$G$1:$G$768))/(MAX(pima_data!$G$1:$G$768)-MIN(pima_data!$G$1:$G$768))</f>
        <v>0.104611443210931</v>
      </c>
      <c r="H731" s="5">
        <f>(pima_data!H731-MIN(pima_data!$H$1:$H$768))/(MAX(pima_data!$H$1:$H$768)-MIN(pima_data!$H$1:$H$768))</f>
        <v>0.216666666666667</v>
      </c>
    </row>
    <row r="732" spans="1:8">
      <c r="A732" s="5">
        <f>(pima_data!A732-MIN(pima_data!$A$1:$A$768))/(MAX(pima_data!$A$1:$A$768)-MIN(pima_data!$A$1:$A$768))</f>
        <v>0.470588235294118</v>
      </c>
      <c r="B732" s="5">
        <f>(pima_data!B732-MIN(pima_data!$B$1:$B$768))/(MAX(pima_data!$B$1:$B$768)-MIN(pima_data!$B$1:$B$768))</f>
        <v>0.603015075376884</v>
      </c>
      <c r="C732" s="5">
        <f>(pima_data!C732-MIN(pima_data!$C$1:$C$768))/(MAX(pima_data!$C$1:$C$768)-MIN(pima_data!$C$1:$C$768))</f>
        <v>0.704918032786885</v>
      </c>
      <c r="D732" s="5">
        <f>(pima_data!D732-MIN(pima_data!$D$1:$D$768))/(MAX(pima_data!$D$1:$D$768)-MIN(pima_data!$D$1:$D$768))</f>
        <v>0</v>
      </c>
      <c r="E732" s="5">
        <f>(pima_data!E732-MIN(pima_data!$E$1:$E$768))/(MAX(pima_data!$E$1:$E$768)-MIN(pima_data!$E$1:$E$768))</f>
        <v>0</v>
      </c>
      <c r="F732" s="5">
        <f>(pima_data!F732-MIN(pima_data!$F$1:$F$768))/(MAX(pima_data!$F$1:$F$768)-MIN(pima_data!$F$1:$F$768))</f>
        <v>0.423248882265276</v>
      </c>
      <c r="G732" s="5">
        <f>(pima_data!G732-MIN(pima_data!$G$1:$G$768))/(MAX(pima_data!$G$1:$G$768)-MIN(pima_data!$G$1:$G$768))</f>
        <v>0.0772843723313407</v>
      </c>
      <c r="H732" s="5">
        <f>(pima_data!H732-MIN(pima_data!$H$1:$H$768))/(MAX(pima_data!$H$1:$H$768)-MIN(pima_data!$H$1:$H$768))</f>
        <v>0.0166666666666667</v>
      </c>
    </row>
    <row r="733" spans="1:8">
      <c r="A733" s="5">
        <f>(pima_data!A733-MIN(pima_data!$A$1:$A$768))/(MAX(pima_data!$A$1:$A$768)-MIN(pima_data!$A$1:$A$768))</f>
        <v>0.117647058823529</v>
      </c>
      <c r="B733" s="5">
        <f>(pima_data!B733-MIN(pima_data!$B$1:$B$768))/(MAX(pima_data!$B$1:$B$768)-MIN(pima_data!$B$1:$B$768))</f>
        <v>0.874371859296482</v>
      </c>
      <c r="C733" s="5">
        <f>(pima_data!C733-MIN(pima_data!$C$1:$C$768))/(MAX(pima_data!$C$1:$C$768)-MIN(pima_data!$C$1:$C$768))</f>
        <v>0.721311475409836</v>
      </c>
      <c r="D733" s="5">
        <f>(pima_data!D733-MIN(pima_data!$D$1:$D$768))/(MAX(pima_data!$D$1:$D$768)-MIN(pima_data!$D$1:$D$768))</f>
        <v>0.373737373737374</v>
      </c>
      <c r="E733" s="5">
        <f>(pima_data!E733-MIN(pima_data!$E$1:$E$768))/(MAX(pima_data!$E$1:$E$768)-MIN(pima_data!$E$1:$E$768))</f>
        <v>0.141843971631206</v>
      </c>
      <c r="F733" s="5">
        <f>(pima_data!F733-MIN(pima_data!$F$1:$F$768))/(MAX(pima_data!$F$1:$F$768)-MIN(pima_data!$F$1:$F$768))</f>
        <v>0.663189269746647</v>
      </c>
      <c r="G733" s="5">
        <f>(pima_data!G733-MIN(pima_data!$G$1:$G$768))/(MAX(pima_data!$G$1:$G$768)-MIN(pima_data!$G$1:$G$768))</f>
        <v>0.242527754056362</v>
      </c>
      <c r="H733" s="5">
        <f>(pima_data!H733-MIN(pima_data!$H$1:$H$768))/(MAX(pima_data!$H$1:$H$768)-MIN(pima_data!$H$1:$H$768))</f>
        <v>0.05</v>
      </c>
    </row>
    <row r="734" spans="1:8">
      <c r="A734" s="5">
        <f>(pima_data!A734-MIN(pima_data!$A$1:$A$768))/(MAX(pima_data!$A$1:$A$768)-MIN(pima_data!$A$1:$A$768))</f>
        <v>0.117647058823529</v>
      </c>
      <c r="B734" s="5">
        <f>(pima_data!B734-MIN(pima_data!$B$1:$B$768))/(MAX(pima_data!$B$1:$B$768)-MIN(pima_data!$B$1:$B$768))</f>
        <v>0.532663316582915</v>
      </c>
      <c r="C734" s="5">
        <f>(pima_data!C734-MIN(pima_data!$C$1:$C$768))/(MAX(pima_data!$C$1:$C$768)-MIN(pima_data!$C$1:$C$768))</f>
        <v>0.459016393442623</v>
      </c>
      <c r="D734" s="5">
        <f>(pima_data!D734-MIN(pima_data!$D$1:$D$768))/(MAX(pima_data!$D$1:$D$768)-MIN(pima_data!$D$1:$D$768))</f>
        <v>0.272727272727273</v>
      </c>
      <c r="E734" s="5">
        <f>(pima_data!E734-MIN(pima_data!$E$1:$E$768))/(MAX(pima_data!$E$1:$E$768)-MIN(pima_data!$E$1:$E$768))</f>
        <v>0.195035460992908</v>
      </c>
      <c r="F734" s="5">
        <f>(pima_data!F734-MIN(pima_data!$F$1:$F$768))/(MAX(pima_data!$F$1:$F$768)-MIN(pima_data!$F$1:$F$768))</f>
        <v>0.432190760059613</v>
      </c>
      <c r="G734" s="5">
        <f>(pima_data!G734-MIN(pima_data!$G$1:$G$768))/(MAX(pima_data!$G$1:$G$768)-MIN(pima_data!$G$1:$G$768))</f>
        <v>0.148590947907771</v>
      </c>
      <c r="H734" s="5">
        <f>(pima_data!H734-MIN(pima_data!$H$1:$H$768))/(MAX(pima_data!$H$1:$H$768)-MIN(pima_data!$H$1:$H$768))</f>
        <v>0.0166666666666667</v>
      </c>
    </row>
    <row r="735" spans="1:8">
      <c r="A735" s="5">
        <f>(pima_data!A735-MIN(pima_data!$A$1:$A$768))/(MAX(pima_data!$A$1:$A$768)-MIN(pima_data!$A$1:$A$768))</f>
        <v>0.117647058823529</v>
      </c>
      <c r="B735" s="5">
        <f>(pima_data!B735-MIN(pima_data!$B$1:$B$768))/(MAX(pima_data!$B$1:$B$768)-MIN(pima_data!$B$1:$B$768))</f>
        <v>0.527638190954774</v>
      </c>
      <c r="C735" s="5">
        <f>(pima_data!C735-MIN(pima_data!$C$1:$C$768))/(MAX(pima_data!$C$1:$C$768)-MIN(pima_data!$C$1:$C$768))</f>
        <v>0.614754098360656</v>
      </c>
      <c r="D735" s="5">
        <f>(pima_data!D735-MIN(pima_data!$D$1:$D$768))/(MAX(pima_data!$D$1:$D$768)-MIN(pima_data!$D$1:$D$768))</f>
        <v>0</v>
      </c>
      <c r="E735" s="5">
        <f>(pima_data!E735-MIN(pima_data!$E$1:$E$768))/(MAX(pima_data!$E$1:$E$768)-MIN(pima_data!$E$1:$E$768))</f>
        <v>0</v>
      </c>
      <c r="F735" s="5">
        <f>(pima_data!F735-MIN(pima_data!$F$1:$F$768))/(MAX(pima_data!$F$1:$F$768)-MIN(pima_data!$F$1:$F$768))</f>
        <v>0.347242921013413</v>
      </c>
      <c r="G735" s="5">
        <f>(pima_data!G735-MIN(pima_data!$G$1:$G$768))/(MAX(pima_data!$G$1:$G$768)-MIN(pima_data!$G$1:$G$768))</f>
        <v>0.205807002561913</v>
      </c>
      <c r="H735" s="5">
        <f>(pima_data!H735-MIN(pima_data!$H$1:$H$768))/(MAX(pima_data!$H$1:$H$768)-MIN(pima_data!$H$1:$H$768))</f>
        <v>0.533333333333333</v>
      </c>
    </row>
    <row r="736" spans="1:8">
      <c r="A736" s="5">
        <f>(pima_data!A736-MIN(pima_data!$A$1:$A$768))/(MAX(pima_data!$A$1:$A$768)-MIN(pima_data!$A$1:$A$768))</f>
        <v>0.235294117647059</v>
      </c>
      <c r="B736" s="5">
        <f>(pima_data!B736-MIN(pima_data!$B$1:$B$768))/(MAX(pima_data!$B$1:$B$768)-MIN(pima_data!$B$1:$B$768))</f>
        <v>0.477386934673367</v>
      </c>
      <c r="C736" s="5">
        <f>(pima_data!C736-MIN(pima_data!$C$1:$C$768))/(MAX(pima_data!$C$1:$C$768)-MIN(pima_data!$C$1:$C$768))</f>
        <v>0.491803278688525</v>
      </c>
      <c r="D736" s="5">
        <f>(pima_data!D736-MIN(pima_data!$D$1:$D$768))/(MAX(pima_data!$D$1:$D$768)-MIN(pima_data!$D$1:$D$768))</f>
        <v>0.323232323232323</v>
      </c>
      <c r="E736" s="5">
        <f>(pima_data!E736-MIN(pima_data!$E$1:$E$768))/(MAX(pima_data!$E$1:$E$768)-MIN(pima_data!$E$1:$E$768))</f>
        <v>0</v>
      </c>
      <c r="F736" s="5">
        <f>(pima_data!F736-MIN(pima_data!$F$1:$F$768))/(MAX(pima_data!$F$1:$F$768)-MIN(pima_data!$F$1:$F$768))</f>
        <v>0.527570789865872</v>
      </c>
      <c r="G736" s="5">
        <f>(pima_data!G736-MIN(pima_data!$G$1:$G$768))/(MAX(pima_data!$G$1:$G$768)-MIN(pima_data!$G$1:$G$768))</f>
        <v>0.0879590093936806</v>
      </c>
      <c r="H736" s="5">
        <f>(pima_data!H736-MIN(pima_data!$H$1:$H$768))/(MAX(pima_data!$H$1:$H$768)-MIN(pima_data!$H$1:$H$768))</f>
        <v>0.116666666666667</v>
      </c>
    </row>
    <row r="737" spans="1:8">
      <c r="A737" s="5">
        <f>(pima_data!A737-MIN(pima_data!$A$1:$A$768))/(MAX(pima_data!$A$1:$A$768)-MIN(pima_data!$A$1:$A$768))</f>
        <v>0</v>
      </c>
      <c r="B737" s="5">
        <f>(pima_data!B737-MIN(pima_data!$B$1:$B$768))/(MAX(pima_data!$B$1:$B$768)-MIN(pima_data!$B$1:$B$768))</f>
        <v>0.633165829145729</v>
      </c>
      <c r="C737" s="5">
        <f>(pima_data!C737-MIN(pima_data!$C$1:$C$768))/(MAX(pima_data!$C$1:$C$768)-MIN(pima_data!$C$1:$C$768))</f>
        <v>0.704918032786885</v>
      </c>
      <c r="D737" s="5">
        <f>(pima_data!D737-MIN(pima_data!$D$1:$D$768))/(MAX(pima_data!$D$1:$D$768)-MIN(pima_data!$D$1:$D$768))</f>
        <v>0.272727272727273</v>
      </c>
      <c r="E737" s="5">
        <f>(pima_data!E737-MIN(pima_data!$E$1:$E$768))/(MAX(pima_data!$E$1:$E$768)-MIN(pima_data!$E$1:$E$768))</f>
        <v>0.141843971631206</v>
      </c>
      <c r="F737" s="5">
        <f>(pima_data!F737-MIN(pima_data!$F$1:$F$768))/(MAX(pima_data!$F$1:$F$768)-MIN(pima_data!$F$1:$F$768))</f>
        <v>0.408345752608048</v>
      </c>
      <c r="G737" s="5">
        <f>(pima_data!G737-MIN(pima_data!$G$1:$G$768))/(MAX(pima_data!$G$1:$G$768)-MIN(pima_data!$G$1:$G$768))</f>
        <v>0.186592655849701</v>
      </c>
      <c r="H737" s="5">
        <f>(pima_data!H737-MIN(pima_data!$H$1:$H$768))/(MAX(pima_data!$H$1:$H$768)-MIN(pima_data!$H$1:$H$768))</f>
        <v>0</v>
      </c>
    </row>
    <row r="738" spans="1:8">
      <c r="A738" s="5">
        <f>(pima_data!A738-MIN(pima_data!$A$1:$A$768))/(MAX(pima_data!$A$1:$A$768)-MIN(pima_data!$A$1:$A$768))</f>
        <v>0.470588235294118</v>
      </c>
      <c r="B738" s="5">
        <f>(pima_data!B738-MIN(pima_data!$B$1:$B$768))/(MAX(pima_data!$B$1:$B$768)-MIN(pima_data!$B$1:$B$768))</f>
        <v>0.326633165829146</v>
      </c>
      <c r="C738" s="5">
        <f>(pima_data!C738-MIN(pima_data!$C$1:$C$768))/(MAX(pima_data!$C$1:$C$768)-MIN(pima_data!$C$1:$C$768))</f>
        <v>0.590163934426229</v>
      </c>
      <c r="D738" s="5">
        <f>(pima_data!D738-MIN(pima_data!$D$1:$D$768))/(MAX(pima_data!$D$1:$D$768)-MIN(pima_data!$D$1:$D$768))</f>
        <v>0.232323232323232</v>
      </c>
      <c r="E738" s="5">
        <f>(pima_data!E738-MIN(pima_data!$E$1:$E$768))/(MAX(pima_data!$E$1:$E$768)-MIN(pima_data!$E$1:$E$768))</f>
        <v>0</v>
      </c>
      <c r="F738" s="5">
        <f>(pima_data!F738-MIN(pima_data!$F$1:$F$768))/(MAX(pima_data!$F$1:$F$768)-MIN(pima_data!$F$1:$F$768))</f>
        <v>0.476900149031297</v>
      </c>
      <c r="G738" s="5">
        <f>(pima_data!G738-MIN(pima_data!$G$1:$G$768))/(MAX(pima_data!$G$1:$G$768)-MIN(pima_data!$G$1:$G$768))</f>
        <v>0.222886421861657</v>
      </c>
      <c r="H738" s="5">
        <f>(pima_data!H738-MIN(pima_data!$H$1:$H$768))/(MAX(pima_data!$H$1:$H$768)-MIN(pima_data!$H$1:$H$768))</f>
        <v>0.35</v>
      </c>
    </row>
    <row r="739" spans="1:8">
      <c r="A739" s="5">
        <f>(pima_data!A739-MIN(pima_data!$A$1:$A$768))/(MAX(pima_data!$A$1:$A$768)-MIN(pima_data!$A$1:$A$768))</f>
        <v>0.117647058823529</v>
      </c>
      <c r="B739" s="5">
        <f>(pima_data!B739-MIN(pima_data!$B$1:$B$768))/(MAX(pima_data!$B$1:$B$768)-MIN(pima_data!$B$1:$B$768))</f>
        <v>0.49748743718593</v>
      </c>
      <c r="C739" s="5">
        <f>(pima_data!C739-MIN(pima_data!$C$1:$C$768))/(MAX(pima_data!$C$1:$C$768)-MIN(pima_data!$C$1:$C$768))</f>
        <v>0.491803278688525</v>
      </c>
      <c r="D739" s="5">
        <f>(pima_data!D739-MIN(pima_data!$D$1:$D$768))/(MAX(pima_data!$D$1:$D$768)-MIN(pima_data!$D$1:$D$768))</f>
        <v>0.171717171717172</v>
      </c>
      <c r="E739" s="5">
        <f>(pima_data!E739-MIN(pima_data!$E$1:$E$768))/(MAX(pima_data!$E$1:$E$768)-MIN(pima_data!$E$1:$E$768))</f>
        <v>0.189125295508274</v>
      </c>
      <c r="F739" s="5">
        <f>(pima_data!F739-MIN(pima_data!$F$1:$F$768))/(MAX(pima_data!$F$1:$F$768)-MIN(pima_data!$F$1:$F$768))</f>
        <v>0.545454545454546</v>
      </c>
      <c r="G739" s="5">
        <f>(pima_data!G739-MIN(pima_data!$G$1:$G$768))/(MAX(pima_data!$G$1:$G$768)-MIN(pima_data!$G$1:$G$768))</f>
        <v>0.160119555935098</v>
      </c>
      <c r="H739" s="5">
        <f>(pima_data!H739-MIN(pima_data!$H$1:$H$768))/(MAX(pima_data!$H$1:$H$768)-MIN(pima_data!$H$1:$H$768))</f>
        <v>0</v>
      </c>
    </row>
    <row r="740" spans="1:8">
      <c r="A740" s="5">
        <f>(pima_data!A740-MIN(pima_data!$A$1:$A$768))/(MAX(pima_data!$A$1:$A$768)-MIN(pima_data!$A$1:$A$768))</f>
        <v>0.0588235294117647</v>
      </c>
      <c r="B740" s="5">
        <f>(pima_data!B740-MIN(pima_data!$B$1:$B$768))/(MAX(pima_data!$B$1:$B$768)-MIN(pima_data!$B$1:$B$768))</f>
        <v>0.512562814070352</v>
      </c>
      <c r="C740" s="5">
        <f>(pima_data!C740-MIN(pima_data!$C$1:$C$768))/(MAX(pima_data!$C$1:$C$768)-MIN(pima_data!$C$1:$C$768))</f>
        <v>0.60655737704918</v>
      </c>
      <c r="D740" s="5">
        <f>(pima_data!D740-MIN(pima_data!$D$1:$D$768))/(MAX(pima_data!$D$1:$D$768)-MIN(pima_data!$D$1:$D$768))</f>
        <v>0</v>
      </c>
      <c r="E740" s="5">
        <f>(pima_data!E740-MIN(pima_data!$E$1:$E$768))/(MAX(pima_data!$E$1:$E$768)-MIN(pima_data!$E$1:$E$768))</f>
        <v>0</v>
      </c>
      <c r="F740" s="5">
        <f>(pima_data!F740-MIN(pima_data!$F$1:$F$768))/(MAX(pima_data!$F$1:$F$768)-MIN(pima_data!$F$1:$F$768))</f>
        <v>0.588673621460507</v>
      </c>
      <c r="G740" s="5">
        <f>(pima_data!G740-MIN(pima_data!$G$1:$G$768))/(MAX(pima_data!$G$1:$G$768)-MIN(pima_data!$G$1:$G$768))</f>
        <v>0.091801878736123</v>
      </c>
      <c r="H740" s="5">
        <f>(pima_data!H740-MIN(pima_data!$H$1:$H$768))/(MAX(pima_data!$H$1:$H$768)-MIN(pima_data!$H$1:$H$768))</f>
        <v>0.35</v>
      </c>
    </row>
    <row r="741" spans="1:8">
      <c r="A741" s="5">
        <f>(pima_data!A741-MIN(pima_data!$A$1:$A$768))/(MAX(pima_data!$A$1:$A$768)-MIN(pima_data!$A$1:$A$768))</f>
        <v>0.647058823529412</v>
      </c>
      <c r="B741" s="5">
        <f>(pima_data!B741-MIN(pima_data!$B$1:$B$768))/(MAX(pima_data!$B$1:$B$768)-MIN(pima_data!$B$1:$B$768))</f>
        <v>0.603015075376884</v>
      </c>
      <c r="C741" s="5">
        <f>(pima_data!C741-MIN(pima_data!$C$1:$C$768))/(MAX(pima_data!$C$1:$C$768)-MIN(pima_data!$C$1:$C$768))</f>
        <v>0.655737704918033</v>
      </c>
      <c r="D741" s="5">
        <f>(pima_data!D741-MIN(pima_data!$D$1:$D$768))/(MAX(pima_data!$D$1:$D$768)-MIN(pima_data!$D$1:$D$768))</f>
        <v>0.373737373737374</v>
      </c>
      <c r="E741" s="5">
        <f>(pima_data!E741-MIN(pima_data!$E$1:$E$768))/(MAX(pima_data!$E$1:$E$768)-MIN(pima_data!$E$1:$E$768))</f>
        <v>0.177304964539007</v>
      </c>
      <c r="F741" s="5">
        <f>(pima_data!F741-MIN(pima_data!$F$1:$F$768))/(MAX(pima_data!$F$1:$F$768)-MIN(pima_data!$F$1:$F$768))</f>
        <v>0.630402384500745</v>
      </c>
      <c r="G741" s="5">
        <f>(pima_data!G741-MIN(pima_data!$G$1:$G$768))/(MAX(pima_data!$G$1:$G$768)-MIN(pima_data!$G$1:$G$768))</f>
        <v>0.301878736122972</v>
      </c>
      <c r="H741" s="5">
        <f>(pima_data!H741-MIN(pima_data!$H$1:$H$768))/(MAX(pima_data!$H$1:$H$768)-MIN(pima_data!$H$1:$H$768))</f>
        <v>0.45</v>
      </c>
    </row>
    <row r="742" spans="1:8">
      <c r="A742" s="5">
        <f>(pima_data!A742-MIN(pima_data!$A$1:$A$768))/(MAX(pima_data!$A$1:$A$768)-MIN(pima_data!$A$1:$A$768))</f>
        <v>0.176470588235294</v>
      </c>
      <c r="B742" s="5">
        <f>(pima_data!B742-MIN(pima_data!$B$1:$B$768))/(MAX(pima_data!$B$1:$B$768)-MIN(pima_data!$B$1:$B$768))</f>
        <v>0.512562814070352</v>
      </c>
      <c r="C742" s="5">
        <f>(pima_data!C742-MIN(pima_data!$C$1:$C$768))/(MAX(pima_data!$C$1:$C$768)-MIN(pima_data!$C$1:$C$768))</f>
        <v>0.360655737704918</v>
      </c>
      <c r="D742" s="5">
        <f>(pima_data!D742-MIN(pima_data!$D$1:$D$768))/(MAX(pima_data!$D$1:$D$768)-MIN(pima_data!$D$1:$D$768))</f>
        <v>0.202020202020202</v>
      </c>
      <c r="E742" s="5">
        <f>(pima_data!E742-MIN(pima_data!$E$1:$E$768))/(MAX(pima_data!$E$1:$E$768)-MIN(pima_data!$E$1:$E$768))</f>
        <v>0.111111111111111</v>
      </c>
      <c r="F742" s="5">
        <f>(pima_data!F742-MIN(pima_data!$F$1:$F$768))/(MAX(pima_data!$F$1:$F$768)-MIN(pima_data!$F$1:$F$768))</f>
        <v>0.459016393442623</v>
      </c>
      <c r="G742" s="5">
        <f>(pima_data!G742-MIN(pima_data!$G$1:$G$768))/(MAX(pima_data!$G$1:$G$768)-MIN(pima_data!$G$1:$G$768))</f>
        <v>0.137489325362938</v>
      </c>
      <c r="H742" s="5">
        <f>(pima_data!H742-MIN(pima_data!$H$1:$H$768))/(MAX(pima_data!$H$1:$H$768)-MIN(pima_data!$H$1:$H$768))</f>
        <v>0.0833333333333333</v>
      </c>
    </row>
    <row r="743" spans="1:8">
      <c r="A743" s="5">
        <f>(pima_data!A743-MIN(pima_data!$A$1:$A$768))/(MAX(pima_data!$A$1:$A$768)-MIN(pima_data!$A$1:$A$768))</f>
        <v>0.0588235294117647</v>
      </c>
      <c r="B743" s="5">
        <f>(pima_data!B743-MIN(pima_data!$B$1:$B$768))/(MAX(pima_data!$B$1:$B$768)-MIN(pima_data!$B$1:$B$768))</f>
        <v>0.547738693467337</v>
      </c>
      <c r="C743" s="5">
        <f>(pima_data!C743-MIN(pima_data!$C$1:$C$768))/(MAX(pima_data!$C$1:$C$768)-MIN(pima_data!$C$1:$C$768))</f>
        <v>0.475409836065574</v>
      </c>
      <c r="D743" s="5">
        <f>(pima_data!D743-MIN(pima_data!$D$1:$D$768))/(MAX(pima_data!$D$1:$D$768)-MIN(pima_data!$D$1:$D$768))</f>
        <v>0.181818181818182</v>
      </c>
      <c r="E743" s="5">
        <f>(pima_data!E743-MIN(pima_data!$E$1:$E$768))/(MAX(pima_data!$E$1:$E$768)-MIN(pima_data!$E$1:$E$768))</f>
        <v>0.137115839243499</v>
      </c>
      <c r="F743" s="5">
        <f>(pima_data!F743-MIN(pima_data!$F$1:$F$768))/(MAX(pima_data!$F$1:$F$768)-MIN(pima_data!$F$1:$F$768))</f>
        <v>0.424739195230999</v>
      </c>
      <c r="G743" s="5">
        <f>(pima_data!G743-MIN(pima_data!$G$1:$G$768))/(MAX(pima_data!$G$1:$G$768)-MIN(pima_data!$G$1:$G$768))</f>
        <v>0.0602049530315969</v>
      </c>
      <c r="H743" s="5">
        <f>(pima_data!H743-MIN(pima_data!$H$1:$H$768))/(MAX(pima_data!$H$1:$H$768)-MIN(pima_data!$H$1:$H$768))</f>
        <v>0.0166666666666667</v>
      </c>
    </row>
    <row r="744" spans="1:8">
      <c r="A744" s="5">
        <f>(pima_data!A744-MIN(pima_data!$A$1:$A$768))/(MAX(pima_data!$A$1:$A$768)-MIN(pima_data!$A$1:$A$768))</f>
        <v>0.529411764705882</v>
      </c>
      <c r="B744" s="5">
        <f>(pima_data!B744-MIN(pima_data!$B$1:$B$768))/(MAX(pima_data!$B$1:$B$768)-MIN(pima_data!$B$1:$B$768))</f>
        <v>0.703517587939699</v>
      </c>
      <c r="C744" s="5">
        <f>(pima_data!C744-MIN(pima_data!$C$1:$C$768))/(MAX(pima_data!$C$1:$C$768)-MIN(pima_data!$C$1:$C$768))</f>
        <v>0.770491803278688</v>
      </c>
      <c r="D744" s="5">
        <f>(pima_data!D744-MIN(pima_data!$D$1:$D$768))/(MAX(pima_data!$D$1:$D$768)-MIN(pima_data!$D$1:$D$768))</f>
        <v>0</v>
      </c>
      <c r="E744" s="5">
        <f>(pima_data!E744-MIN(pima_data!$E$1:$E$768))/(MAX(pima_data!$E$1:$E$768)-MIN(pima_data!$E$1:$E$768))</f>
        <v>0</v>
      </c>
      <c r="F744" s="5">
        <f>(pima_data!F744-MIN(pima_data!$F$1:$F$768))/(MAX(pima_data!$F$1:$F$768)-MIN(pima_data!$F$1:$F$768))</f>
        <v>0.487332339791356</v>
      </c>
      <c r="G744" s="5">
        <f>(pima_data!G744-MIN(pima_data!$G$1:$G$768))/(MAX(pima_data!$G$1:$G$768)-MIN(pima_data!$G$1:$G$768))</f>
        <v>0.280102476515798</v>
      </c>
      <c r="H744" s="5">
        <f>(pima_data!H744-MIN(pima_data!$H$1:$H$768))/(MAX(pima_data!$H$1:$H$768)-MIN(pima_data!$H$1:$H$768))</f>
        <v>0.4</v>
      </c>
    </row>
    <row r="745" spans="1:8">
      <c r="A745" s="5">
        <f>(pima_data!A745-MIN(pima_data!$A$1:$A$768))/(MAX(pima_data!$A$1:$A$768)-MIN(pima_data!$A$1:$A$768))</f>
        <v>0.764705882352941</v>
      </c>
      <c r="B745" s="5">
        <f>(pima_data!B745-MIN(pima_data!$B$1:$B$768))/(MAX(pima_data!$B$1:$B$768)-MIN(pima_data!$B$1:$B$768))</f>
        <v>0.768844221105528</v>
      </c>
      <c r="C745" s="5">
        <f>(pima_data!C745-MIN(pima_data!$C$1:$C$768))/(MAX(pima_data!$C$1:$C$768)-MIN(pima_data!$C$1:$C$768))</f>
        <v>0.721311475409836</v>
      </c>
      <c r="D745" s="5">
        <f>(pima_data!D745-MIN(pima_data!$D$1:$D$768))/(MAX(pima_data!$D$1:$D$768)-MIN(pima_data!$D$1:$D$768))</f>
        <v>0.373737373737374</v>
      </c>
      <c r="E745" s="5">
        <f>(pima_data!E745-MIN(pima_data!$E$1:$E$768))/(MAX(pima_data!$E$1:$E$768)-MIN(pima_data!$E$1:$E$768))</f>
        <v>0.16548463356974</v>
      </c>
      <c r="F745" s="5">
        <f>(pima_data!F745-MIN(pima_data!$F$1:$F$768))/(MAX(pima_data!$F$1:$F$768)-MIN(pima_data!$F$1:$F$768))</f>
        <v>0.605067064083458</v>
      </c>
      <c r="G745" s="5">
        <f>(pima_data!G745-MIN(pima_data!$G$1:$G$768))/(MAX(pima_data!$G$1:$G$768)-MIN(pima_data!$G$1:$G$768))</f>
        <v>0.46797608881298</v>
      </c>
      <c r="H745" s="5">
        <f>(pima_data!H745-MIN(pima_data!$H$1:$H$768))/(MAX(pima_data!$H$1:$H$768)-MIN(pima_data!$H$1:$H$768))</f>
        <v>0.3</v>
      </c>
    </row>
    <row r="746" spans="1:8">
      <c r="A746" s="5">
        <f>(pima_data!A746-MIN(pima_data!$A$1:$A$768))/(MAX(pima_data!$A$1:$A$768)-MIN(pima_data!$A$1:$A$768))</f>
        <v>0.705882352941177</v>
      </c>
      <c r="B746" s="5">
        <f>(pima_data!B746-MIN(pima_data!$B$1:$B$768))/(MAX(pima_data!$B$1:$B$768)-MIN(pima_data!$B$1:$B$768))</f>
        <v>0.50251256281407</v>
      </c>
      <c r="C746" s="5">
        <f>(pima_data!C746-MIN(pima_data!$C$1:$C$768))/(MAX(pima_data!$C$1:$C$768)-MIN(pima_data!$C$1:$C$768))</f>
        <v>0.688524590163934</v>
      </c>
      <c r="D746" s="5">
        <f>(pima_data!D746-MIN(pima_data!$D$1:$D$768))/(MAX(pima_data!$D$1:$D$768)-MIN(pima_data!$D$1:$D$768))</f>
        <v>0.333333333333333</v>
      </c>
      <c r="E746" s="5">
        <f>(pima_data!E746-MIN(pima_data!$E$1:$E$768))/(MAX(pima_data!$E$1:$E$768)-MIN(pima_data!$E$1:$E$768))</f>
        <v>0.124113475177305</v>
      </c>
      <c r="F746" s="5">
        <f>(pima_data!F746-MIN(pima_data!$F$1:$F$768))/(MAX(pima_data!$F$1:$F$768)-MIN(pima_data!$F$1:$F$768))</f>
        <v>0.447093889716841</v>
      </c>
      <c r="G746" s="5">
        <f>(pima_data!G746-MIN(pima_data!$G$1:$G$768))/(MAX(pima_data!$G$1:$G$768)-MIN(pima_data!$G$1:$G$768))</f>
        <v>0.175064047822374</v>
      </c>
      <c r="H746" s="5">
        <f>(pima_data!H746-MIN(pima_data!$H$1:$H$768))/(MAX(pima_data!$H$1:$H$768)-MIN(pima_data!$H$1:$H$768))</f>
        <v>0.416666666666667</v>
      </c>
    </row>
    <row r="747" spans="1:8">
      <c r="A747" s="5">
        <f>(pima_data!A747-MIN(pima_data!$A$1:$A$768))/(MAX(pima_data!$A$1:$A$768)-MIN(pima_data!$A$1:$A$768))</f>
        <v>0.0588235294117647</v>
      </c>
      <c r="B747" s="5">
        <f>(pima_data!B747-MIN(pima_data!$B$1:$B$768))/(MAX(pima_data!$B$1:$B$768)-MIN(pima_data!$B$1:$B$768))</f>
        <v>0.738693467336683</v>
      </c>
      <c r="C747" s="5">
        <f>(pima_data!C747-MIN(pima_data!$C$1:$C$768))/(MAX(pima_data!$C$1:$C$768)-MIN(pima_data!$C$1:$C$768))</f>
        <v>0.770491803278688</v>
      </c>
      <c r="D747" s="5">
        <f>(pima_data!D747-MIN(pima_data!$D$1:$D$768))/(MAX(pima_data!$D$1:$D$768)-MIN(pima_data!$D$1:$D$768))</f>
        <v>0.414141414141414</v>
      </c>
      <c r="E747" s="5">
        <f>(pima_data!E747-MIN(pima_data!$E$1:$E$768))/(MAX(pima_data!$E$1:$E$768)-MIN(pima_data!$E$1:$E$768))</f>
        <v>0</v>
      </c>
      <c r="F747" s="5">
        <f>(pima_data!F747-MIN(pima_data!$F$1:$F$768))/(MAX(pima_data!$F$1:$F$768)-MIN(pima_data!$F$1:$F$768))</f>
        <v>0.734724292101341</v>
      </c>
      <c r="G747" s="5">
        <f>(pima_data!G747-MIN(pima_data!$G$1:$G$768))/(MAX(pima_data!$G$1:$G$768)-MIN(pima_data!$G$1:$G$768))</f>
        <v>0.119555935098207</v>
      </c>
      <c r="H747" s="5">
        <f>(pima_data!H747-MIN(pima_data!$H$1:$H$768))/(MAX(pima_data!$H$1:$H$768)-MIN(pima_data!$H$1:$H$768))</f>
        <v>0.1</v>
      </c>
    </row>
    <row r="748" spans="1:8">
      <c r="A748" s="5">
        <f>(pima_data!A748-MIN(pima_data!$A$1:$A$768))/(MAX(pima_data!$A$1:$A$768)-MIN(pima_data!$A$1:$A$768))</f>
        <v>0.0588235294117647</v>
      </c>
      <c r="B748" s="5">
        <f>(pima_data!B748-MIN(pima_data!$B$1:$B$768))/(MAX(pima_data!$B$1:$B$768)-MIN(pima_data!$B$1:$B$768))</f>
        <v>0.407035175879397</v>
      </c>
      <c r="C748" s="5">
        <f>(pima_data!C748-MIN(pima_data!$C$1:$C$768))/(MAX(pima_data!$C$1:$C$768)-MIN(pima_data!$C$1:$C$768))</f>
        <v>0.60655737704918</v>
      </c>
      <c r="D748" s="5">
        <f>(pima_data!D748-MIN(pima_data!$D$1:$D$768))/(MAX(pima_data!$D$1:$D$768)-MIN(pima_data!$D$1:$D$768))</f>
        <v>0.414141414141414</v>
      </c>
      <c r="E748" s="5">
        <f>(pima_data!E748-MIN(pima_data!$E$1:$E$768))/(MAX(pima_data!$E$1:$E$768)-MIN(pima_data!$E$1:$E$768))</f>
        <v>0.0673758865248227</v>
      </c>
      <c r="F748" s="5">
        <f>(pima_data!F748-MIN(pima_data!$F$1:$F$768))/(MAX(pima_data!$F$1:$F$768)-MIN(pima_data!$F$1:$F$768))</f>
        <v>0.690014903129657</v>
      </c>
      <c r="G748" s="5">
        <f>(pima_data!G748-MIN(pima_data!$G$1:$G$768))/(MAX(pima_data!$G$1:$G$768)-MIN(pima_data!$G$1:$G$768))</f>
        <v>0.43467122117848</v>
      </c>
      <c r="H748" s="5">
        <f>(pima_data!H748-MIN(pima_data!$H$1:$H$768))/(MAX(pima_data!$H$1:$H$768)-MIN(pima_data!$H$1:$H$768))</f>
        <v>0.183333333333333</v>
      </c>
    </row>
    <row r="749" spans="1:8">
      <c r="A749" s="5">
        <f>(pima_data!A749-MIN(pima_data!$A$1:$A$768))/(MAX(pima_data!$A$1:$A$768)-MIN(pima_data!$A$1:$A$768))</f>
        <v>0.176470588235294</v>
      </c>
      <c r="B749" s="5">
        <f>(pima_data!B749-MIN(pima_data!$B$1:$B$768))/(MAX(pima_data!$B$1:$B$768)-MIN(pima_data!$B$1:$B$768))</f>
        <v>0.939698492462312</v>
      </c>
      <c r="C749" s="5">
        <f>(pima_data!C749-MIN(pima_data!$C$1:$C$768))/(MAX(pima_data!$C$1:$C$768)-MIN(pima_data!$C$1:$C$768))</f>
        <v>0.573770491803279</v>
      </c>
      <c r="D749" s="5">
        <f>(pima_data!D749-MIN(pima_data!$D$1:$D$768))/(MAX(pima_data!$D$1:$D$768)-MIN(pima_data!$D$1:$D$768))</f>
        <v>0.222222222222222</v>
      </c>
      <c r="E749" s="5">
        <f>(pima_data!E749-MIN(pima_data!$E$1:$E$768))/(MAX(pima_data!$E$1:$E$768)-MIN(pima_data!$E$1:$E$768))</f>
        <v>0.236406619385343</v>
      </c>
      <c r="F749" s="5">
        <f>(pima_data!F749-MIN(pima_data!$F$1:$F$768))/(MAX(pima_data!$F$1:$F$768)-MIN(pima_data!$F$1:$F$768))</f>
        <v>0.5424739195231</v>
      </c>
      <c r="G749" s="5">
        <f>(pima_data!G749-MIN(pima_data!$G$1:$G$768))/(MAX(pima_data!$G$1:$G$768)-MIN(pima_data!$G$1:$G$768))</f>
        <v>0.140905209222886</v>
      </c>
      <c r="H749" s="5">
        <f>(pima_data!H749-MIN(pima_data!$H$1:$H$768))/(MAX(pima_data!$H$1:$H$768)-MIN(pima_data!$H$1:$H$768))</f>
        <v>0.25</v>
      </c>
    </row>
    <row r="750" spans="1:8">
      <c r="A750" s="5">
        <f>(pima_data!A750-MIN(pima_data!$A$1:$A$768))/(MAX(pima_data!$A$1:$A$768)-MIN(pima_data!$A$1:$A$768))</f>
        <v>0.352941176470588</v>
      </c>
      <c r="B750" s="5">
        <f>(pima_data!B750-MIN(pima_data!$B$1:$B$768))/(MAX(pima_data!$B$1:$B$768)-MIN(pima_data!$B$1:$B$768))</f>
        <v>0.814070351758794</v>
      </c>
      <c r="C750" s="5">
        <f>(pima_data!C750-MIN(pima_data!$C$1:$C$768))/(MAX(pima_data!$C$1:$C$768)-MIN(pima_data!$C$1:$C$768))</f>
        <v>0.508196721311475</v>
      </c>
      <c r="D750" s="5">
        <f>(pima_data!D750-MIN(pima_data!$D$1:$D$768))/(MAX(pima_data!$D$1:$D$768)-MIN(pima_data!$D$1:$D$768))</f>
        <v>0</v>
      </c>
      <c r="E750" s="5">
        <f>(pima_data!E750-MIN(pima_data!$E$1:$E$768))/(MAX(pima_data!$E$1:$E$768)-MIN(pima_data!$E$1:$E$768))</f>
        <v>0</v>
      </c>
      <c r="F750" s="5">
        <f>(pima_data!F750-MIN(pima_data!$F$1:$F$768))/(MAX(pima_data!$F$1:$F$768)-MIN(pima_data!$F$1:$F$768))</f>
        <v>0.362146050670641</v>
      </c>
      <c r="G750" s="5">
        <f>(pima_data!G750-MIN(pima_data!$G$1:$G$768))/(MAX(pima_data!$G$1:$G$768)-MIN(pima_data!$G$1:$G$768))</f>
        <v>0.0426985482493595</v>
      </c>
      <c r="H750" s="5">
        <f>(pima_data!H750-MIN(pima_data!$H$1:$H$768))/(MAX(pima_data!$H$1:$H$768)-MIN(pima_data!$H$1:$H$768))</f>
        <v>0.483333333333333</v>
      </c>
    </row>
    <row r="751" spans="1:8">
      <c r="A751" s="5">
        <f>(pima_data!A751-MIN(pima_data!$A$1:$A$768))/(MAX(pima_data!$A$1:$A$768)-MIN(pima_data!$A$1:$A$768))</f>
        <v>0.235294117647059</v>
      </c>
      <c r="B751" s="5">
        <f>(pima_data!B751-MIN(pima_data!$B$1:$B$768))/(MAX(pima_data!$B$1:$B$768)-MIN(pima_data!$B$1:$B$768))</f>
        <v>0.683417085427136</v>
      </c>
      <c r="C751" s="5">
        <f>(pima_data!C751-MIN(pima_data!$C$1:$C$768))/(MAX(pima_data!$C$1:$C$768)-MIN(pima_data!$C$1:$C$768))</f>
        <v>0.573770491803279</v>
      </c>
      <c r="D751" s="5">
        <f>(pima_data!D751-MIN(pima_data!$D$1:$D$768))/(MAX(pima_data!$D$1:$D$768)-MIN(pima_data!$D$1:$D$768))</f>
        <v>0</v>
      </c>
      <c r="E751" s="5">
        <f>(pima_data!E751-MIN(pima_data!$E$1:$E$768))/(MAX(pima_data!$E$1:$E$768)-MIN(pima_data!$E$1:$E$768))</f>
        <v>0</v>
      </c>
      <c r="F751" s="5">
        <f>(pima_data!F751-MIN(pima_data!$F$1:$F$768))/(MAX(pima_data!$F$1:$F$768)-MIN(pima_data!$F$1:$F$768))</f>
        <v>0.464977645305514</v>
      </c>
      <c r="G751" s="5">
        <f>(pima_data!G751-MIN(pima_data!$G$1:$G$768))/(MAX(pima_data!$G$1:$G$768)-MIN(pima_data!$G$1:$G$768))</f>
        <v>0.471391972672929</v>
      </c>
      <c r="H751" s="5">
        <f>(pima_data!H751-MIN(pima_data!$H$1:$H$768))/(MAX(pima_data!$H$1:$H$768)-MIN(pima_data!$H$1:$H$768))</f>
        <v>0.0166666666666667</v>
      </c>
    </row>
    <row r="752" spans="1:8">
      <c r="A752" s="5">
        <f>(pima_data!A752-MIN(pima_data!$A$1:$A$768))/(MAX(pima_data!$A$1:$A$768)-MIN(pima_data!$A$1:$A$768))</f>
        <v>0.0588235294117647</v>
      </c>
      <c r="B752" s="5">
        <f>(pima_data!B752-MIN(pima_data!$B$1:$B$768))/(MAX(pima_data!$B$1:$B$768)-MIN(pima_data!$B$1:$B$768))</f>
        <v>0.608040201005025</v>
      </c>
      <c r="C752" s="5">
        <f>(pima_data!C752-MIN(pima_data!$C$1:$C$768))/(MAX(pima_data!$C$1:$C$768)-MIN(pima_data!$C$1:$C$768))</f>
        <v>0.639344262295082</v>
      </c>
      <c r="D752" s="5">
        <f>(pima_data!D752-MIN(pima_data!$D$1:$D$768))/(MAX(pima_data!$D$1:$D$768)-MIN(pima_data!$D$1:$D$768))</f>
        <v>0.393939393939394</v>
      </c>
      <c r="E752" s="5">
        <f>(pima_data!E752-MIN(pima_data!$E$1:$E$768))/(MAX(pima_data!$E$1:$E$768)-MIN(pima_data!$E$1:$E$768))</f>
        <v>0.0874704491725768</v>
      </c>
      <c r="F752" s="5">
        <f>(pima_data!F752-MIN(pima_data!$F$1:$F$768))/(MAX(pima_data!$F$1:$F$768)-MIN(pima_data!$F$1:$F$768))</f>
        <v>0.581222056631893</v>
      </c>
      <c r="G752" s="5">
        <f>(pima_data!G752-MIN(pima_data!$G$1:$G$768))/(MAX(pima_data!$G$1:$G$768)-MIN(pima_data!$G$1:$G$768))</f>
        <v>0.0781383432963279</v>
      </c>
      <c r="H752" s="5">
        <f>(pima_data!H752-MIN(pima_data!$H$1:$H$768))/(MAX(pima_data!$H$1:$H$768)-MIN(pima_data!$H$1:$H$768))</f>
        <v>0.116666666666667</v>
      </c>
    </row>
    <row r="753" spans="1:8">
      <c r="A753" s="5">
        <f>(pima_data!A753-MIN(pima_data!$A$1:$A$768))/(MAX(pima_data!$A$1:$A$768)-MIN(pima_data!$A$1:$A$768))</f>
        <v>0.176470588235294</v>
      </c>
      <c r="B753" s="5">
        <f>(pima_data!B753-MIN(pima_data!$B$1:$B$768))/(MAX(pima_data!$B$1:$B$768)-MIN(pima_data!$B$1:$B$768))</f>
        <v>0.542713567839196</v>
      </c>
      <c r="C753" s="5">
        <f>(pima_data!C753-MIN(pima_data!$C$1:$C$768))/(MAX(pima_data!$C$1:$C$768)-MIN(pima_data!$C$1:$C$768))</f>
        <v>0.508196721311475</v>
      </c>
      <c r="D753" s="5">
        <f>(pima_data!D753-MIN(pima_data!$D$1:$D$768))/(MAX(pima_data!$D$1:$D$768)-MIN(pima_data!$D$1:$D$768))</f>
        <v>0.242424242424242</v>
      </c>
      <c r="E753" s="5">
        <f>(pima_data!E753-MIN(pima_data!$E$1:$E$768))/(MAX(pima_data!$E$1:$E$768)-MIN(pima_data!$E$1:$E$768))</f>
        <v>0</v>
      </c>
      <c r="F753" s="5">
        <f>(pima_data!F753-MIN(pima_data!$F$1:$F$768))/(MAX(pima_data!$F$1:$F$768)-MIN(pima_data!$F$1:$F$768))</f>
        <v>0.387481371087929</v>
      </c>
      <c r="G753" s="5">
        <f>(pima_data!G753-MIN(pima_data!$G$1:$G$768))/(MAX(pima_data!$G$1:$G$768)-MIN(pima_data!$G$1:$G$768))</f>
        <v>0.0619128949615713</v>
      </c>
      <c r="H753" s="5">
        <f>(pima_data!H753-MIN(pima_data!$H$1:$H$768))/(MAX(pima_data!$H$1:$H$768)-MIN(pima_data!$H$1:$H$768))</f>
        <v>0.0666666666666667</v>
      </c>
    </row>
    <row r="754" spans="1:8">
      <c r="A754" s="5">
        <f>(pima_data!A754-MIN(pima_data!$A$1:$A$768))/(MAX(pima_data!$A$1:$A$768)-MIN(pima_data!$A$1:$A$768))</f>
        <v>0</v>
      </c>
      <c r="B754" s="5">
        <f>(pima_data!B754-MIN(pima_data!$B$1:$B$768))/(MAX(pima_data!$B$1:$B$768)-MIN(pima_data!$B$1:$B$768))</f>
        <v>0.909547738693467</v>
      </c>
      <c r="C754" s="5">
        <f>(pima_data!C754-MIN(pima_data!$C$1:$C$768))/(MAX(pima_data!$C$1:$C$768)-MIN(pima_data!$C$1:$C$768))</f>
        <v>0.721311475409836</v>
      </c>
      <c r="D754" s="5">
        <f>(pima_data!D754-MIN(pima_data!$D$1:$D$768))/(MAX(pima_data!$D$1:$D$768)-MIN(pima_data!$D$1:$D$768))</f>
        <v>0.444444444444444</v>
      </c>
      <c r="E754" s="5">
        <f>(pima_data!E754-MIN(pima_data!$E$1:$E$768))/(MAX(pima_data!$E$1:$E$768)-MIN(pima_data!$E$1:$E$768))</f>
        <v>0.602836879432624</v>
      </c>
      <c r="F754" s="5">
        <f>(pima_data!F754-MIN(pima_data!$F$1:$F$768))/(MAX(pima_data!$F$1:$F$768)-MIN(pima_data!$F$1:$F$768))</f>
        <v>0.645305514157973</v>
      </c>
      <c r="G754" s="5">
        <f>(pima_data!G754-MIN(pima_data!$G$1:$G$768))/(MAX(pima_data!$G$1:$G$768)-MIN(pima_data!$G$1:$G$768))</f>
        <v>0.0614859094790777</v>
      </c>
      <c r="H754" s="5">
        <f>(pima_data!H754-MIN(pima_data!$H$1:$H$768))/(MAX(pima_data!$H$1:$H$768)-MIN(pima_data!$H$1:$H$768))</f>
        <v>0.0833333333333333</v>
      </c>
    </row>
    <row r="755" spans="1:8">
      <c r="A755" s="5">
        <f>(pima_data!A755-MIN(pima_data!$A$1:$A$768))/(MAX(pima_data!$A$1:$A$768)-MIN(pima_data!$A$1:$A$768))</f>
        <v>0.470588235294118</v>
      </c>
      <c r="B755" s="5">
        <f>(pima_data!B755-MIN(pima_data!$B$1:$B$768))/(MAX(pima_data!$B$1:$B$768)-MIN(pima_data!$B$1:$B$768))</f>
        <v>0.773869346733668</v>
      </c>
      <c r="C755" s="5">
        <f>(pima_data!C755-MIN(pima_data!$C$1:$C$768))/(MAX(pima_data!$C$1:$C$768)-MIN(pima_data!$C$1:$C$768))</f>
        <v>0.639344262295082</v>
      </c>
      <c r="D755" s="5">
        <f>(pima_data!D755-MIN(pima_data!$D$1:$D$768))/(MAX(pima_data!$D$1:$D$768)-MIN(pima_data!$D$1:$D$768))</f>
        <v>0.323232323232323</v>
      </c>
      <c r="E755" s="5">
        <f>(pima_data!E755-MIN(pima_data!$E$1:$E$768))/(MAX(pima_data!$E$1:$E$768)-MIN(pima_data!$E$1:$E$768))</f>
        <v>0</v>
      </c>
      <c r="F755" s="5">
        <f>(pima_data!F755-MIN(pima_data!$F$1:$F$768))/(MAX(pima_data!$F$1:$F$768)-MIN(pima_data!$F$1:$F$768))</f>
        <v>0.482861400894188</v>
      </c>
      <c r="G755" s="5">
        <f>(pima_data!G755-MIN(pima_data!$G$1:$G$768))/(MAX(pima_data!$G$1:$G$768)-MIN(pima_data!$G$1:$G$768))</f>
        <v>0.155849701110162</v>
      </c>
      <c r="H755" s="5">
        <f>(pima_data!H755-MIN(pima_data!$H$1:$H$768))/(MAX(pima_data!$H$1:$H$768)-MIN(pima_data!$H$1:$H$768))</f>
        <v>0.4</v>
      </c>
    </row>
    <row r="756" spans="1:8">
      <c r="A756" s="5">
        <f>(pima_data!A756-MIN(pima_data!$A$1:$A$768))/(MAX(pima_data!$A$1:$A$768)-MIN(pima_data!$A$1:$A$768))</f>
        <v>0.0588235294117647</v>
      </c>
      <c r="B756" s="5">
        <f>(pima_data!B756-MIN(pima_data!$B$1:$B$768))/(MAX(pima_data!$B$1:$B$768)-MIN(pima_data!$B$1:$B$768))</f>
        <v>0.64321608040201</v>
      </c>
      <c r="C756" s="5">
        <f>(pima_data!C756-MIN(pima_data!$C$1:$C$768))/(MAX(pima_data!$C$1:$C$768)-MIN(pima_data!$C$1:$C$768))</f>
        <v>0.721311475409836</v>
      </c>
      <c r="D756" s="5">
        <f>(pima_data!D756-MIN(pima_data!$D$1:$D$768))/(MAX(pima_data!$D$1:$D$768)-MIN(pima_data!$D$1:$D$768))</f>
        <v>0.393939393939394</v>
      </c>
      <c r="E756" s="5">
        <f>(pima_data!E756-MIN(pima_data!$E$1:$E$768))/(MAX(pima_data!$E$1:$E$768)-MIN(pima_data!$E$1:$E$768))</f>
        <v>0.130023640661939</v>
      </c>
      <c r="F756" s="5">
        <f>(pima_data!F756-MIN(pima_data!$F$1:$F$768))/(MAX(pima_data!$F$1:$F$768)-MIN(pima_data!$F$1:$F$768))</f>
        <v>0.543964232488823</v>
      </c>
      <c r="G756" s="5">
        <f>(pima_data!G756-MIN(pima_data!$G$1:$G$768))/(MAX(pima_data!$G$1:$G$768)-MIN(pima_data!$G$1:$G$768))</f>
        <v>0.41801878736123</v>
      </c>
      <c r="H756" s="5">
        <f>(pima_data!H756-MIN(pima_data!$H$1:$H$768))/(MAX(pima_data!$H$1:$H$768)-MIN(pima_data!$H$1:$H$768))</f>
        <v>0.266666666666667</v>
      </c>
    </row>
    <row r="757" spans="1:8">
      <c r="A757" s="5">
        <f>(pima_data!A757-MIN(pima_data!$A$1:$A$768))/(MAX(pima_data!$A$1:$A$768)-MIN(pima_data!$A$1:$A$768))</f>
        <v>0.411764705882353</v>
      </c>
      <c r="B757" s="5">
        <f>(pima_data!B757-MIN(pima_data!$B$1:$B$768))/(MAX(pima_data!$B$1:$B$768)-MIN(pima_data!$B$1:$B$768))</f>
        <v>0.688442211055276</v>
      </c>
      <c r="C757" s="5">
        <f>(pima_data!C757-MIN(pima_data!$C$1:$C$768))/(MAX(pima_data!$C$1:$C$768)-MIN(pima_data!$C$1:$C$768))</f>
        <v>0.737704918032787</v>
      </c>
      <c r="D757" s="5">
        <f>(pima_data!D757-MIN(pima_data!$D$1:$D$768))/(MAX(pima_data!$D$1:$D$768)-MIN(pima_data!$D$1:$D$768))</f>
        <v>0.414141414141414</v>
      </c>
      <c r="E757" s="5">
        <f>(pima_data!E757-MIN(pima_data!$E$1:$E$768))/(MAX(pima_data!$E$1:$E$768)-MIN(pima_data!$E$1:$E$768))</f>
        <v>0</v>
      </c>
      <c r="F757" s="5">
        <f>(pima_data!F757-MIN(pima_data!$F$1:$F$768))/(MAX(pima_data!$F$1:$F$768)-MIN(pima_data!$F$1:$F$768))</f>
        <v>0.476900149031297</v>
      </c>
      <c r="G757" s="5">
        <f>(pima_data!G757-MIN(pima_data!$G$1:$G$768))/(MAX(pima_data!$G$1:$G$768)-MIN(pima_data!$G$1:$G$768))</f>
        <v>0.133646456020495</v>
      </c>
      <c r="H757" s="5">
        <f>(pima_data!H757-MIN(pima_data!$H$1:$H$768))/(MAX(pima_data!$H$1:$H$768)-MIN(pima_data!$H$1:$H$768))</f>
        <v>0.3</v>
      </c>
    </row>
    <row r="758" spans="1:8">
      <c r="A758" s="5">
        <f>(pima_data!A758-MIN(pima_data!$A$1:$A$768))/(MAX(pima_data!$A$1:$A$768)-MIN(pima_data!$A$1:$A$768))</f>
        <v>0</v>
      </c>
      <c r="B758" s="5">
        <f>(pima_data!B758-MIN(pima_data!$B$1:$B$768))/(MAX(pima_data!$B$1:$B$768)-MIN(pima_data!$B$1:$B$768))</f>
        <v>0.618090452261307</v>
      </c>
      <c r="C758" s="5">
        <f>(pima_data!C758-MIN(pima_data!$C$1:$C$768))/(MAX(pima_data!$C$1:$C$768)-MIN(pima_data!$C$1:$C$768))</f>
        <v>0.590163934426229</v>
      </c>
      <c r="D758" s="5">
        <f>(pima_data!D758-MIN(pima_data!$D$1:$D$768))/(MAX(pima_data!$D$1:$D$768)-MIN(pima_data!$D$1:$D$768))</f>
        <v>0</v>
      </c>
      <c r="E758" s="5">
        <f>(pima_data!E758-MIN(pima_data!$E$1:$E$768))/(MAX(pima_data!$E$1:$E$768)-MIN(pima_data!$E$1:$E$768))</f>
        <v>0</v>
      </c>
      <c r="F758" s="5">
        <f>(pima_data!F758-MIN(pima_data!$F$1:$F$768))/(MAX(pima_data!$F$1:$F$768)-MIN(pima_data!$F$1:$F$768))</f>
        <v>0.540983606557377</v>
      </c>
      <c r="G758" s="5">
        <f>(pima_data!G758-MIN(pima_data!$G$1:$G$768))/(MAX(pima_data!$G$1:$G$768)-MIN(pima_data!$G$1:$G$768))</f>
        <v>0.0768573868488471</v>
      </c>
      <c r="H758" s="5">
        <f>(pima_data!H758-MIN(pima_data!$H$1:$H$768))/(MAX(pima_data!$H$1:$H$768)-MIN(pima_data!$H$1:$H$768))</f>
        <v>0.516666666666667</v>
      </c>
    </row>
    <row r="759" spans="1:8">
      <c r="A759" s="5">
        <f>(pima_data!A759-MIN(pima_data!$A$1:$A$768))/(MAX(pima_data!$A$1:$A$768)-MIN(pima_data!$A$1:$A$768))</f>
        <v>0.0588235294117647</v>
      </c>
      <c r="B759" s="5">
        <f>(pima_data!B759-MIN(pima_data!$B$1:$B$768))/(MAX(pima_data!$B$1:$B$768)-MIN(pima_data!$B$1:$B$768))</f>
        <v>0.532663316582915</v>
      </c>
      <c r="C759" s="5">
        <f>(pima_data!C759-MIN(pima_data!$C$1:$C$768))/(MAX(pima_data!$C$1:$C$768)-MIN(pima_data!$C$1:$C$768))</f>
        <v>0.622950819672131</v>
      </c>
      <c r="D759" s="5">
        <f>(pima_data!D759-MIN(pima_data!$D$1:$D$768))/(MAX(pima_data!$D$1:$D$768)-MIN(pima_data!$D$1:$D$768))</f>
        <v>0</v>
      </c>
      <c r="E759" s="5">
        <f>(pima_data!E759-MIN(pima_data!$E$1:$E$768))/(MAX(pima_data!$E$1:$E$768)-MIN(pima_data!$E$1:$E$768))</f>
        <v>0</v>
      </c>
      <c r="F759" s="5">
        <f>(pima_data!F759-MIN(pima_data!$F$1:$F$768))/(MAX(pima_data!$F$1:$F$768)-MIN(pima_data!$F$1:$F$768))</f>
        <v>0.558867362146051</v>
      </c>
      <c r="G759" s="5">
        <f>(pima_data!G759-MIN(pima_data!$G$1:$G$768))/(MAX(pima_data!$G$1:$G$768)-MIN(pima_data!$G$1:$G$768))</f>
        <v>0.0508112724167378</v>
      </c>
      <c r="H759" s="5">
        <f>(pima_data!H759-MIN(pima_data!$H$1:$H$768))/(MAX(pima_data!$H$1:$H$768)-MIN(pima_data!$H$1:$H$768))</f>
        <v>0.0833333333333333</v>
      </c>
    </row>
    <row r="760" spans="1:8">
      <c r="A760" s="5">
        <f>(pima_data!A760-MIN(pima_data!$A$1:$A$768))/(MAX(pima_data!$A$1:$A$768)-MIN(pima_data!$A$1:$A$768))</f>
        <v>0.352941176470588</v>
      </c>
      <c r="B760" s="5">
        <f>(pima_data!B760-MIN(pima_data!$B$1:$B$768))/(MAX(pima_data!$B$1:$B$768)-MIN(pima_data!$B$1:$B$768))</f>
        <v>0.954773869346734</v>
      </c>
      <c r="C760" s="5">
        <f>(pima_data!C760-MIN(pima_data!$C$1:$C$768))/(MAX(pima_data!$C$1:$C$768)-MIN(pima_data!$C$1:$C$768))</f>
        <v>0.754098360655738</v>
      </c>
      <c r="D760" s="5">
        <f>(pima_data!D760-MIN(pima_data!$D$1:$D$768))/(MAX(pima_data!$D$1:$D$768)-MIN(pima_data!$D$1:$D$768))</f>
        <v>0</v>
      </c>
      <c r="E760" s="5">
        <f>(pima_data!E760-MIN(pima_data!$E$1:$E$768))/(MAX(pima_data!$E$1:$E$768)-MIN(pima_data!$E$1:$E$768))</f>
        <v>0</v>
      </c>
      <c r="F760" s="5">
        <f>(pima_data!F760-MIN(pima_data!$F$1:$F$768))/(MAX(pima_data!$F$1:$F$768)-MIN(pima_data!$F$1:$F$768))</f>
        <v>0.529061102831595</v>
      </c>
      <c r="G760" s="5">
        <f>(pima_data!G760-MIN(pima_data!$G$1:$G$768))/(MAX(pima_data!$G$1:$G$768)-MIN(pima_data!$G$1:$G$768))</f>
        <v>0.085397096498719</v>
      </c>
      <c r="H760" s="5">
        <f>(pima_data!H760-MIN(pima_data!$H$1:$H$768))/(MAX(pima_data!$H$1:$H$768)-MIN(pima_data!$H$1:$H$768))</f>
        <v>0.75</v>
      </c>
    </row>
    <row r="761" spans="1:8">
      <c r="A761" s="5">
        <f>(pima_data!A761-MIN(pima_data!$A$1:$A$768))/(MAX(pima_data!$A$1:$A$768)-MIN(pima_data!$A$1:$A$768))</f>
        <v>0.117647058823529</v>
      </c>
      <c r="B761" s="5">
        <f>(pima_data!B761-MIN(pima_data!$B$1:$B$768))/(MAX(pima_data!$B$1:$B$768)-MIN(pima_data!$B$1:$B$768))</f>
        <v>0.442211055276382</v>
      </c>
      <c r="C761" s="5">
        <f>(pima_data!C761-MIN(pima_data!$C$1:$C$768))/(MAX(pima_data!$C$1:$C$768)-MIN(pima_data!$C$1:$C$768))</f>
        <v>0.475409836065574</v>
      </c>
      <c r="D761" s="5">
        <f>(pima_data!D761-MIN(pima_data!$D$1:$D$768))/(MAX(pima_data!$D$1:$D$768)-MIN(pima_data!$D$1:$D$768))</f>
        <v>0.262626262626263</v>
      </c>
      <c r="E761" s="5">
        <f>(pima_data!E761-MIN(pima_data!$E$1:$E$768))/(MAX(pima_data!$E$1:$E$768)-MIN(pima_data!$E$1:$E$768))</f>
        <v>0.0189125295508274</v>
      </c>
      <c r="F761" s="5">
        <f>(pima_data!F761-MIN(pima_data!$F$1:$F$768))/(MAX(pima_data!$F$1:$F$768)-MIN(pima_data!$F$1:$F$768))</f>
        <v>0.423248882265276</v>
      </c>
      <c r="G761" s="5">
        <f>(pima_data!G761-MIN(pima_data!$G$1:$G$768))/(MAX(pima_data!$G$1:$G$768)-MIN(pima_data!$G$1:$G$768))</f>
        <v>0.293766011955594</v>
      </c>
      <c r="H761" s="5">
        <f>(pima_data!H761-MIN(pima_data!$H$1:$H$768))/(MAX(pima_data!$H$1:$H$768)-MIN(pima_data!$H$1:$H$768))</f>
        <v>0.0166666666666667</v>
      </c>
    </row>
    <row r="762" spans="1:8">
      <c r="A762" s="5">
        <f>(pima_data!A762-MIN(pima_data!$A$1:$A$768))/(MAX(pima_data!$A$1:$A$768)-MIN(pima_data!$A$1:$A$768))</f>
        <v>0.529411764705882</v>
      </c>
      <c r="B762" s="5">
        <f>(pima_data!B762-MIN(pima_data!$B$1:$B$768))/(MAX(pima_data!$B$1:$B$768)-MIN(pima_data!$B$1:$B$768))</f>
        <v>0.85427135678392</v>
      </c>
      <c r="C762" s="5">
        <f>(pima_data!C762-MIN(pima_data!$C$1:$C$768))/(MAX(pima_data!$C$1:$C$768)-MIN(pima_data!$C$1:$C$768))</f>
        <v>0.60655737704918</v>
      </c>
      <c r="D762" s="5">
        <f>(pima_data!D762-MIN(pima_data!$D$1:$D$768))/(MAX(pima_data!$D$1:$D$768)-MIN(pima_data!$D$1:$D$768))</f>
        <v>0.313131313131313</v>
      </c>
      <c r="E762" s="5">
        <f>(pima_data!E762-MIN(pima_data!$E$1:$E$768))/(MAX(pima_data!$E$1:$E$768)-MIN(pima_data!$E$1:$E$768))</f>
        <v>0</v>
      </c>
      <c r="F762" s="5">
        <f>(pima_data!F762-MIN(pima_data!$F$1:$F$768))/(MAX(pima_data!$F$1:$F$768)-MIN(pima_data!$F$1:$F$768))</f>
        <v>0.655737704918033</v>
      </c>
      <c r="G762" s="5">
        <f>(pima_data!G762-MIN(pima_data!$G$1:$G$768))/(MAX(pima_data!$G$1:$G$768)-MIN(pima_data!$G$1:$G$768))</f>
        <v>0.138770281810418</v>
      </c>
      <c r="H762" s="5">
        <f>(pima_data!H762-MIN(pima_data!$H$1:$H$768))/(MAX(pima_data!$H$1:$H$768)-MIN(pima_data!$H$1:$H$768))</f>
        <v>0.366666666666667</v>
      </c>
    </row>
    <row r="763" spans="1:8">
      <c r="A763" s="5">
        <f>(pima_data!A763-MIN(pima_data!$A$1:$A$768))/(MAX(pima_data!$A$1:$A$768)-MIN(pima_data!$A$1:$A$768))</f>
        <v>0.529411764705882</v>
      </c>
      <c r="B763" s="5">
        <f>(pima_data!B763-MIN(pima_data!$B$1:$B$768))/(MAX(pima_data!$B$1:$B$768)-MIN(pima_data!$B$1:$B$768))</f>
        <v>0.447236180904523</v>
      </c>
      <c r="C763" s="5">
        <f>(pima_data!C763-MIN(pima_data!$C$1:$C$768))/(MAX(pima_data!$C$1:$C$768)-MIN(pima_data!$C$1:$C$768))</f>
        <v>0.508196721311475</v>
      </c>
      <c r="D763" s="5">
        <f>(pima_data!D763-MIN(pima_data!$D$1:$D$768))/(MAX(pima_data!$D$1:$D$768)-MIN(pima_data!$D$1:$D$768))</f>
        <v>0</v>
      </c>
      <c r="E763" s="5">
        <f>(pima_data!E763-MIN(pima_data!$E$1:$E$768))/(MAX(pima_data!$E$1:$E$768)-MIN(pima_data!$E$1:$E$768))</f>
        <v>0</v>
      </c>
      <c r="F763" s="5">
        <f>(pima_data!F763-MIN(pima_data!$F$1:$F$768))/(MAX(pima_data!$F$1:$F$768)-MIN(pima_data!$F$1:$F$768))</f>
        <v>0.33532041728763</v>
      </c>
      <c r="G763" s="5">
        <f>(pima_data!G763-MIN(pima_data!$G$1:$G$768))/(MAX(pima_data!$G$1:$G$768)-MIN(pima_data!$G$1:$G$768))</f>
        <v>0.0273270708795901</v>
      </c>
      <c r="H763" s="5">
        <f>(pima_data!H763-MIN(pima_data!$H$1:$H$768))/(MAX(pima_data!$H$1:$H$768)-MIN(pima_data!$H$1:$H$768))</f>
        <v>0.2</v>
      </c>
    </row>
    <row r="764" spans="1:8">
      <c r="A764" s="5">
        <f>(pima_data!A764-MIN(pima_data!$A$1:$A$768))/(MAX(pima_data!$A$1:$A$768)-MIN(pima_data!$A$1:$A$768))</f>
        <v>0.588235294117647</v>
      </c>
      <c r="B764" s="5">
        <f>(pima_data!B764-MIN(pima_data!$B$1:$B$768))/(MAX(pima_data!$B$1:$B$768)-MIN(pima_data!$B$1:$B$768))</f>
        <v>0.507537688442211</v>
      </c>
      <c r="C764" s="5">
        <f>(pima_data!C764-MIN(pima_data!$C$1:$C$768))/(MAX(pima_data!$C$1:$C$768)-MIN(pima_data!$C$1:$C$768))</f>
        <v>0.622950819672131</v>
      </c>
      <c r="D764" s="5">
        <f>(pima_data!D764-MIN(pima_data!$D$1:$D$768))/(MAX(pima_data!$D$1:$D$768)-MIN(pima_data!$D$1:$D$768))</f>
        <v>0.484848484848485</v>
      </c>
      <c r="E764" s="5">
        <f>(pima_data!E764-MIN(pima_data!$E$1:$E$768))/(MAX(pima_data!$E$1:$E$768)-MIN(pima_data!$E$1:$E$768))</f>
        <v>0.212765957446809</v>
      </c>
      <c r="F764" s="5">
        <f>(pima_data!F764-MIN(pima_data!$F$1:$F$768))/(MAX(pima_data!$F$1:$F$768)-MIN(pima_data!$F$1:$F$768))</f>
        <v>0.490312965722802</v>
      </c>
      <c r="G764" s="5">
        <f>(pima_data!G764-MIN(pima_data!$G$1:$G$768))/(MAX(pima_data!$G$1:$G$768)-MIN(pima_data!$G$1:$G$768))</f>
        <v>0.0397096498719044</v>
      </c>
      <c r="H764" s="5">
        <f>(pima_data!H764-MIN(pima_data!$H$1:$H$768))/(MAX(pima_data!$H$1:$H$768)-MIN(pima_data!$H$1:$H$768))</f>
        <v>0.7</v>
      </c>
    </row>
    <row r="765" spans="1:8">
      <c r="A765" s="5">
        <f>(pima_data!A765-MIN(pima_data!$A$1:$A$768))/(MAX(pima_data!$A$1:$A$768)-MIN(pima_data!$A$1:$A$768))</f>
        <v>0.117647058823529</v>
      </c>
      <c r="B765" s="5">
        <f>(pima_data!B765-MIN(pima_data!$B$1:$B$768))/(MAX(pima_data!$B$1:$B$768)-MIN(pima_data!$B$1:$B$768))</f>
        <v>0.613065326633166</v>
      </c>
      <c r="C765" s="5">
        <f>(pima_data!C765-MIN(pima_data!$C$1:$C$768))/(MAX(pima_data!$C$1:$C$768)-MIN(pima_data!$C$1:$C$768))</f>
        <v>0.573770491803279</v>
      </c>
      <c r="D765" s="5">
        <f>(pima_data!D765-MIN(pima_data!$D$1:$D$768))/(MAX(pima_data!$D$1:$D$768)-MIN(pima_data!$D$1:$D$768))</f>
        <v>0.272727272727273</v>
      </c>
      <c r="E765" s="5">
        <f>(pima_data!E765-MIN(pima_data!$E$1:$E$768))/(MAX(pima_data!$E$1:$E$768)-MIN(pima_data!$E$1:$E$768))</f>
        <v>0</v>
      </c>
      <c r="F765" s="5">
        <f>(pima_data!F765-MIN(pima_data!$F$1:$F$768))/(MAX(pima_data!$F$1:$F$768)-MIN(pima_data!$F$1:$F$768))</f>
        <v>0.548435171385991</v>
      </c>
      <c r="G765" s="5">
        <f>(pima_data!G765-MIN(pima_data!$G$1:$G$768))/(MAX(pima_data!$G$1:$G$768)-MIN(pima_data!$G$1:$G$768))</f>
        <v>0.111870196413322</v>
      </c>
      <c r="H765" s="5">
        <f>(pima_data!H765-MIN(pima_data!$H$1:$H$768))/(MAX(pima_data!$H$1:$H$768)-MIN(pima_data!$H$1:$H$768))</f>
        <v>0.1</v>
      </c>
    </row>
    <row r="766" spans="1:8">
      <c r="A766" s="5">
        <f>(pima_data!A766-MIN(pima_data!$A$1:$A$768))/(MAX(pima_data!$A$1:$A$768)-MIN(pima_data!$A$1:$A$768))</f>
        <v>0.294117647058824</v>
      </c>
      <c r="B766" s="5">
        <f>(pima_data!B766-MIN(pima_data!$B$1:$B$768))/(MAX(pima_data!$B$1:$B$768)-MIN(pima_data!$B$1:$B$768))</f>
        <v>0.608040201005025</v>
      </c>
      <c r="C766" s="5">
        <f>(pima_data!C766-MIN(pima_data!$C$1:$C$768))/(MAX(pima_data!$C$1:$C$768)-MIN(pima_data!$C$1:$C$768))</f>
        <v>0.590163934426229</v>
      </c>
      <c r="D766" s="5">
        <f>(pima_data!D766-MIN(pima_data!$D$1:$D$768))/(MAX(pima_data!$D$1:$D$768)-MIN(pima_data!$D$1:$D$768))</f>
        <v>0.232323232323232</v>
      </c>
      <c r="E766" s="5">
        <f>(pima_data!E766-MIN(pima_data!$E$1:$E$768))/(MAX(pima_data!$E$1:$E$768)-MIN(pima_data!$E$1:$E$768))</f>
        <v>0.132387706855792</v>
      </c>
      <c r="F766" s="5">
        <f>(pima_data!F766-MIN(pima_data!$F$1:$F$768))/(MAX(pima_data!$F$1:$F$768)-MIN(pima_data!$F$1:$F$768))</f>
        <v>0.390461997019374</v>
      </c>
      <c r="G766" s="5">
        <f>(pima_data!G766-MIN(pima_data!$G$1:$G$768))/(MAX(pima_data!$G$1:$G$768)-MIN(pima_data!$G$1:$G$768))</f>
        <v>0.0713065755764304</v>
      </c>
      <c r="H766" s="5">
        <f>(pima_data!H766-MIN(pima_data!$H$1:$H$768))/(MAX(pima_data!$H$1:$H$768)-MIN(pima_data!$H$1:$H$768))</f>
        <v>0.15</v>
      </c>
    </row>
    <row r="767" spans="1:8">
      <c r="A767" s="5">
        <f>(pima_data!A767-MIN(pima_data!$A$1:$A$768))/(MAX(pima_data!$A$1:$A$768)-MIN(pima_data!$A$1:$A$768))</f>
        <v>0.0588235294117647</v>
      </c>
      <c r="B767" s="5">
        <f>(pima_data!B767-MIN(pima_data!$B$1:$B$768))/(MAX(pima_data!$B$1:$B$768)-MIN(pima_data!$B$1:$B$768))</f>
        <v>0.633165829145729</v>
      </c>
      <c r="C767" s="5">
        <f>(pima_data!C767-MIN(pima_data!$C$1:$C$768))/(MAX(pima_data!$C$1:$C$768)-MIN(pima_data!$C$1:$C$768))</f>
        <v>0.491803278688525</v>
      </c>
      <c r="D767" s="5">
        <f>(pima_data!D767-MIN(pima_data!$D$1:$D$768))/(MAX(pima_data!$D$1:$D$768)-MIN(pima_data!$D$1:$D$768))</f>
        <v>0</v>
      </c>
      <c r="E767" s="5">
        <f>(pima_data!E767-MIN(pima_data!$E$1:$E$768))/(MAX(pima_data!$E$1:$E$768)-MIN(pima_data!$E$1:$E$768))</f>
        <v>0</v>
      </c>
      <c r="F767" s="5">
        <f>(pima_data!F767-MIN(pima_data!$F$1:$F$768))/(MAX(pima_data!$F$1:$F$768)-MIN(pima_data!$F$1:$F$768))</f>
        <v>0.448584202682563</v>
      </c>
      <c r="G767" s="5">
        <f>(pima_data!G767-MIN(pima_data!$G$1:$G$768))/(MAX(pima_data!$G$1:$G$768)-MIN(pima_data!$G$1:$G$768))</f>
        <v>0.115713065755764</v>
      </c>
      <c r="H767" s="5">
        <f>(pima_data!H767-MIN(pima_data!$H$1:$H$768))/(MAX(pima_data!$H$1:$H$768)-MIN(pima_data!$H$1:$H$768))</f>
        <v>0.433333333333333</v>
      </c>
    </row>
    <row r="768" spans="1:8">
      <c r="A768" s="5">
        <f>(pima_data!A768-MIN(pima_data!$A$1:$A$768))/(MAX(pima_data!$A$1:$A$768)-MIN(pima_data!$A$1:$A$768))</f>
        <v>0.0588235294117647</v>
      </c>
      <c r="B768" s="5">
        <f>(pima_data!B768-MIN(pima_data!$B$1:$B$768))/(MAX(pima_data!$B$1:$B$768)-MIN(pima_data!$B$1:$B$768))</f>
        <v>0.467336683417085</v>
      </c>
      <c r="C768" s="5">
        <f>(pima_data!C768-MIN(pima_data!$C$1:$C$768))/(MAX(pima_data!$C$1:$C$768)-MIN(pima_data!$C$1:$C$768))</f>
        <v>0.573770491803279</v>
      </c>
      <c r="D768" s="5">
        <f>(pima_data!D768-MIN(pima_data!$D$1:$D$768))/(MAX(pima_data!$D$1:$D$768)-MIN(pima_data!$D$1:$D$768))</f>
        <v>0.313131313131313</v>
      </c>
      <c r="E768" s="5">
        <f>(pima_data!E768-MIN(pima_data!$E$1:$E$768))/(MAX(pima_data!$E$1:$E$768)-MIN(pima_data!$E$1:$E$768))</f>
        <v>0</v>
      </c>
      <c r="F768" s="5">
        <f>(pima_data!F768-MIN(pima_data!$F$1:$F$768))/(MAX(pima_data!$F$1:$F$768)-MIN(pima_data!$F$1:$F$768))</f>
        <v>0.453055141579732</v>
      </c>
      <c r="G768" s="5">
        <f>(pima_data!G768-MIN(pima_data!$G$1:$G$768))/(MAX(pima_data!$G$1:$G$768)-MIN(pima_data!$G$1:$G$768))</f>
        <v>0.101195559350982</v>
      </c>
      <c r="H768" s="5">
        <f>(pima_data!H768-MIN(pima_data!$H$1:$H$768))/(MAX(pima_data!$H$1:$H$768)-MIN(pima_data!$H$1:$H$768))</f>
        <v>0.0333333333333333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8"/>
  <sheetViews>
    <sheetView workbookViewId="0">
      <pane xSplit="3" ySplit="8" topLeftCell="D750" activePane="bottomRight" state="frozen"/>
      <selection/>
      <selection pane="topRight"/>
      <selection pane="bottomLeft"/>
      <selection pane="bottomRight" activeCell="Q771" sqref="Q771"/>
    </sheetView>
  </sheetViews>
  <sheetFormatPr defaultColWidth="9" defaultRowHeight="13.5" outlineLevelCol="7"/>
  <cols>
    <col min="1" max="8" width="8.375" customWidth="1"/>
  </cols>
  <sheetData>
    <row r="1" spans="1:8">
      <c r="A1" s="5">
        <f>(pima_data!A1-AVERAGE(pima_data!$A$1:$A$768))/_xlfn.STDEV.P(pima_data!$A$1:$A$768)</f>
        <v>0.639947260159362</v>
      </c>
      <c r="B1" s="5">
        <f>(pima_data!B1-AVERAGE(pima_data!$B$1:$B$768))/_xlfn.STDEV.P(pima_data!$B$1:$B$768)</f>
        <v>0.848323794627188</v>
      </c>
      <c r="C1" s="5">
        <f>(pima_data!C1-AVERAGE(pima_data!$C$1:$C$768))/_xlfn.STDEV.P(pima_data!$C$1:$C$768)</f>
        <v>0.149640752628208</v>
      </c>
      <c r="D1" s="5">
        <f>(pima_data!D1-AVERAGE(pima_data!$D$1:$D$768))/_xlfn.STDEV.P(pima_data!$D$1:$D$768)</f>
        <v>0.907269925272359</v>
      </c>
      <c r="E1" s="5">
        <f>(pima_data!E1-AVERAGE(pima_data!$E$1:$E$768))/_xlfn.STDEV.P(pima_data!$E$1:$E$768)</f>
        <v>-0.692890572295466</v>
      </c>
      <c r="F1" s="5">
        <f>(pima_data!F1-AVERAGE(pima_data!$F$1:$F$768))/_xlfn.STDEV.P(pima_data!$F$1:$F$768)</f>
        <v>0.204012771346264</v>
      </c>
      <c r="G1" s="5">
        <f>(pima_data!G1-AVERAGE(pima_data!$G$1:$G$768))/_xlfn.STDEV.P(pima_data!$G$1:$G$768)</f>
        <v>0.468491977378655</v>
      </c>
      <c r="H1" s="5">
        <f>(pima_data!H1-AVERAGE(pima_data!$H$1:$H$768))/_xlfn.STDEV.P(pima_data!$H$1:$H$768)</f>
        <v>1.42599540442285</v>
      </c>
    </row>
    <row r="2" spans="1:8">
      <c r="A2" s="5">
        <f>(pima_data!A2-AVERAGE(pima_data!$A$1:$A$768))/_xlfn.STDEV.P(pima_data!$A$1:$A$768)</f>
        <v>-0.844885053443025</v>
      </c>
      <c r="B2" s="5">
        <f>(pima_data!B2-AVERAGE(pima_data!$B$1:$B$768))/_xlfn.STDEV.P(pima_data!$B$1:$B$768)</f>
        <v>-1.12339636097842</v>
      </c>
      <c r="C2" s="5">
        <f>(pima_data!C2-AVERAGE(pima_data!$C$1:$C$768))/_xlfn.STDEV.P(pima_data!$C$1:$C$768)</f>
        <v>-0.160545746746863</v>
      </c>
      <c r="D2" s="5">
        <f>(pima_data!D2-AVERAGE(pima_data!$D$1:$D$768))/_xlfn.STDEV.P(pima_data!$D$1:$D$768)</f>
        <v>0.530901558720772</v>
      </c>
      <c r="E2" s="5">
        <f>(pima_data!E2-AVERAGE(pima_data!$E$1:$E$768))/_xlfn.STDEV.P(pima_data!$E$1:$E$768)</f>
        <v>-0.692890572295466</v>
      </c>
      <c r="F2" s="5">
        <f>(pima_data!F2-AVERAGE(pima_data!$F$1:$F$768))/_xlfn.STDEV.P(pima_data!$F$1:$F$768)</f>
        <v>-0.684421946156772</v>
      </c>
      <c r="G2" s="5">
        <f>(pima_data!G2-AVERAGE(pima_data!$G$1:$G$768))/_xlfn.STDEV.P(pima_data!$G$1:$G$768)</f>
        <v>-0.365060777571598</v>
      </c>
      <c r="H2" s="5">
        <f>(pima_data!H2-AVERAGE(pima_data!$H$1:$H$768))/_xlfn.STDEV.P(pima_data!$H$1:$H$768)</f>
        <v>-0.190671905136486</v>
      </c>
    </row>
    <row r="3" spans="1:8">
      <c r="A3" s="5">
        <f>(pima_data!A3-AVERAGE(pima_data!$A$1:$A$768))/_xlfn.STDEV.P(pima_data!$A$1:$A$768)</f>
        <v>1.23388018560032</v>
      </c>
      <c r="B3" s="5">
        <f>(pima_data!B3-AVERAGE(pima_data!$B$1:$B$768))/_xlfn.STDEV.P(pima_data!$B$1:$B$768)</f>
        <v>1.94372388107475</v>
      </c>
      <c r="C3" s="5">
        <f>(pima_data!C3-AVERAGE(pima_data!$C$1:$C$768))/_xlfn.STDEV.P(pima_data!$C$1:$C$768)</f>
        <v>-0.263941246538553</v>
      </c>
      <c r="D3" s="5">
        <f>(pima_data!D3-AVERAGE(pima_data!$D$1:$D$768))/_xlfn.STDEV.P(pima_data!$D$1:$D$768)</f>
        <v>-1.28821221294523</v>
      </c>
      <c r="E3" s="5">
        <f>(pima_data!E3-AVERAGE(pima_data!$E$1:$E$768))/_xlfn.STDEV.P(pima_data!$E$1:$E$768)</f>
        <v>-0.692890572295466</v>
      </c>
      <c r="F3" s="5">
        <f>(pima_data!F3-AVERAGE(pima_data!$F$1:$F$768))/_xlfn.STDEV.P(pima_data!$F$1:$F$768)</f>
        <v>-1.10325545583677</v>
      </c>
      <c r="G3" s="5">
        <f>(pima_data!G3-AVERAGE(pima_data!$G$1:$G$768))/_xlfn.STDEV.P(pima_data!$G$1:$G$768)</f>
        <v>0.604397317859675</v>
      </c>
      <c r="H3" s="5">
        <f>(pima_data!H3-AVERAGE(pima_data!$H$1:$H$768))/_xlfn.STDEV.P(pima_data!$H$1:$H$768)</f>
        <v>-0.105584152001785</v>
      </c>
    </row>
    <row r="4" spans="1:8">
      <c r="A4" s="5">
        <f>(pima_data!A4-AVERAGE(pima_data!$A$1:$A$768))/_xlfn.STDEV.P(pima_data!$A$1:$A$768)</f>
        <v>-0.844885053443025</v>
      </c>
      <c r="B4" s="5">
        <f>(pima_data!B4-AVERAGE(pima_data!$B$1:$B$768))/_xlfn.STDEV.P(pima_data!$B$1:$B$768)</f>
        <v>-0.998207779670124</v>
      </c>
      <c r="C4" s="5">
        <f>(pima_data!C4-AVERAGE(pima_data!$C$1:$C$768))/_xlfn.STDEV.P(pima_data!$C$1:$C$768)</f>
        <v>-0.160545746746863</v>
      </c>
      <c r="D4" s="5">
        <f>(pima_data!D4-AVERAGE(pima_data!$D$1:$D$768))/_xlfn.STDEV.P(pima_data!$D$1:$D$768)</f>
        <v>0.154533192169185</v>
      </c>
      <c r="E4" s="5">
        <f>(pima_data!E4-AVERAGE(pima_data!$E$1:$E$768))/_xlfn.STDEV.P(pima_data!$E$1:$E$768)</f>
        <v>0.123301644444969</v>
      </c>
      <c r="F4" s="5">
        <f>(pima_data!F4-AVERAGE(pima_data!$F$1:$F$768))/_xlfn.STDEV.P(pima_data!$F$1:$F$768)</f>
        <v>-0.494043078120407</v>
      </c>
      <c r="G4" s="5">
        <f>(pima_data!G4-AVERAGE(pima_data!$G$1:$G$768))/_xlfn.STDEV.P(pima_data!$G$1:$G$768)</f>
        <v>-0.9207626142051</v>
      </c>
      <c r="H4" s="5">
        <f>(pima_data!H4-AVERAGE(pima_data!$H$1:$H$768))/_xlfn.STDEV.P(pima_data!$H$1:$H$768)</f>
        <v>-1.0415494364835</v>
      </c>
    </row>
    <row r="5" spans="1:8">
      <c r="A5" s="5">
        <f>(pima_data!A5-AVERAGE(pima_data!$A$1:$A$768))/_xlfn.STDEV.P(pima_data!$A$1:$A$768)</f>
        <v>-1.1418515161635</v>
      </c>
      <c r="B5" s="5">
        <f>(pima_data!B5-AVERAGE(pima_data!$B$1:$B$768))/_xlfn.STDEV.P(pima_data!$B$1:$B$768)</f>
        <v>0.504055196029384</v>
      </c>
      <c r="C5" s="5">
        <f>(pima_data!C5-AVERAGE(pima_data!$C$1:$C$768))/_xlfn.STDEV.P(pima_data!$C$1:$C$768)</f>
        <v>-1.50468724403884</v>
      </c>
      <c r="D5" s="5">
        <f>(pima_data!D5-AVERAGE(pima_data!$D$1:$D$768))/_xlfn.STDEV.P(pima_data!$D$1:$D$768)</f>
        <v>0.907269925272359</v>
      </c>
      <c r="E5" s="5">
        <f>(pima_data!E5-AVERAGE(pima_data!$E$1:$E$768))/_xlfn.STDEV.P(pima_data!$E$1:$E$768)</f>
        <v>0.765835942729992</v>
      </c>
      <c r="F5" s="5">
        <f>(pima_data!F5-AVERAGE(pima_data!$F$1:$F$768))/_xlfn.STDEV.P(pima_data!$F$1:$F$768)</f>
        <v>1.40974560224324</v>
      </c>
      <c r="G5" s="5">
        <f>(pima_data!G5-AVERAGE(pima_data!$G$1:$G$768))/_xlfn.STDEV.P(pima_data!$G$1:$G$768)</f>
        <v>5.48490910046695</v>
      </c>
      <c r="H5" s="5">
        <f>(pima_data!H5-AVERAGE(pima_data!$H$1:$H$768))/_xlfn.STDEV.P(pima_data!$H$1:$H$768)</f>
        <v>-0.0204963988670829</v>
      </c>
    </row>
    <row r="6" spans="1:8">
      <c r="A6" s="5">
        <f>(pima_data!A6-AVERAGE(pima_data!$A$1:$A$768))/_xlfn.STDEV.P(pima_data!$A$1:$A$768)</f>
        <v>0.342980797438884</v>
      </c>
      <c r="B6" s="5">
        <f>(pima_data!B6-AVERAGE(pima_data!$B$1:$B$768))/_xlfn.STDEV.P(pima_data!$B$1:$B$768)</f>
        <v>-0.153184855839151</v>
      </c>
      <c r="C6" s="5">
        <f>(pima_data!C6-AVERAGE(pima_data!$C$1:$C$768))/_xlfn.STDEV.P(pima_data!$C$1:$C$768)</f>
        <v>0.253036252419898</v>
      </c>
      <c r="D6" s="5">
        <f>(pima_data!D6-AVERAGE(pima_data!$D$1:$D$768))/_xlfn.STDEV.P(pima_data!$D$1:$D$768)</f>
        <v>-1.28821221294523</v>
      </c>
      <c r="E6" s="5">
        <f>(pima_data!E6-AVERAGE(pima_data!$E$1:$E$768))/_xlfn.STDEV.P(pima_data!$E$1:$E$768)</f>
        <v>-0.692890572295466</v>
      </c>
      <c r="F6" s="5">
        <f>(pima_data!F6-AVERAGE(pima_data!$F$1:$F$768))/_xlfn.STDEV.P(pima_data!$F$1:$F$768)</f>
        <v>-0.811341191514348</v>
      </c>
      <c r="G6" s="5">
        <f>(pima_data!G6-AVERAGE(pima_data!$G$1:$G$768))/_xlfn.STDEV.P(pima_data!$G$1:$G$768)</f>
        <v>-0.818078579174996</v>
      </c>
      <c r="H6" s="5">
        <f>(pima_data!H6-AVERAGE(pima_data!$H$1:$H$768))/_xlfn.STDEV.P(pima_data!$H$1:$H$768)</f>
        <v>-0.275759658271188</v>
      </c>
    </row>
    <row r="7" spans="1:8">
      <c r="A7" s="5">
        <f>(pima_data!A7-AVERAGE(pima_data!$A$1:$A$768))/_xlfn.STDEV.P(pima_data!$A$1:$A$768)</f>
        <v>-0.25095212800207</v>
      </c>
      <c r="B7" s="5">
        <f>(pima_data!B7-AVERAGE(pima_data!$B$1:$B$768))/_xlfn.STDEV.P(pima_data!$B$1:$B$768)</f>
        <v>-1.34247637826793</v>
      </c>
      <c r="C7" s="5">
        <f>(pima_data!C7-AVERAGE(pima_data!$C$1:$C$768))/_xlfn.STDEV.P(pima_data!$C$1:$C$768)</f>
        <v>-0.987709745080385</v>
      </c>
      <c r="D7" s="5">
        <f>(pima_data!D7-AVERAGE(pima_data!$D$1:$D$768))/_xlfn.STDEV.P(pima_data!$D$1:$D$768)</f>
        <v>0.719085741996565</v>
      </c>
      <c r="E7" s="5">
        <f>(pima_data!E7-AVERAGE(pima_data!$E$1:$E$768))/_xlfn.STDEV.P(pima_data!$E$1:$E$768)</f>
        <v>0.0712042689083452</v>
      </c>
      <c r="F7" s="5">
        <f>(pima_data!F7-AVERAGE(pima_data!$F$1:$F$768))/_xlfn.STDEV.P(pima_data!$F$1:$F$768)</f>
        <v>-0.125977266583435</v>
      </c>
      <c r="G7" s="5">
        <f>(pima_data!G7-AVERAGE(pima_data!$G$1:$G$768))/_xlfn.STDEV.P(pima_data!$G$1:$G$768)</f>
        <v>-0.676133001339265</v>
      </c>
      <c r="H7" s="5">
        <f>(pima_data!H7-AVERAGE(pima_data!$H$1:$H$768))/_xlfn.STDEV.P(pima_data!$H$1:$H$768)</f>
        <v>-0.616110670809994</v>
      </c>
    </row>
    <row r="8" spans="1:8">
      <c r="A8" s="5">
        <f>(pima_data!A8-AVERAGE(pima_data!$A$1:$A$768))/_xlfn.STDEV.P(pima_data!$A$1:$A$768)</f>
        <v>1.82781311104127</v>
      </c>
      <c r="B8" s="5">
        <f>(pima_data!B8-AVERAGE(pima_data!$B$1:$B$768))/_xlfn.STDEV.P(pima_data!$B$1:$B$768)</f>
        <v>-0.184482001166224</v>
      </c>
      <c r="C8" s="5">
        <f>(pima_data!C8-AVERAGE(pima_data!$C$1:$C$768))/_xlfn.STDEV.P(pima_data!$C$1:$C$768)</f>
        <v>-3.57259723987264</v>
      </c>
      <c r="D8" s="5">
        <f>(pima_data!D8-AVERAGE(pima_data!$D$1:$D$768))/_xlfn.STDEV.P(pima_data!$D$1:$D$768)</f>
        <v>-1.28821221294523</v>
      </c>
      <c r="E8" s="5">
        <f>(pima_data!E8-AVERAGE(pima_data!$E$1:$E$768))/_xlfn.STDEV.P(pima_data!$E$1:$E$768)</f>
        <v>-0.692890572295466</v>
      </c>
      <c r="F8" s="5">
        <f>(pima_data!F8-AVERAGE(pima_data!$F$1:$F$768))/_xlfn.STDEV.P(pima_data!$F$1:$F$768)</f>
        <v>0.419775488454143</v>
      </c>
      <c r="G8" s="5">
        <f>(pima_data!G8-AVERAGE(pima_data!$G$1:$G$768))/_xlfn.STDEV.P(pima_data!$G$1:$G$768)</f>
        <v>-1.02042653055785</v>
      </c>
      <c r="H8" s="5">
        <f>(pima_data!H8-AVERAGE(pima_data!$H$1:$H$768))/_xlfn.STDEV.P(pima_data!$H$1:$H$768)</f>
        <v>-0.360847411405889</v>
      </c>
    </row>
    <row r="9" spans="1:8">
      <c r="A9" s="5">
        <f>(pima_data!A9-AVERAGE(pima_data!$A$1:$A$768))/_xlfn.STDEV.P(pima_data!$A$1:$A$768)</f>
        <v>-0.547918590722547</v>
      </c>
      <c r="B9" s="5">
        <f>(pima_data!B9-AVERAGE(pima_data!$B$1:$B$768))/_xlfn.STDEV.P(pima_data!$B$1:$B$768)</f>
        <v>2.38188391565377</v>
      </c>
      <c r="C9" s="5">
        <f>(pima_data!C9-AVERAGE(pima_data!$C$1:$C$768))/_xlfn.STDEV.P(pima_data!$C$1:$C$768)</f>
        <v>0.0462452528365177</v>
      </c>
      <c r="D9" s="5">
        <f>(pima_data!D9-AVERAGE(pima_data!$D$1:$D$768))/_xlfn.STDEV.P(pima_data!$D$1:$D$768)</f>
        <v>1.53455053619167</v>
      </c>
      <c r="E9" s="5">
        <f>(pima_data!E9-AVERAGE(pima_data!$E$1:$E$768))/_xlfn.STDEV.P(pima_data!$E$1:$E$768)</f>
        <v>4.02192191376896</v>
      </c>
      <c r="F9" s="5">
        <f>(pima_data!F9-AVERAGE(pima_data!$F$1:$F$768))/_xlfn.STDEV.P(pima_data!$F$1:$F$768)</f>
        <v>-0.189436889262224</v>
      </c>
      <c r="G9" s="5">
        <f>(pima_data!G9-AVERAGE(pima_data!$G$1:$G$768))/_xlfn.STDEV.P(pima_data!$G$1:$G$768)</f>
        <v>-0.947943682301304</v>
      </c>
      <c r="H9" s="5">
        <f>(pima_data!H9-AVERAGE(pima_data!$H$1:$H$768))/_xlfn.STDEV.P(pima_data!$H$1:$H$768)</f>
        <v>1.68125866382695</v>
      </c>
    </row>
    <row r="10" spans="1:8">
      <c r="A10" s="5">
        <f>(pima_data!A10-AVERAGE(pima_data!$A$1:$A$768))/_xlfn.STDEV.P(pima_data!$A$1:$A$768)</f>
        <v>1.23388018560032</v>
      </c>
      <c r="B10" s="5">
        <f>(pima_data!B10-AVERAGE(pima_data!$B$1:$B$768))/_xlfn.STDEV.P(pima_data!$B$1:$B$768)</f>
        <v>0.128489452104507</v>
      </c>
      <c r="C10" s="5">
        <f>(pima_data!C10-AVERAGE(pima_data!$C$1:$C$768))/_xlfn.STDEV.P(pima_data!$C$1:$C$768)</f>
        <v>1.39038675012849</v>
      </c>
      <c r="D10" s="5">
        <f>(pima_data!D10-AVERAGE(pima_data!$D$1:$D$768))/_xlfn.STDEV.P(pima_data!$D$1:$D$768)</f>
        <v>-1.28821221294523</v>
      </c>
      <c r="E10" s="5">
        <f>(pima_data!E10-AVERAGE(pima_data!$E$1:$E$768))/_xlfn.STDEV.P(pima_data!$E$1:$E$768)</f>
        <v>-0.692890572295466</v>
      </c>
      <c r="F10" s="5">
        <f>(pima_data!F10-AVERAGE(pima_data!$F$1:$F$768))/_xlfn.STDEV.P(pima_data!$F$1:$F$768)</f>
        <v>-4.06047387266831</v>
      </c>
      <c r="G10" s="5">
        <f>(pima_data!G10-AVERAGE(pima_data!$G$1:$G$768))/_xlfn.STDEV.P(pima_data!$G$1:$G$768)</f>
        <v>-0.72445490017696</v>
      </c>
      <c r="H10" s="5">
        <f>(pima_data!H10-AVERAGE(pima_data!$H$1:$H$768))/_xlfn.STDEV.P(pima_data!$H$1:$H$768)</f>
        <v>1.76634641696165</v>
      </c>
    </row>
    <row r="11" spans="1:8">
      <c r="A11" s="5">
        <f>(pima_data!A11-AVERAGE(pima_data!$A$1:$A$768))/_xlfn.STDEV.P(pima_data!$A$1:$A$768)</f>
        <v>0.0460143347184072</v>
      </c>
      <c r="B11" s="5">
        <f>(pima_data!B11-AVERAGE(pima_data!$B$1:$B$768))/_xlfn.STDEV.P(pima_data!$B$1:$B$768)</f>
        <v>-0.340967727801589</v>
      </c>
      <c r="C11" s="5">
        <f>(pima_data!C11-AVERAGE(pima_data!$C$1:$C$768))/_xlfn.STDEV.P(pima_data!$C$1:$C$768)</f>
        <v>1.18359575054511</v>
      </c>
      <c r="D11" s="5">
        <f>(pima_data!D11-AVERAGE(pima_data!$D$1:$D$768))/_xlfn.STDEV.P(pima_data!$D$1:$D$768)</f>
        <v>-1.28821221294523</v>
      </c>
      <c r="E11" s="5">
        <f>(pima_data!E11-AVERAGE(pima_data!$E$1:$E$768))/_xlfn.STDEV.P(pima_data!$E$1:$E$768)</f>
        <v>-0.692890572295466</v>
      </c>
      <c r="F11" s="5">
        <f>(pima_data!F11-AVERAGE(pima_data!$F$1:$F$768))/_xlfn.STDEV.P(pima_data!$F$1:$F$768)</f>
        <v>0.71168975277657</v>
      </c>
      <c r="G11" s="5">
        <f>(pima_data!G11-AVERAGE(pima_data!$G$1:$G$768))/_xlfn.STDEV.P(pima_data!$G$1:$G$768)</f>
        <v>-0.848279765948556</v>
      </c>
      <c r="H11" s="5">
        <f>(pima_data!H11-AVERAGE(pima_data!$H$1:$H$768))/_xlfn.STDEV.P(pima_data!$H$1:$H$768)</f>
        <v>-0.275759658271188</v>
      </c>
    </row>
    <row r="12" spans="1:8">
      <c r="A12" s="5">
        <f>(pima_data!A12-AVERAGE(pima_data!$A$1:$A$768))/_xlfn.STDEV.P(pima_data!$A$1:$A$768)</f>
        <v>1.82781311104127</v>
      </c>
      <c r="B12" s="5">
        <f>(pima_data!B12-AVERAGE(pima_data!$B$1:$B$768))/_xlfn.STDEV.P(pima_data!$B$1:$B$768)</f>
        <v>1.47426670116865</v>
      </c>
      <c r="C12" s="5">
        <f>(pima_data!C12-AVERAGE(pima_data!$C$1:$C$768))/_xlfn.STDEV.P(pima_data!$C$1:$C$768)</f>
        <v>0.253036252419898</v>
      </c>
      <c r="D12" s="5">
        <f>(pima_data!D12-AVERAGE(pima_data!$D$1:$D$768))/_xlfn.STDEV.P(pima_data!$D$1:$D$768)</f>
        <v>-1.28821221294523</v>
      </c>
      <c r="E12" s="5">
        <f>(pima_data!E12-AVERAGE(pima_data!$E$1:$E$768))/_xlfn.STDEV.P(pima_data!$E$1:$E$768)</f>
        <v>-0.692890572295466</v>
      </c>
      <c r="F12" s="5">
        <f>(pima_data!F12-AVERAGE(pima_data!$F$1:$F$768))/_xlfn.STDEV.P(pima_data!$F$1:$F$768)</f>
        <v>0.7624574509196</v>
      </c>
      <c r="G12" s="5">
        <f>(pima_data!G12-AVERAGE(pima_data!$G$1:$G$768))/_xlfn.STDEV.P(pima_data!$G$1:$G$768)</f>
        <v>0.196681296416616</v>
      </c>
      <c r="H12" s="5">
        <f>(pima_data!H12-AVERAGE(pima_data!$H$1:$H$768))/_xlfn.STDEV.P(pima_data!$H$1:$H$768)</f>
        <v>0.0645913542676188</v>
      </c>
    </row>
    <row r="13" spans="1:8">
      <c r="A13" s="5">
        <f>(pima_data!A13-AVERAGE(pima_data!$A$1:$A$768))/_xlfn.STDEV.P(pima_data!$A$1:$A$768)</f>
        <v>1.82781311104127</v>
      </c>
      <c r="B13" s="5">
        <f>(pima_data!B13-AVERAGE(pima_data!$B$1:$B$768))/_xlfn.STDEV.P(pima_data!$B$1:$B$768)</f>
        <v>0.56664948668353</v>
      </c>
      <c r="C13" s="5">
        <f>(pima_data!C13-AVERAGE(pima_data!$C$1:$C$768))/_xlfn.STDEV.P(pima_data!$C$1:$C$768)</f>
        <v>0.563222751794969</v>
      </c>
      <c r="D13" s="5">
        <f>(pima_data!D13-AVERAGE(pima_data!$D$1:$D$768))/_xlfn.STDEV.P(pima_data!$D$1:$D$768)</f>
        <v>-1.28821221294523</v>
      </c>
      <c r="E13" s="5">
        <f>(pima_data!E13-AVERAGE(pima_data!$E$1:$E$768))/_xlfn.STDEV.P(pima_data!$E$1:$E$768)</f>
        <v>-0.692890572295466</v>
      </c>
      <c r="F13" s="5">
        <f>(pima_data!F13-AVERAGE(pima_data!$F$1:$F$768))/_xlfn.STDEV.P(pima_data!$F$1:$F$768)</f>
        <v>-0.620962323477984</v>
      </c>
      <c r="G13" s="5">
        <f>(pima_data!G13-AVERAGE(pima_data!$G$1:$G$768))/_xlfn.STDEV.P(pima_data!$G$1:$G$768)</f>
        <v>2.92686858074643</v>
      </c>
      <c r="H13" s="5">
        <f>(pima_data!H13-AVERAGE(pima_data!$H$1:$H$768))/_xlfn.STDEV.P(pima_data!$H$1:$H$768)</f>
        <v>2.02160967636576</v>
      </c>
    </row>
    <row r="14" spans="1:8">
      <c r="A14" s="5">
        <f>(pima_data!A14-AVERAGE(pima_data!$A$1:$A$768))/_xlfn.STDEV.P(pima_data!$A$1:$A$768)</f>
        <v>-0.844885053443025</v>
      </c>
      <c r="B14" s="5">
        <f>(pima_data!B14-AVERAGE(pima_data!$B$1:$B$768))/_xlfn.STDEV.P(pima_data!$B$1:$B$768)</f>
        <v>2.13150675303719</v>
      </c>
      <c r="C14" s="5">
        <f>(pima_data!C14-AVERAGE(pima_data!$C$1:$C$768))/_xlfn.STDEV.P(pima_data!$C$1:$C$768)</f>
        <v>-0.470732246121934</v>
      </c>
      <c r="D14" s="5">
        <f>(pima_data!D14-AVERAGE(pima_data!$D$1:$D$768))/_xlfn.STDEV.P(pima_data!$D$1:$D$768)</f>
        <v>0.154533192169185</v>
      </c>
      <c r="E14" s="5">
        <f>(pima_data!E14-AVERAGE(pima_data!$E$1:$E$768))/_xlfn.STDEV.P(pima_data!$E$1:$E$768)</f>
        <v>6.65283937836845</v>
      </c>
      <c r="F14" s="5">
        <f>(pima_data!F14-AVERAGE(pima_data!$F$1:$F$768))/_xlfn.STDEV.P(pima_data!$F$1:$F$768)</f>
        <v>-0.240204587405254</v>
      </c>
      <c r="G14" s="5">
        <f>(pima_data!G14-AVERAGE(pima_data!$G$1:$G$768))/_xlfn.STDEV.P(pima_data!$G$1:$G$768)</f>
        <v>-0.223115199735866</v>
      </c>
      <c r="H14" s="5">
        <f>(pima_data!H14-AVERAGE(pima_data!$H$1:$H$768))/_xlfn.STDEV.P(pima_data!$H$1:$H$768)</f>
        <v>2.19178518263516</v>
      </c>
    </row>
    <row r="15" spans="1:8">
      <c r="A15" s="5">
        <f>(pima_data!A15-AVERAGE(pima_data!$A$1:$A$768))/_xlfn.STDEV.P(pima_data!$A$1:$A$768)</f>
        <v>0.342980797438884</v>
      </c>
      <c r="B15" s="5">
        <f>(pima_data!B15-AVERAGE(pima_data!$B$1:$B$768))/_xlfn.STDEV.P(pima_data!$B$1:$B$768)</f>
        <v>1.4116724105145</v>
      </c>
      <c r="C15" s="5">
        <f>(pima_data!C15-AVERAGE(pima_data!$C$1:$C$768))/_xlfn.STDEV.P(pima_data!$C$1:$C$768)</f>
        <v>0.149640752628208</v>
      </c>
      <c r="D15" s="5">
        <f>(pima_data!D15-AVERAGE(pima_data!$D$1:$D$768))/_xlfn.STDEV.P(pima_data!$D$1:$D$768)</f>
        <v>-0.09637905219854</v>
      </c>
      <c r="E15" s="5">
        <f>(pima_data!E15-AVERAGE(pima_data!$E$1:$E$768))/_xlfn.STDEV.P(pima_data!$E$1:$E$768)</f>
        <v>0.826616214189386</v>
      </c>
      <c r="F15" s="5">
        <f>(pima_data!F15-AVERAGE(pima_data!$F$1:$F$768))/_xlfn.STDEV.P(pima_data!$F$1:$F$768)</f>
        <v>-0.785957342442833</v>
      </c>
      <c r="G15" s="5">
        <f>(pima_data!G15-AVERAGE(pima_data!$G$1:$G$768))/_xlfn.STDEV.P(pima_data!$G$1:$G$768)</f>
        <v>0.347687230284416</v>
      </c>
      <c r="H15" s="5">
        <f>(pima_data!H15-AVERAGE(pima_data!$H$1:$H$768))/_xlfn.STDEV.P(pima_data!$H$1:$H$768)</f>
        <v>1.51108315755755</v>
      </c>
    </row>
    <row r="16" spans="1:8">
      <c r="A16" s="5">
        <f>(pima_data!A16-AVERAGE(pima_data!$A$1:$A$768))/_xlfn.STDEV.P(pima_data!$A$1:$A$768)</f>
        <v>0.936913722879839</v>
      </c>
      <c r="B16" s="5">
        <f>(pima_data!B16-AVERAGE(pima_data!$B$1:$B$768))/_xlfn.STDEV.P(pima_data!$B$1:$B$768)</f>
        <v>-0.65393918107232</v>
      </c>
      <c r="C16" s="5">
        <f>(pima_data!C16-AVERAGE(pima_data!$C$1:$C$768))/_xlfn.STDEV.P(pima_data!$C$1:$C$768)</f>
        <v>-3.57259723987264</v>
      </c>
      <c r="D16" s="5">
        <f>(pima_data!D16-AVERAGE(pima_data!$D$1:$D$768))/_xlfn.STDEV.P(pima_data!$D$1:$D$768)</f>
        <v>-1.28821221294523</v>
      </c>
      <c r="E16" s="5">
        <f>(pima_data!E16-AVERAGE(pima_data!$E$1:$E$768))/_xlfn.STDEV.P(pima_data!$E$1:$E$768)</f>
        <v>-0.692890572295466</v>
      </c>
      <c r="F16" s="5">
        <f>(pima_data!F16-AVERAGE(pima_data!$F$1:$F$768))/_xlfn.STDEV.P(pima_data!$F$1:$F$768)</f>
        <v>-0.252896511941012</v>
      </c>
      <c r="G16" s="5">
        <f>(pima_data!G16-AVERAGE(pima_data!$G$1:$G$768))/_xlfn.STDEV.P(pima_data!$G$1:$G$768)</f>
        <v>0.0366150065167488</v>
      </c>
      <c r="H16" s="5">
        <f>(pima_data!H16-AVERAGE(pima_data!$H$1:$H$768))/_xlfn.STDEV.P(pima_data!$H$1:$H$768)</f>
        <v>-0.105584152001785</v>
      </c>
    </row>
    <row r="17" spans="1:8">
      <c r="A17" s="5">
        <f>(pima_data!A17-AVERAGE(pima_data!$A$1:$A$768))/_xlfn.STDEV.P(pima_data!$A$1:$A$768)</f>
        <v>-1.1418515161635</v>
      </c>
      <c r="B17" s="5">
        <f>(pima_data!B17-AVERAGE(pima_data!$B$1:$B$768))/_xlfn.STDEV.P(pima_data!$B$1:$B$768)</f>
        <v>-0.0905905651850046</v>
      </c>
      <c r="C17" s="5">
        <f>(pima_data!C17-AVERAGE(pima_data!$C$1:$C$768))/_xlfn.STDEV.P(pima_data!$C$1:$C$768)</f>
        <v>0.77001375137835</v>
      </c>
      <c r="D17" s="5">
        <f>(pima_data!D17-AVERAGE(pima_data!$D$1:$D$768))/_xlfn.STDEV.P(pima_data!$D$1:$D$768)</f>
        <v>1.66000665837553</v>
      </c>
      <c r="E17" s="5">
        <f>(pima_data!E17-AVERAGE(pima_data!$E$1:$E$768))/_xlfn.STDEV.P(pima_data!$E$1:$E$768)</f>
        <v>1.30417548994177</v>
      </c>
      <c r="F17" s="5">
        <f>(pima_data!F17-AVERAGE(pima_data!$F$1:$F$768))/_xlfn.STDEV.P(pima_data!$F$1:$F$768)</f>
        <v>1.7524275647087</v>
      </c>
      <c r="G17" s="5">
        <f>(pima_data!G17-AVERAGE(pima_data!$G$1:$G$768))/_xlfn.STDEV.P(pima_data!$G$1:$G$768)</f>
        <v>0.2389629578996</v>
      </c>
      <c r="H17" s="5">
        <f>(pima_data!H17-AVERAGE(pima_data!$H$1:$H$768))/_xlfn.STDEV.P(pima_data!$H$1:$H$768)</f>
        <v>-0.190671905136486</v>
      </c>
    </row>
    <row r="18" spans="1:8">
      <c r="A18" s="5">
        <f>(pima_data!A18-AVERAGE(pima_data!$A$1:$A$768))/_xlfn.STDEV.P(pima_data!$A$1:$A$768)</f>
        <v>0.936913722879839</v>
      </c>
      <c r="B18" s="5">
        <f>(pima_data!B18-AVERAGE(pima_data!$B$1:$B$768))/_xlfn.STDEV.P(pima_data!$B$1:$B$768)</f>
        <v>-0.434859163782809</v>
      </c>
      <c r="C18" s="5">
        <f>(pima_data!C18-AVERAGE(pima_data!$C$1:$C$768))/_xlfn.STDEV.P(pima_data!$C$1:$C$768)</f>
        <v>0.253036252419898</v>
      </c>
      <c r="D18" s="5">
        <f>(pima_data!D18-AVERAGE(pima_data!$D$1:$D$768))/_xlfn.STDEV.P(pima_data!$D$1:$D$768)</f>
        <v>-1.28821221294523</v>
      </c>
      <c r="E18" s="5">
        <f>(pima_data!E18-AVERAGE(pima_data!$E$1:$E$768))/_xlfn.STDEV.P(pima_data!$E$1:$E$768)</f>
        <v>-0.692890572295466</v>
      </c>
      <c r="F18" s="5">
        <f>(pima_data!F18-AVERAGE(pima_data!$F$1:$F$768))/_xlfn.STDEV.P(pima_data!$F$1:$F$768)</f>
        <v>-0.303664210084042</v>
      </c>
      <c r="G18" s="5">
        <f>(pima_data!G18-AVERAGE(pima_data!$G$1:$G$768))/_xlfn.STDEV.P(pima_data!$G$1:$G$768)</f>
        <v>-0.658012289275129</v>
      </c>
      <c r="H18" s="5">
        <f>(pima_data!H18-AVERAGE(pima_data!$H$1:$H$768))/_xlfn.STDEV.P(pima_data!$H$1:$H$768)</f>
        <v>-0.190671905136486</v>
      </c>
    </row>
    <row r="19" spans="1:8">
      <c r="A19" s="5">
        <f>(pima_data!A19-AVERAGE(pima_data!$A$1:$A$768))/_xlfn.STDEV.P(pima_data!$A$1:$A$768)</f>
        <v>-0.844885053443025</v>
      </c>
      <c r="B19" s="5">
        <f>(pima_data!B19-AVERAGE(pima_data!$B$1:$B$768))/_xlfn.STDEV.P(pima_data!$B$1:$B$768)</f>
        <v>-0.560047745091101</v>
      </c>
      <c r="C19" s="5">
        <f>(pima_data!C19-AVERAGE(pima_data!$C$1:$C$768))/_xlfn.STDEV.P(pima_data!$C$1:$C$768)</f>
        <v>-2.02166474299729</v>
      </c>
      <c r="D19" s="5">
        <f>(pima_data!D19-AVERAGE(pima_data!$D$1:$D$768))/_xlfn.STDEV.P(pima_data!$D$1:$D$768)</f>
        <v>1.09545410854815</v>
      </c>
      <c r="E19" s="5">
        <f>(pima_data!E19-AVERAGE(pima_data!$E$1:$E$768))/_xlfn.STDEV.P(pima_data!$E$1:$E$768)</f>
        <v>0.0277897892944923</v>
      </c>
      <c r="F19" s="5">
        <f>(pima_data!F19-AVERAGE(pima_data!$F$1:$F$768))/_xlfn.STDEV.P(pima_data!$F$1:$F$768)</f>
        <v>1.43512945131476</v>
      </c>
      <c r="G19" s="5">
        <f>(pima_data!G19-AVERAGE(pima_data!$G$1:$G$768))/_xlfn.STDEV.P(pima_data!$G$1:$G$768)</f>
        <v>-0.872440715367404</v>
      </c>
      <c r="H19" s="5">
        <f>(pima_data!H19-AVERAGE(pima_data!$H$1:$H$768))/_xlfn.STDEV.P(pima_data!$H$1:$H$768)</f>
        <v>-0.0204963988670829</v>
      </c>
    </row>
    <row r="20" spans="1:8">
      <c r="A20" s="5">
        <f>(pima_data!A20-AVERAGE(pima_data!$A$1:$A$768))/_xlfn.STDEV.P(pima_data!$A$1:$A$768)</f>
        <v>-0.844885053443025</v>
      </c>
      <c r="B20" s="5">
        <f>(pima_data!B20-AVERAGE(pima_data!$B$1:$B$768))/_xlfn.STDEV.P(pima_data!$B$1:$B$768)</f>
        <v>-0.184482001166224</v>
      </c>
      <c r="C20" s="5">
        <f>(pima_data!C20-AVERAGE(pima_data!$C$1:$C$768))/_xlfn.STDEV.P(pima_data!$C$1:$C$768)</f>
        <v>0.0462452528365177</v>
      </c>
      <c r="D20" s="5">
        <f>(pima_data!D20-AVERAGE(pima_data!$D$1:$D$768))/_xlfn.STDEV.P(pima_data!$D$1:$D$768)</f>
        <v>0.593629619812703</v>
      </c>
      <c r="E20" s="5">
        <f>(pima_data!E20-AVERAGE(pima_data!$E$1:$E$768))/_xlfn.STDEV.P(pima_data!$E$1:$E$768)</f>
        <v>0.14066743629051</v>
      </c>
      <c r="F20" s="5">
        <f>(pima_data!F20-AVERAGE(pima_data!$F$1:$F$768))/_xlfn.STDEV.P(pima_data!$F$1:$F$768)</f>
        <v>0.33093201670384</v>
      </c>
      <c r="G20" s="5">
        <f>(pima_data!G20-AVERAGE(pima_data!$G$1:$G$768))/_xlfn.STDEV.P(pima_data!$G$1:$G$768)</f>
        <v>0.172520346997768</v>
      </c>
      <c r="H20" s="5">
        <f>(pima_data!H20-AVERAGE(pima_data!$H$1:$H$768))/_xlfn.STDEV.P(pima_data!$H$1:$H$768)</f>
        <v>-0.105584152001785</v>
      </c>
    </row>
    <row r="21" spans="1:8">
      <c r="A21" s="5">
        <f>(pima_data!A21-AVERAGE(pima_data!$A$1:$A$768))/_xlfn.STDEV.P(pima_data!$A$1:$A$768)</f>
        <v>-0.25095212800207</v>
      </c>
      <c r="B21" s="5">
        <f>(pima_data!B21-AVERAGE(pima_data!$B$1:$B$768))/_xlfn.STDEV.P(pima_data!$B$1:$B$768)</f>
        <v>0.15978659743158</v>
      </c>
      <c r="C21" s="5">
        <f>(pima_data!C21-AVERAGE(pima_data!$C$1:$C$768))/_xlfn.STDEV.P(pima_data!$C$1:$C$768)</f>
        <v>0.97680475096173</v>
      </c>
      <c r="D21" s="5">
        <f>(pima_data!D21-AVERAGE(pima_data!$D$1:$D$768))/_xlfn.STDEV.P(pima_data!$D$1:$D$768)</f>
        <v>1.28363829182395</v>
      </c>
      <c r="E21" s="5">
        <f>(pima_data!E21-AVERAGE(pima_data!$E$1:$E$768))/_xlfn.STDEV.P(pima_data!$E$1:$E$768)</f>
        <v>1.34758996955562</v>
      </c>
      <c r="F21" s="5">
        <f>(pima_data!F21-AVERAGE(pima_data!$F$1:$F$768))/_xlfn.STDEV.P(pima_data!$F$1:$F$768)</f>
        <v>0.92745246988445</v>
      </c>
      <c r="G21" s="5">
        <f>(pima_data!G21-AVERAGE(pima_data!$G$1:$G$768))/_xlfn.STDEV.P(pima_data!$G$1:$G$768)</f>
        <v>0.701041115535066</v>
      </c>
      <c r="H21" s="5">
        <f>(pima_data!H21-AVERAGE(pima_data!$H$1:$H$768))/_xlfn.STDEV.P(pima_data!$H$1:$H$768)</f>
        <v>-0.531022917675293</v>
      </c>
    </row>
    <row r="22" spans="1:8">
      <c r="A22" s="5">
        <f>(pima_data!A22-AVERAGE(pima_data!$A$1:$A$768))/_xlfn.STDEV.P(pima_data!$A$1:$A$768)</f>
        <v>1.23388018560032</v>
      </c>
      <c r="B22" s="5">
        <f>(pima_data!B22-AVERAGE(pima_data!$B$1:$B$768))/_xlfn.STDEV.P(pima_data!$B$1:$B$768)</f>
        <v>-0.685236326399393</v>
      </c>
      <c r="C22" s="5">
        <f>(pima_data!C22-AVERAGE(pima_data!$C$1:$C$768))/_xlfn.STDEV.P(pima_data!$C$1:$C$768)</f>
        <v>0.77001375137835</v>
      </c>
      <c r="D22" s="5">
        <f>(pima_data!D22-AVERAGE(pima_data!$D$1:$D$768))/_xlfn.STDEV.P(pima_data!$D$1:$D$768)</f>
        <v>-1.28821221294523</v>
      </c>
      <c r="E22" s="5">
        <f>(pima_data!E22-AVERAGE(pima_data!$E$1:$E$768))/_xlfn.STDEV.P(pima_data!$E$1:$E$768)</f>
        <v>-0.692890572295466</v>
      </c>
      <c r="F22" s="5">
        <f>(pima_data!F22-AVERAGE(pima_data!$F$1:$F$768))/_xlfn.STDEV.P(pima_data!$F$1:$F$768)</f>
        <v>0.432467412989901</v>
      </c>
      <c r="G22" s="5">
        <f>(pima_data!G22-AVERAGE(pima_data!$G$1:$G$768))/_xlfn.STDEV.P(pima_data!$G$1:$G$768)</f>
        <v>-0.253316386509426</v>
      </c>
      <c r="H22" s="5">
        <f>(pima_data!H22-AVERAGE(pima_data!$H$1:$H$768))/_xlfn.STDEV.P(pima_data!$H$1:$H$768)</f>
        <v>1.42599540442285</v>
      </c>
    </row>
    <row r="23" spans="1:8">
      <c r="A23" s="5">
        <f>(pima_data!A23-AVERAGE(pima_data!$A$1:$A$768))/_xlfn.STDEV.P(pima_data!$A$1:$A$768)</f>
        <v>0.936913722879839</v>
      </c>
      <c r="B23" s="5">
        <f>(pima_data!B23-AVERAGE(pima_data!$B$1:$B$768))/_xlfn.STDEV.P(pima_data!$B$1:$B$768)</f>
        <v>2.3505867703267</v>
      </c>
      <c r="C23" s="5">
        <f>(pima_data!C23-AVERAGE(pima_data!$C$1:$C$768))/_xlfn.STDEV.P(pima_data!$C$1:$C$768)</f>
        <v>1.08020025075342</v>
      </c>
      <c r="D23" s="5">
        <f>(pima_data!D23-AVERAGE(pima_data!$D$1:$D$768))/_xlfn.STDEV.P(pima_data!$D$1:$D$768)</f>
        <v>-1.28821221294523</v>
      </c>
      <c r="E23" s="5">
        <f>(pima_data!E23-AVERAGE(pima_data!$E$1:$E$768))/_xlfn.STDEV.P(pima_data!$E$1:$E$768)</f>
        <v>-0.692890572295466</v>
      </c>
      <c r="F23" s="5">
        <f>(pima_data!F23-AVERAGE(pima_data!$F$1:$F$768))/_xlfn.STDEV.P(pima_data!$F$1:$F$768)</f>
        <v>0.990912092563238</v>
      </c>
      <c r="G23" s="5">
        <f>(pima_data!G23-AVERAGE(pima_data!$G$1:$G$768))/_xlfn.STDEV.P(pima_data!$G$1:$G$768)</f>
        <v>-0.0630489098359988</v>
      </c>
      <c r="H23" s="5">
        <f>(pima_data!H23-AVERAGE(pima_data!$H$1:$H$768))/_xlfn.STDEV.P(pima_data!$H$1:$H$768)</f>
        <v>0.66020562621053</v>
      </c>
    </row>
    <row r="24" spans="1:8">
      <c r="A24" s="5">
        <f>(pima_data!A24-AVERAGE(pima_data!$A$1:$A$768))/_xlfn.STDEV.P(pima_data!$A$1:$A$768)</f>
        <v>1.53084664832079</v>
      </c>
      <c r="B24" s="5">
        <f>(pima_data!B24-AVERAGE(pima_data!$B$1:$B$768))/_xlfn.STDEV.P(pima_data!$B$1:$B$768)</f>
        <v>-0.0592934198579315</v>
      </c>
      <c r="C24" s="5">
        <f>(pima_data!C24-AVERAGE(pima_data!$C$1:$C$768))/_xlfn.STDEV.P(pima_data!$C$1:$C$768)</f>
        <v>0.563222751794969</v>
      </c>
      <c r="D24" s="5">
        <f>(pima_data!D24-AVERAGE(pima_data!$D$1:$D$768))/_xlfn.STDEV.P(pima_data!$D$1:$D$768)</f>
        <v>0.907269925272359</v>
      </c>
      <c r="E24" s="5">
        <f>(pima_data!E24-AVERAGE(pima_data!$E$1:$E$768))/_xlfn.STDEV.P(pima_data!$E$1:$E$768)</f>
        <v>-0.692890572295466</v>
      </c>
      <c r="F24" s="5">
        <f>(pima_data!F24-AVERAGE(pima_data!$F$1:$F$768))/_xlfn.STDEV.P(pima_data!$F$1:$F$768)</f>
        <v>-0.379815757298588</v>
      </c>
      <c r="G24" s="5">
        <f>(pima_data!G24-AVERAGE(pima_data!$G$1:$G$768))/_xlfn.STDEV.P(pima_data!$G$1:$G$768)</f>
        <v>-0.630831221178925</v>
      </c>
      <c r="H24" s="5">
        <f>(pima_data!H24-AVERAGE(pima_data!$H$1:$H$768))/_xlfn.STDEV.P(pima_data!$H$1:$H$768)</f>
        <v>-0.360847411405889</v>
      </c>
    </row>
    <row r="25" spans="1:8">
      <c r="A25" s="5">
        <f>(pima_data!A25-AVERAGE(pima_data!$A$1:$A$768))/_xlfn.STDEV.P(pima_data!$A$1:$A$768)</f>
        <v>2.12477957376175</v>
      </c>
      <c r="B25" s="5">
        <f>(pima_data!B25-AVERAGE(pima_data!$B$1:$B$768))/_xlfn.STDEV.P(pima_data!$B$1:$B$768)</f>
        <v>0.691838067991823</v>
      </c>
      <c r="C25" s="5">
        <f>(pima_data!C25-AVERAGE(pima_data!$C$1:$C$768))/_xlfn.STDEV.P(pima_data!$C$1:$C$768)</f>
        <v>1.2869912503368</v>
      </c>
      <c r="D25" s="5">
        <f>(pima_data!D25-AVERAGE(pima_data!$D$1:$D$768))/_xlfn.STDEV.P(pima_data!$D$1:$D$768)</f>
        <v>0.781813803088497</v>
      </c>
      <c r="E25" s="5">
        <f>(pima_data!E25-AVERAGE(pima_data!$E$1:$E$768))/_xlfn.STDEV.P(pima_data!$E$1:$E$768)</f>
        <v>0.574812232429039</v>
      </c>
      <c r="F25" s="5">
        <f>(pima_data!F25-AVERAGE(pima_data!$F$1:$F$768))/_xlfn.STDEV.P(pima_data!$F$1:$F$768)</f>
        <v>0.584770507418994</v>
      </c>
      <c r="G25" s="5">
        <f>(pima_data!G25-AVERAGE(pima_data!$G$1:$G$768))/_xlfn.STDEV.P(pima_data!$G$1:$G$768)</f>
        <v>-0.658012289275129</v>
      </c>
      <c r="H25" s="5">
        <f>(pima_data!H25-AVERAGE(pima_data!$H$1:$H$768))/_xlfn.STDEV.P(pima_data!$H$1:$H$768)</f>
        <v>1.51108315755755</v>
      </c>
    </row>
    <row r="26" spans="1:8">
      <c r="A26" s="5">
        <f>(pima_data!A26-AVERAGE(pima_data!$A$1:$A$768))/_xlfn.STDEV.P(pima_data!$A$1:$A$768)</f>
        <v>1.82781311104127</v>
      </c>
      <c r="B26" s="5">
        <f>(pima_data!B26-AVERAGE(pima_data!$B$1:$B$768))/_xlfn.STDEV.P(pima_data!$B$1:$B$768)</f>
        <v>0.128489452104507</v>
      </c>
      <c r="C26" s="5">
        <f>(pima_data!C26-AVERAGE(pima_data!$C$1:$C$768))/_xlfn.STDEV.P(pima_data!$C$1:$C$768)</f>
        <v>0.0462452528365177</v>
      </c>
      <c r="D26" s="5">
        <f>(pima_data!D26-AVERAGE(pima_data!$D$1:$D$768))/_xlfn.STDEV.P(pima_data!$D$1:$D$768)</f>
        <v>0.342717375444978</v>
      </c>
      <c r="E26" s="5">
        <f>(pima_data!E26-AVERAGE(pima_data!$E$1:$E$768))/_xlfn.STDEV.P(pima_data!$E$1:$E$768)</f>
        <v>0.305642458823151</v>
      </c>
      <c r="F26" s="5">
        <f>(pima_data!F26-AVERAGE(pima_data!$F$1:$F$768))/_xlfn.STDEV.P(pima_data!$F$1:$F$768)</f>
        <v>-0.113285342047677</v>
      </c>
      <c r="G26" s="5">
        <f>(pima_data!G26-AVERAGE(pima_data!$G$1:$G$768))/_xlfn.STDEV.P(pima_data!$G$1:$G$768)</f>
        <v>-0.805998104465572</v>
      </c>
      <c r="H26" s="5">
        <f>(pima_data!H26-AVERAGE(pima_data!$H$1:$H$768))/_xlfn.STDEV.P(pima_data!$H$1:$H$768)</f>
        <v>0.66020562621053</v>
      </c>
    </row>
    <row r="27" spans="1:8">
      <c r="A27" s="5">
        <f>(pima_data!A27-AVERAGE(pima_data!$A$1:$A$768))/_xlfn.STDEV.P(pima_data!$A$1:$A$768)</f>
        <v>0.936913722879839</v>
      </c>
      <c r="B27" s="5">
        <f>(pima_data!B27-AVERAGE(pima_data!$B$1:$B$768))/_xlfn.STDEV.P(pima_data!$B$1:$B$768)</f>
        <v>0.817026649300115</v>
      </c>
      <c r="C27" s="5">
        <f>(pima_data!C27-AVERAGE(pima_data!$C$1:$C$768))/_xlfn.STDEV.P(pima_data!$C$1:$C$768)</f>
        <v>0.356431752211589</v>
      </c>
      <c r="D27" s="5">
        <f>(pima_data!D27-AVERAGE(pima_data!$D$1:$D$768))/_xlfn.STDEV.P(pima_data!$D$1:$D$768)</f>
        <v>-1.28821221294523</v>
      </c>
      <c r="E27" s="5">
        <f>(pima_data!E27-AVERAGE(pima_data!$E$1:$E$768))/_xlfn.STDEV.P(pima_data!$E$1:$E$768)</f>
        <v>-0.692890572295466</v>
      </c>
      <c r="F27" s="5">
        <f>(pima_data!F27-AVERAGE(pima_data!$F$1:$F$768))/_xlfn.STDEV.P(pima_data!$F$1:$F$768)</f>
        <v>0.940144394420207</v>
      </c>
      <c r="G27" s="5">
        <f>(pima_data!G27-AVERAGE(pima_data!$G$1:$G$768))/_xlfn.STDEV.P(pima_data!$G$1:$G$768)</f>
        <v>-0.648951933243061</v>
      </c>
      <c r="H27" s="5">
        <f>(pima_data!H27-AVERAGE(pima_data!$H$1:$H$768))/_xlfn.STDEV.P(pima_data!$H$1:$H$768)</f>
        <v>0.830381132479934</v>
      </c>
    </row>
    <row r="28" spans="1:8">
      <c r="A28" s="5">
        <f>(pima_data!A28-AVERAGE(pima_data!$A$1:$A$768))/_xlfn.STDEV.P(pima_data!$A$1:$A$768)</f>
        <v>-0.844885053443025</v>
      </c>
      <c r="B28" s="5">
        <f>(pima_data!B28-AVERAGE(pima_data!$B$1:$B$768))/_xlfn.STDEV.P(pima_data!$B$1:$B$768)</f>
        <v>-0.74783061705354</v>
      </c>
      <c r="C28" s="5">
        <f>(pima_data!C28-AVERAGE(pima_data!$C$1:$C$768))/_xlfn.STDEV.P(pima_data!$C$1:$C$768)</f>
        <v>-0.160545746746863</v>
      </c>
      <c r="D28" s="5">
        <f>(pima_data!D28-AVERAGE(pima_data!$D$1:$D$768))/_xlfn.STDEV.P(pima_data!$D$1:$D$768)</f>
        <v>-0.347291296566265</v>
      </c>
      <c r="E28" s="5">
        <f>(pima_data!E28-AVERAGE(pima_data!$E$1:$E$768))/_xlfn.STDEV.P(pima_data!$E$1:$E$768)</f>
        <v>0.522714856892416</v>
      </c>
      <c r="F28" s="5">
        <f>(pima_data!F28-AVERAGE(pima_data!$F$1:$F$768))/_xlfn.STDEV.P(pima_data!$F$1:$F$768)</f>
        <v>-1.11594738037253</v>
      </c>
      <c r="G28" s="5">
        <f>(pima_data!G28-AVERAGE(pima_data!$G$1:$G$768))/_xlfn.STDEV.P(pima_data!$G$1:$G$768)</f>
        <v>0.0456753625488167</v>
      </c>
      <c r="H28" s="5">
        <f>(pima_data!H28-AVERAGE(pima_data!$H$1:$H$768))/_xlfn.STDEV.P(pima_data!$H$1:$H$768)</f>
        <v>-0.956461683348801</v>
      </c>
    </row>
    <row r="29" spans="1:8">
      <c r="A29" s="5">
        <f>(pima_data!A29-AVERAGE(pima_data!$A$1:$A$768))/_xlfn.STDEV.P(pima_data!$A$1:$A$768)</f>
        <v>2.7187124992027</v>
      </c>
      <c r="B29" s="5">
        <f>(pima_data!B29-AVERAGE(pima_data!$B$1:$B$768))/_xlfn.STDEV.P(pima_data!$B$1:$B$768)</f>
        <v>0.754432358645969</v>
      </c>
      <c r="C29" s="5">
        <f>(pima_data!C29-AVERAGE(pima_data!$C$1:$C$768))/_xlfn.STDEV.P(pima_data!$C$1:$C$768)</f>
        <v>0.666618251586659</v>
      </c>
      <c r="D29" s="5">
        <f>(pima_data!D29-AVERAGE(pima_data!$D$1:$D$768))/_xlfn.STDEV.P(pima_data!$D$1:$D$768)</f>
        <v>-0.09637905219854</v>
      </c>
      <c r="E29" s="5">
        <f>(pima_data!E29-AVERAGE(pima_data!$E$1:$E$768))/_xlfn.STDEV.P(pima_data!$E$1:$E$768)</f>
        <v>0.262227979209298</v>
      </c>
      <c r="F29" s="5">
        <f>(pima_data!F29-AVERAGE(pima_data!$F$1:$F$768))/_xlfn.STDEV.P(pima_data!$F$1:$F$768)</f>
        <v>-1.24286662573011</v>
      </c>
      <c r="G29" s="5">
        <f>(pima_data!G29-AVERAGE(pima_data!$G$1:$G$768))/_xlfn.STDEV.P(pima_data!$G$1:$G$768)</f>
        <v>-0.685193357371333</v>
      </c>
      <c r="H29" s="5">
        <f>(pima_data!H29-AVERAGE(pima_data!$H$1:$H$768))/_xlfn.STDEV.P(pima_data!$H$1:$H$768)</f>
        <v>2.02160967636576</v>
      </c>
    </row>
    <row r="30" spans="1:8">
      <c r="A30" s="5">
        <f>(pima_data!A30-AVERAGE(pima_data!$A$1:$A$768))/_xlfn.STDEV.P(pima_data!$A$1:$A$768)</f>
        <v>0.342980797438884</v>
      </c>
      <c r="B30" s="5">
        <f>(pima_data!B30-AVERAGE(pima_data!$B$1:$B$768))/_xlfn.STDEV.P(pima_data!$B$1:$B$768)</f>
        <v>-0.121887710512078</v>
      </c>
      <c r="C30" s="5">
        <f>(pima_data!C30-AVERAGE(pima_data!$C$1:$C$768))/_xlfn.STDEV.P(pima_data!$C$1:$C$768)</f>
        <v>1.18359575054511</v>
      </c>
      <c r="D30" s="5">
        <f>(pima_data!D30-AVERAGE(pima_data!$D$1:$D$768))/_xlfn.STDEV.P(pima_data!$D$1:$D$768)</f>
        <v>-1.28821221294523</v>
      </c>
      <c r="E30" s="5">
        <f>(pima_data!E30-AVERAGE(pima_data!$E$1:$E$768))/_xlfn.STDEV.P(pima_data!$E$1:$E$768)</f>
        <v>-0.692890572295466</v>
      </c>
      <c r="F30" s="5">
        <f>(pima_data!F30-AVERAGE(pima_data!$F$1:$F$768))/_xlfn.STDEV.P(pima_data!$F$1:$F$768)</f>
        <v>0.267472394025052</v>
      </c>
      <c r="G30" s="5">
        <f>(pima_data!G30-AVERAGE(pima_data!$G$1:$G$768))/_xlfn.STDEV.P(pima_data!$G$1:$G$768)</f>
        <v>-0.407342439054582</v>
      </c>
      <c r="H30" s="5">
        <f>(pima_data!H30-AVERAGE(pima_data!$H$1:$H$768))/_xlfn.STDEV.P(pima_data!$H$1:$H$768)</f>
        <v>0.404942366806425</v>
      </c>
    </row>
    <row r="31" spans="1:8">
      <c r="A31" s="5">
        <f>(pima_data!A31-AVERAGE(pima_data!$A$1:$A$768))/_xlfn.STDEV.P(pima_data!$A$1:$A$768)</f>
        <v>0.342980797438884</v>
      </c>
      <c r="B31" s="5">
        <f>(pima_data!B31-AVERAGE(pima_data!$B$1:$B$768))/_xlfn.STDEV.P(pima_data!$B$1:$B$768)</f>
        <v>-0.372264873128662</v>
      </c>
      <c r="C31" s="5">
        <f>(pima_data!C31-AVERAGE(pima_data!$C$1:$C$768))/_xlfn.STDEV.P(pima_data!$C$1:$C$768)</f>
        <v>0.304734002315743</v>
      </c>
      <c r="D31" s="5">
        <f>(pima_data!D31-AVERAGE(pima_data!$D$1:$D$768))/_xlfn.STDEV.P(pima_data!$D$1:$D$768)</f>
        <v>0.342717375444978</v>
      </c>
      <c r="E31" s="5">
        <f>(pima_data!E31-AVERAGE(pima_data!$E$1:$E$768))/_xlfn.STDEV.P(pima_data!$E$1:$E$768)</f>
        <v>-0.692890572295466</v>
      </c>
      <c r="F31" s="5">
        <f>(pima_data!F31-AVERAGE(pima_data!$F$1:$F$768))/_xlfn.STDEV.P(pima_data!$F$1:$F$768)</f>
        <v>0.508618960204447</v>
      </c>
      <c r="G31" s="5">
        <f>(pima_data!G31-AVERAGE(pima_data!$G$1:$G$768))/_xlfn.STDEV.P(pima_data!$G$1:$G$768)</f>
        <v>0.22386236451282</v>
      </c>
      <c r="H31" s="5">
        <f>(pima_data!H31-AVERAGE(pima_data!$H$1:$H$768))/_xlfn.STDEV.P(pima_data!$H$1:$H$768)</f>
        <v>2.27687293576986</v>
      </c>
    </row>
    <row r="32" spans="1:8">
      <c r="A32" s="5">
        <f>(pima_data!A32-AVERAGE(pima_data!$A$1:$A$768))/_xlfn.STDEV.P(pima_data!$A$1:$A$768)</f>
        <v>-0.25095212800207</v>
      </c>
      <c r="B32" s="5">
        <f>(pima_data!B32-AVERAGE(pima_data!$B$1:$B$768))/_xlfn.STDEV.P(pima_data!$B$1:$B$768)</f>
        <v>1.16129524789792</v>
      </c>
      <c r="C32" s="5">
        <f>(pima_data!C32-AVERAGE(pima_data!$C$1:$C$768))/_xlfn.STDEV.P(pima_data!$C$1:$C$768)</f>
        <v>0.356431752211589</v>
      </c>
      <c r="D32" s="5">
        <f>(pima_data!D32-AVERAGE(pima_data!$D$1:$D$768))/_xlfn.STDEV.P(pima_data!$D$1:$D$768)</f>
        <v>0.96999798636429</v>
      </c>
      <c r="E32" s="5">
        <f>(pima_data!E32-AVERAGE(pima_data!$E$1:$E$768))/_xlfn.STDEV.P(pima_data!$E$1:$E$768)</f>
        <v>1.43441892878333</v>
      </c>
      <c r="F32" s="5">
        <f>(pima_data!F32-AVERAGE(pima_data!$F$1:$F$768))/_xlfn.STDEV.P(pima_data!$F$1:$F$768)</f>
        <v>-0.0498257193688892</v>
      </c>
      <c r="G32" s="5">
        <f>(pima_data!G32-AVERAGE(pima_data!$G$1:$G$768))/_xlfn.STDEV.P(pima_data!$G$1:$G$768)</f>
        <v>1.1449985611064</v>
      </c>
      <c r="H32" s="5">
        <f>(pima_data!H32-AVERAGE(pima_data!$H$1:$H$768))/_xlfn.STDEV.P(pima_data!$H$1:$H$768)</f>
        <v>-0.445935164540591</v>
      </c>
    </row>
    <row r="33" spans="1:8">
      <c r="A33" s="5">
        <f>(pima_data!A33-AVERAGE(pima_data!$A$1:$A$768))/_xlfn.STDEV.P(pima_data!$A$1:$A$768)</f>
        <v>-0.25095212800207</v>
      </c>
      <c r="B33" s="5">
        <f>(pima_data!B33-AVERAGE(pima_data!$B$1:$B$768))/_xlfn.STDEV.P(pima_data!$B$1:$B$768)</f>
        <v>-1.0295049249972</v>
      </c>
      <c r="C33" s="5">
        <f>(pima_data!C33-AVERAGE(pima_data!$C$1:$C$768))/_xlfn.STDEV.P(pima_data!$C$1:$C$768)</f>
        <v>-0.574127745913624</v>
      </c>
      <c r="D33" s="5">
        <f>(pima_data!D33-AVERAGE(pima_data!$D$1:$D$768))/_xlfn.STDEV.P(pima_data!$D$1:$D$768)</f>
        <v>-0.59820354093399</v>
      </c>
      <c r="E33" s="5">
        <f>(pima_data!E33-AVERAGE(pima_data!$E$1:$E$768))/_xlfn.STDEV.P(pima_data!$E$1:$E$768)</f>
        <v>-0.224014192465855</v>
      </c>
      <c r="F33" s="5">
        <f>(pima_data!F33-AVERAGE(pima_data!$F$1:$F$768))/_xlfn.STDEV.P(pima_data!$F$1:$F$768)</f>
        <v>-0.91287658780041</v>
      </c>
      <c r="G33" s="5">
        <f>(pima_data!G33-AVERAGE(pima_data!$G$1:$G$768))/_xlfn.STDEV.P(pima_data!$G$1:$G$768)</f>
        <v>-0.618750746469501</v>
      </c>
      <c r="H33" s="5">
        <f>(pima_data!H33-AVERAGE(pima_data!$H$1:$H$768))/_xlfn.STDEV.P(pima_data!$H$1:$H$768)</f>
        <v>-0.956461683348801</v>
      </c>
    </row>
    <row r="34" spans="1:8">
      <c r="A34" s="5">
        <f>(pima_data!A34-AVERAGE(pima_data!$A$1:$A$768))/_xlfn.STDEV.P(pima_data!$A$1:$A$768)</f>
        <v>0.639947260159362</v>
      </c>
      <c r="B34" s="5">
        <f>(pima_data!B34-AVERAGE(pima_data!$B$1:$B$768))/_xlfn.STDEV.P(pima_data!$B$1:$B$768)</f>
        <v>-0.904316343688905</v>
      </c>
      <c r="C34" s="5">
        <f>(pima_data!C34-AVERAGE(pima_data!$C$1:$C$768))/_xlfn.STDEV.P(pima_data!$C$1:$C$768)</f>
        <v>1.18359575054511</v>
      </c>
      <c r="D34" s="5">
        <f>(pima_data!D34-AVERAGE(pima_data!$D$1:$D$768))/_xlfn.STDEV.P(pima_data!$D$1:$D$768)</f>
        <v>-1.28821221294523</v>
      </c>
      <c r="E34" s="5">
        <f>(pima_data!E34-AVERAGE(pima_data!$E$1:$E$768))/_xlfn.STDEV.P(pima_data!$E$1:$E$768)</f>
        <v>-0.692890572295466</v>
      </c>
      <c r="F34" s="5">
        <f>(pima_data!F34-AVERAGE(pima_data!$F$1:$F$768))/_xlfn.STDEV.P(pima_data!$F$1:$F$768)</f>
        <v>-1.53478089005253</v>
      </c>
      <c r="G34" s="5">
        <f>(pima_data!G34-AVERAGE(pima_data!$G$1:$G$768))/_xlfn.STDEV.P(pima_data!$G$1:$G$768)</f>
        <v>-0.857340121980624</v>
      </c>
      <c r="H34" s="5">
        <f>(pima_data!H34-AVERAGE(pima_data!$H$1:$H$768))/_xlfn.STDEV.P(pima_data!$H$1:$H$768)</f>
        <v>-0.445935164540591</v>
      </c>
    </row>
    <row r="35" spans="1:8">
      <c r="A35" s="5">
        <f>(pima_data!A35-AVERAGE(pima_data!$A$1:$A$768))/_xlfn.STDEV.P(pima_data!$A$1:$A$768)</f>
        <v>1.82781311104127</v>
      </c>
      <c r="B35" s="5">
        <f>(pima_data!B35-AVERAGE(pima_data!$B$1:$B$768))/_xlfn.STDEV.P(pima_data!$B$1:$B$768)</f>
        <v>0.0345980161232878</v>
      </c>
      <c r="C35" s="5">
        <f>(pima_data!C35-AVERAGE(pima_data!$C$1:$C$768))/_xlfn.STDEV.P(pima_data!$C$1:$C$768)</f>
        <v>0.459827252003279</v>
      </c>
      <c r="D35" s="5">
        <f>(pima_data!D35-AVERAGE(pima_data!$D$1:$D$768))/_xlfn.STDEV.P(pima_data!$D$1:$D$768)</f>
        <v>0.656357680904634</v>
      </c>
      <c r="E35" s="5">
        <f>(pima_data!E35-AVERAGE(pima_data!$E$1:$E$768))/_xlfn.STDEV.P(pima_data!$E$1:$E$768)</f>
        <v>-0.692890572295466</v>
      </c>
      <c r="F35" s="5">
        <f>(pima_data!F35-AVERAGE(pima_data!$F$1:$F$768))/_xlfn.STDEV.P(pima_data!$F$1:$F$768)</f>
        <v>-0.557502700799195</v>
      </c>
      <c r="G35" s="5">
        <f>(pima_data!G35-AVERAGE(pima_data!$G$1:$G$768))/_xlfn.STDEV.P(pima_data!$G$1:$G$768)</f>
        <v>0.121178329482717</v>
      </c>
      <c r="H35" s="5">
        <f>(pima_data!H35-AVERAGE(pima_data!$H$1:$H$768))/_xlfn.STDEV.P(pima_data!$H$1:$H$768)</f>
        <v>1.00055663874934</v>
      </c>
    </row>
    <row r="36" spans="1:8">
      <c r="A36" s="5">
        <f>(pima_data!A36-AVERAGE(pima_data!$A$1:$A$768))/_xlfn.STDEV.P(pima_data!$A$1:$A$768)</f>
        <v>0.0460143347184072</v>
      </c>
      <c r="B36" s="5">
        <f>(pima_data!B36-AVERAGE(pima_data!$B$1:$B$768))/_xlfn.STDEV.P(pima_data!$B$1:$B$768)</f>
        <v>-0.560047745091101</v>
      </c>
      <c r="C36" s="5">
        <f>(pima_data!C36-AVERAGE(pima_data!$C$1:$C$768))/_xlfn.STDEV.P(pima_data!$C$1:$C$768)</f>
        <v>-0.470732246121934</v>
      </c>
      <c r="D36" s="5">
        <f>(pima_data!D36-AVERAGE(pima_data!$D$1:$D$768))/_xlfn.STDEV.P(pima_data!$D$1:$D$768)</f>
        <v>0.781813803088497</v>
      </c>
      <c r="E36" s="5">
        <f>(pima_data!E36-AVERAGE(pima_data!$E$1:$E$768))/_xlfn.STDEV.P(pima_data!$E$1:$E$768)</f>
        <v>0.974225444876486</v>
      </c>
      <c r="F36" s="5">
        <f>(pima_data!F36-AVERAGE(pima_data!$F$1:$F$768))/_xlfn.STDEV.P(pima_data!$F$1:$F$768)</f>
        <v>-1.01441198408647</v>
      </c>
      <c r="G36" s="5">
        <f>(pima_data!G36-AVERAGE(pima_data!$G$1:$G$768))/_xlfn.STDEV.P(pima_data!$G$1:$G$768)</f>
        <v>1.49231220900234</v>
      </c>
      <c r="H36" s="5">
        <f>(pima_data!H36-AVERAGE(pima_data!$H$1:$H$768))/_xlfn.STDEV.P(pima_data!$H$1:$H$768)</f>
        <v>-0.0204963988670829</v>
      </c>
    </row>
    <row r="37" spans="1:8">
      <c r="A37" s="5">
        <f>(pima_data!A37-AVERAGE(pima_data!$A$1:$A$768))/_xlfn.STDEV.P(pima_data!$A$1:$A$768)</f>
        <v>2.12477957376175</v>
      </c>
      <c r="B37" s="5">
        <f>(pima_data!B37-AVERAGE(pima_data!$B$1:$B$768))/_xlfn.STDEV.P(pima_data!$B$1:$B$768)</f>
        <v>0.535352341356457</v>
      </c>
      <c r="C37" s="5">
        <f>(pima_data!C37-AVERAGE(pima_data!$C$1:$C$768))/_xlfn.STDEV.P(pima_data!$C$1:$C$768)</f>
        <v>0.356431752211589</v>
      </c>
      <c r="D37" s="5">
        <f>(pima_data!D37-AVERAGE(pima_data!$D$1:$D$768))/_xlfn.STDEV.P(pima_data!$D$1:$D$768)</f>
        <v>-1.28821221294523</v>
      </c>
      <c r="E37" s="5">
        <f>(pima_data!E37-AVERAGE(pima_data!$E$1:$E$768))/_xlfn.STDEV.P(pima_data!$E$1:$E$768)</f>
        <v>-0.692890572295466</v>
      </c>
      <c r="F37" s="5">
        <f>(pima_data!F37-AVERAGE(pima_data!$F$1:$F$768))/_xlfn.STDEV.P(pima_data!$F$1:$F$768)</f>
        <v>0.153245073203233</v>
      </c>
      <c r="G37" s="5">
        <f>(pima_data!G37-AVERAGE(pima_data!$G$1:$G$768))/_xlfn.STDEV.P(pima_data!$G$1:$G$768)</f>
        <v>-0.156672588834035</v>
      </c>
      <c r="H37" s="5">
        <f>(pima_data!H37-AVERAGE(pima_data!$H$1:$H$768))/_xlfn.STDEV.P(pima_data!$H$1:$H$768)</f>
        <v>0.14967910740232</v>
      </c>
    </row>
    <row r="38" spans="1:8">
      <c r="A38" s="5">
        <f>(pima_data!A38-AVERAGE(pima_data!$A$1:$A$768))/_xlfn.STDEV.P(pima_data!$A$1:$A$768)</f>
        <v>1.53084664832079</v>
      </c>
      <c r="B38" s="5">
        <f>(pima_data!B38-AVERAGE(pima_data!$B$1:$B$768))/_xlfn.STDEV.P(pima_data!$B$1:$B$768)</f>
        <v>-0.591344890418174</v>
      </c>
      <c r="C38" s="5">
        <f>(pima_data!C38-AVERAGE(pima_data!$C$1:$C$768))/_xlfn.STDEV.P(pima_data!$C$1:$C$768)</f>
        <v>0.356431752211589</v>
      </c>
      <c r="D38" s="5">
        <f>(pima_data!D38-AVERAGE(pima_data!$D$1:$D$768))/_xlfn.STDEV.P(pima_data!$D$1:$D$768)</f>
        <v>1.03272604745622</v>
      </c>
      <c r="E38" s="5">
        <f>(pima_data!E38-AVERAGE(pima_data!$E$1:$E$768))/_xlfn.STDEV.P(pima_data!$E$1:$E$768)</f>
        <v>-0.692890572295466</v>
      </c>
      <c r="F38" s="5">
        <f>(pima_data!F38-AVERAGE(pima_data!$F$1:$F$768))/_xlfn.STDEV.P(pima_data!$F$1:$F$768)</f>
        <v>0.11516929959596</v>
      </c>
      <c r="G38" s="5">
        <f>(pima_data!G38-AVERAGE(pima_data!$G$1:$G$768))/_xlfn.STDEV.P(pima_data!$G$1:$G$768)</f>
        <v>0.583256487118183</v>
      </c>
      <c r="H38" s="5">
        <f>(pima_data!H38-AVERAGE(pima_data!$H$1:$H$768))/_xlfn.STDEV.P(pima_data!$H$1:$H$768)</f>
        <v>1.08564439188404</v>
      </c>
    </row>
    <row r="39" spans="1:8">
      <c r="A39" s="5">
        <f>(pima_data!A39-AVERAGE(pima_data!$A$1:$A$768))/_xlfn.STDEV.P(pima_data!$A$1:$A$768)</f>
        <v>-0.547918590722547</v>
      </c>
      <c r="B39" s="5">
        <f>(pima_data!B39-AVERAGE(pima_data!$B$1:$B$768))/_xlfn.STDEV.P(pima_data!$B$1:$B$768)</f>
        <v>-0.966910634343051</v>
      </c>
      <c r="C39" s="5">
        <f>(pima_data!C39-AVERAGE(pima_data!$C$1:$C$768))/_xlfn.STDEV.P(pima_data!$C$1:$C$768)</f>
        <v>-0.0571502469551726</v>
      </c>
      <c r="D39" s="5">
        <f>(pima_data!D39-AVERAGE(pima_data!$D$1:$D$768))/_xlfn.STDEV.P(pima_data!$D$1:$D$768)</f>
        <v>1.34636635291588</v>
      </c>
      <c r="E39" s="5">
        <f>(pima_data!E39-AVERAGE(pima_data!$E$1:$E$768))/_xlfn.STDEV.P(pima_data!$E$1:$E$768)</f>
        <v>-0.692890572295466</v>
      </c>
      <c r="F39" s="5">
        <f>(pima_data!F39-AVERAGE(pima_data!$F$1:$F$768))/_xlfn.STDEV.P(pima_data!$F$1:$F$768)</f>
        <v>0.787841299991116</v>
      </c>
      <c r="G39" s="5">
        <f>(pima_data!G39-AVERAGE(pima_data!$G$1:$G$768))/_xlfn.STDEV.P(pima_data!$G$1:$G$768)</f>
        <v>0.0939972613865126</v>
      </c>
      <c r="H39" s="5">
        <f>(pima_data!H39-AVERAGE(pima_data!$H$1:$H$768))/_xlfn.STDEV.P(pima_data!$H$1:$H$768)</f>
        <v>-0.531022917675293</v>
      </c>
    </row>
    <row r="40" spans="1:8">
      <c r="A40" s="5">
        <f>(pima_data!A40-AVERAGE(pima_data!$A$1:$A$768))/_xlfn.STDEV.P(pima_data!$A$1:$A$768)</f>
        <v>0.0460143347184072</v>
      </c>
      <c r="B40" s="5">
        <f>(pima_data!B40-AVERAGE(pima_data!$B$1:$B$768))/_xlfn.STDEV.P(pima_data!$B$1:$B$768)</f>
        <v>-0.309670582474516</v>
      </c>
      <c r="C40" s="5">
        <f>(pima_data!C40-AVERAGE(pima_data!$C$1:$C$768))/_xlfn.STDEV.P(pima_data!$C$1:$C$768)</f>
        <v>0.149640752628208</v>
      </c>
      <c r="D40" s="5">
        <f>(pima_data!D40-AVERAGE(pima_data!$D$1:$D$768))/_xlfn.STDEV.P(pima_data!$D$1:$D$768)</f>
        <v>1.66000665837553</v>
      </c>
      <c r="E40" s="5">
        <f>(pima_data!E40-AVERAGE(pima_data!$E$1:$E$768))/_xlfn.STDEV.P(pima_data!$E$1:$E$768)</f>
        <v>1.10446888371804</v>
      </c>
      <c r="F40" s="5">
        <f>(pima_data!F40-AVERAGE(pima_data!$F$1:$F$768))/_xlfn.STDEV.P(pima_data!$F$1:$F$768)</f>
        <v>0.648230130097782</v>
      </c>
      <c r="G40" s="5">
        <f>(pima_data!G40-AVERAGE(pima_data!$G$1:$G$768))/_xlfn.STDEV.P(pima_data!$G$1:$G$768)</f>
        <v>2.77284252820127</v>
      </c>
      <c r="H40" s="5">
        <f>(pima_data!H40-AVERAGE(pima_data!$H$1:$H$768))/_xlfn.STDEV.P(pima_data!$H$1:$H$768)</f>
        <v>1.93652192323106</v>
      </c>
    </row>
    <row r="41" spans="1:8">
      <c r="A41" s="5">
        <f>(pima_data!A41-AVERAGE(pima_data!$A$1:$A$768))/_xlfn.STDEV.P(pima_data!$A$1:$A$768)</f>
        <v>-0.25095212800207</v>
      </c>
      <c r="B41" s="5">
        <f>(pima_data!B41-AVERAGE(pima_data!$B$1:$B$768))/_xlfn.STDEV.P(pima_data!$B$1:$B$768)</f>
        <v>1.84983244509353</v>
      </c>
      <c r="C41" s="5">
        <f>(pima_data!C41-AVERAGE(pima_data!$C$1:$C$768))/_xlfn.STDEV.P(pima_data!$C$1:$C$768)</f>
        <v>-0.263941246538553</v>
      </c>
      <c r="D41" s="5">
        <f>(pima_data!D41-AVERAGE(pima_data!$D$1:$D$768))/_xlfn.STDEV.P(pima_data!$D$1:$D$768)</f>
        <v>0.279989314353047</v>
      </c>
      <c r="E41" s="5">
        <f>(pima_data!E41-AVERAGE(pima_data!$E$1:$E$768))/_xlfn.STDEV.P(pima_data!$E$1:$E$768)</f>
        <v>-0.0850878577015253</v>
      </c>
      <c r="F41" s="5">
        <f>(pima_data!F41-AVERAGE(pima_data!$F$1:$F$768))/_xlfn.STDEV.P(pima_data!$F$1:$F$768)</f>
        <v>0.254780469489294</v>
      </c>
      <c r="G41" s="5">
        <f>(pima_data!G41-AVERAGE(pima_data!$G$1:$G$768))/_xlfn.STDEV.P(pima_data!$G$1:$G$768)</f>
        <v>-0.606670271760077</v>
      </c>
      <c r="H41" s="5">
        <f>(pima_data!H41-AVERAGE(pima_data!$H$1:$H$768))/_xlfn.STDEV.P(pima_data!$H$1:$H$768)</f>
        <v>-0.616110670809994</v>
      </c>
    </row>
    <row r="42" spans="1:8">
      <c r="A42" s="5">
        <f>(pima_data!A42-AVERAGE(pima_data!$A$1:$A$768))/_xlfn.STDEV.P(pima_data!$A$1:$A$768)</f>
        <v>0.936913722879839</v>
      </c>
      <c r="B42" s="5">
        <f>(pima_data!B42-AVERAGE(pima_data!$B$1:$B$768))/_xlfn.STDEV.P(pima_data!$B$1:$B$768)</f>
        <v>0.378866614721092</v>
      </c>
      <c r="C42" s="5">
        <f>(pima_data!C42-AVERAGE(pima_data!$C$1:$C$768))/_xlfn.STDEV.P(pima_data!$C$1:$C$768)</f>
        <v>0.77001375137835</v>
      </c>
      <c r="D42" s="5">
        <f>(pima_data!D42-AVERAGE(pima_data!$D$1:$D$768))/_xlfn.STDEV.P(pima_data!$D$1:$D$768)</f>
        <v>-1.28821221294523</v>
      </c>
      <c r="E42" s="5">
        <f>(pima_data!E42-AVERAGE(pima_data!$E$1:$E$768))/_xlfn.STDEV.P(pima_data!$E$1:$E$768)</f>
        <v>-0.692890572295466</v>
      </c>
      <c r="F42" s="5">
        <f>(pima_data!F42-AVERAGE(pima_data!$F$1:$F$768))/_xlfn.STDEV.P(pima_data!$F$1:$F$768)</f>
        <v>1.04167979070627</v>
      </c>
      <c r="G42" s="5">
        <f>(pima_data!G42-AVERAGE(pima_data!$G$1:$G$768))/_xlfn.STDEV.P(pima_data!$G$1:$G$768)</f>
        <v>0.676880166116218</v>
      </c>
      <c r="H42" s="5">
        <f>(pima_data!H42-AVERAGE(pima_data!$H$1:$H$768))/_xlfn.STDEV.P(pima_data!$H$1:$H$768)</f>
        <v>0.319854613671724</v>
      </c>
    </row>
    <row r="43" spans="1:8">
      <c r="A43" s="5">
        <f>(pima_data!A43-AVERAGE(pima_data!$A$1:$A$768))/_xlfn.STDEV.P(pima_data!$A$1:$A$768)</f>
        <v>0.936913722879839</v>
      </c>
      <c r="B43" s="5">
        <f>(pima_data!B43-AVERAGE(pima_data!$B$1:$B$768))/_xlfn.STDEV.P(pima_data!$B$1:$B$768)</f>
        <v>-0.466156309109882</v>
      </c>
      <c r="C43" s="5">
        <f>(pima_data!C43-AVERAGE(pima_data!$C$1:$C$768))/_xlfn.STDEV.P(pima_data!$C$1:$C$768)</f>
        <v>1.18359575054511</v>
      </c>
      <c r="D43" s="5">
        <f>(pima_data!D43-AVERAGE(pima_data!$D$1:$D$768))/_xlfn.STDEV.P(pima_data!$D$1:$D$768)</f>
        <v>-0.159107113290471</v>
      </c>
      <c r="E43" s="5">
        <f>(pima_data!E43-AVERAGE(pima_data!$E$1:$E$768))/_xlfn.STDEV.P(pima_data!$E$1:$E$768)</f>
        <v>-0.692890572295466</v>
      </c>
      <c r="F43" s="5">
        <f>(pima_data!F43-AVERAGE(pima_data!$F$1:$F$768))/_xlfn.STDEV.P(pima_data!$F$1:$F$768)</f>
        <v>-1.17940700305132</v>
      </c>
      <c r="G43" s="5">
        <f>(pima_data!G43-AVERAGE(pima_data!$G$1:$G$768))/_xlfn.STDEV.P(pima_data!$G$1:$G$768)</f>
        <v>-0.715394544144892</v>
      </c>
      <c r="H43" s="5">
        <f>(pima_data!H43-AVERAGE(pima_data!$H$1:$H$768))/_xlfn.STDEV.P(pima_data!$H$1:$H$768)</f>
        <v>1.25581989815344</v>
      </c>
    </row>
    <row r="44" spans="1:8">
      <c r="A44" s="5">
        <f>(pima_data!A44-AVERAGE(pima_data!$A$1:$A$768))/_xlfn.STDEV.P(pima_data!$A$1:$A$768)</f>
        <v>1.53084664832079</v>
      </c>
      <c r="B44" s="5">
        <f>(pima_data!B44-AVERAGE(pima_data!$B$1:$B$768))/_xlfn.STDEV.P(pima_data!$B$1:$B$768)</f>
        <v>1.56815813714987</v>
      </c>
      <c r="C44" s="5">
        <f>(pima_data!C44-AVERAGE(pima_data!$C$1:$C$768))/_xlfn.STDEV.P(pima_data!$C$1:$C$768)</f>
        <v>2.11415524867032</v>
      </c>
      <c r="D44" s="5">
        <f>(pima_data!D44-AVERAGE(pima_data!$D$1:$D$768))/_xlfn.STDEV.P(pima_data!$D$1:$D$768)</f>
        <v>0.217261253261116</v>
      </c>
      <c r="E44" s="5">
        <f>(pima_data!E44-AVERAGE(pima_data!$E$1:$E$768))/_xlfn.STDEV.P(pima_data!$E$1:$E$768)</f>
        <v>1.39100444916947</v>
      </c>
      <c r="F44" s="5">
        <f>(pima_data!F44-AVERAGE(pima_data!$F$1:$F$768))/_xlfn.STDEV.P(pima_data!$F$1:$F$768)</f>
        <v>1.70165986656567</v>
      </c>
      <c r="G44" s="5">
        <f>(pima_data!G44-AVERAGE(pima_data!$G$1:$G$768))/_xlfn.STDEV.P(pima_data!$G$1:$G$768)</f>
        <v>0.752383133050118</v>
      </c>
      <c r="H44" s="5">
        <f>(pima_data!H44-AVERAGE(pima_data!$H$1:$H$768))/_xlfn.STDEV.P(pima_data!$H$1:$H$768)</f>
        <v>1.76634641696165</v>
      </c>
    </row>
    <row r="45" spans="1:8">
      <c r="A45" s="5">
        <f>(pima_data!A45-AVERAGE(pima_data!$A$1:$A$768))/_xlfn.STDEV.P(pima_data!$A$1:$A$768)</f>
        <v>0.936913722879839</v>
      </c>
      <c r="B45" s="5">
        <f>(pima_data!B45-AVERAGE(pima_data!$B$1:$B$768))/_xlfn.STDEV.P(pima_data!$B$1:$B$768)</f>
        <v>1.19259239322499</v>
      </c>
      <c r="C45" s="5">
        <f>(pima_data!C45-AVERAGE(pima_data!$C$1:$C$768))/_xlfn.STDEV.P(pima_data!$C$1:$C$768)</f>
        <v>-0.263941246538553</v>
      </c>
      <c r="D45" s="5">
        <f>(pima_data!D45-AVERAGE(pima_data!$D$1:$D$768))/_xlfn.STDEV.P(pima_data!$D$1:$D$768)</f>
        <v>-1.28821221294523</v>
      </c>
      <c r="E45" s="5">
        <f>(pima_data!E45-AVERAGE(pima_data!$E$1:$E$768))/_xlfn.STDEV.P(pima_data!$E$1:$E$768)</f>
        <v>-0.692890572295466</v>
      </c>
      <c r="F45" s="5">
        <f>(pima_data!F45-AVERAGE(pima_data!$F$1:$F$768))/_xlfn.STDEV.P(pima_data!$F$1:$F$768)</f>
        <v>-0.582886549870711</v>
      </c>
      <c r="G45" s="5">
        <f>(pima_data!G45-AVERAGE(pima_data!$G$1:$G$768))/_xlfn.STDEV.P(pima_data!$G$1:$G$768)</f>
        <v>-0.537207542180889</v>
      </c>
      <c r="H45" s="5">
        <f>(pima_data!H45-AVERAGE(pima_data!$H$1:$H$768))/_xlfn.STDEV.P(pima_data!$H$1:$H$768)</f>
        <v>0.575117873075829</v>
      </c>
    </row>
    <row r="46" spans="1:8">
      <c r="A46" s="5">
        <f>(pima_data!A46-AVERAGE(pima_data!$A$1:$A$768))/_xlfn.STDEV.P(pima_data!$A$1:$A$768)</f>
        <v>-1.1418515161635</v>
      </c>
      <c r="B46" s="5">
        <f>(pima_data!B46-AVERAGE(pima_data!$B$1:$B$768))/_xlfn.STDEV.P(pima_data!$B$1:$B$768)</f>
        <v>1.84983244509353</v>
      </c>
      <c r="C46" s="5">
        <f>(pima_data!C46-AVERAGE(pima_data!$C$1:$C$768))/_xlfn.STDEV.P(pima_data!$C$1:$C$768)</f>
        <v>-0.160545746746863</v>
      </c>
      <c r="D46" s="5">
        <f>(pima_data!D46-AVERAGE(pima_data!$D$1:$D$768))/_xlfn.STDEV.P(pima_data!$D$1:$D$768)</f>
        <v>1.15818216964008</v>
      </c>
      <c r="E46" s="5">
        <f>(pima_data!E46-AVERAGE(pima_data!$E$1:$E$768))/_xlfn.STDEV.P(pima_data!$E$1:$E$768)</f>
        <v>-0.692890572295466</v>
      </c>
      <c r="F46" s="5">
        <f>(pima_data!F46-AVERAGE(pima_data!$F$1:$F$768))/_xlfn.STDEV.P(pima_data!$F$1:$F$768)</f>
        <v>1.27013443234991</v>
      </c>
      <c r="G46" s="5">
        <f>(pima_data!G46-AVERAGE(pima_data!$G$1:$G$768))/_xlfn.STDEV.P(pima_data!$G$1:$G$768)</f>
        <v>4.29196222291134</v>
      </c>
      <c r="H46" s="5">
        <f>(pima_data!H46-AVERAGE(pima_data!$H$1:$H$768))/_xlfn.STDEV.P(pima_data!$H$1:$H$768)</f>
        <v>-0.701198423944696</v>
      </c>
    </row>
    <row r="47" spans="1:8">
      <c r="A47" s="5">
        <f>(pima_data!A47-AVERAGE(pima_data!$A$1:$A$768))/_xlfn.STDEV.P(pima_data!$A$1:$A$768)</f>
        <v>-0.844885053443025</v>
      </c>
      <c r="B47" s="5">
        <f>(pima_data!B47-AVERAGE(pima_data!$B$1:$B$768))/_xlfn.STDEV.P(pima_data!$B$1:$B$768)</f>
        <v>0.785729503973042</v>
      </c>
      <c r="C47" s="5">
        <f>(pima_data!C47-AVERAGE(pima_data!$C$1:$C$768))/_xlfn.STDEV.P(pima_data!$C$1:$C$768)</f>
        <v>-0.677523245705314</v>
      </c>
      <c r="D47" s="5">
        <f>(pima_data!D47-AVERAGE(pima_data!$D$1:$D$768))/_xlfn.STDEV.P(pima_data!$D$1:$D$768)</f>
        <v>-1.28821221294523</v>
      </c>
      <c r="E47" s="5">
        <f>(pima_data!E47-AVERAGE(pima_data!$E$1:$E$768))/_xlfn.STDEV.P(pima_data!$E$1:$E$768)</f>
        <v>-0.692890572295466</v>
      </c>
      <c r="F47" s="5">
        <f>(pima_data!F47-AVERAGE(pima_data!$F$1:$F$768))/_xlfn.STDEV.P(pima_data!$F$1:$F$768)</f>
        <v>-0.290972285548285</v>
      </c>
      <c r="G47" s="5">
        <f>(pima_data!G47-AVERAGE(pima_data!$G$1:$G$768))/_xlfn.STDEV.P(pima_data!$G$1:$G$768)</f>
        <v>0.278224500705228</v>
      </c>
      <c r="H47" s="5">
        <f>(pima_data!H47-AVERAGE(pima_data!$H$1:$H$768))/_xlfn.STDEV.P(pima_data!$H$1:$H$768)</f>
        <v>-0.360847411405889</v>
      </c>
    </row>
    <row r="48" spans="1:8">
      <c r="A48" s="5">
        <f>(pima_data!A48-AVERAGE(pima_data!$A$1:$A$768))/_xlfn.STDEV.P(pima_data!$A$1:$A$768)</f>
        <v>-0.547918590722547</v>
      </c>
      <c r="B48" s="5">
        <f>(pima_data!B48-AVERAGE(pima_data!$B$1:$B$768))/_xlfn.STDEV.P(pima_data!$B$1:$B$768)</f>
        <v>-1.56155639555744</v>
      </c>
      <c r="C48" s="5">
        <f>(pima_data!C48-AVERAGE(pima_data!$C$1:$C$768))/_xlfn.STDEV.P(pima_data!$C$1:$C$768)</f>
        <v>0.0462452528365177</v>
      </c>
      <c r="D48" s="5">
        <f>(pima_data!D48-AVERAGE(pima_data!$D$1:$D$768))/_xlfn.STDEV.P(pima_data!$D$1:$D$768)</f>
        <v>0.40544543653691</v>
      </c>
      <c r="E48" s="5">
        <f>(pima_data!E48-AVERAGE(pima_data!$E$1:$E$768))/_xlfn.STDEV.P(pima_data!$E$1:$E$768)</f>
        <v>-0.692890572295466</v>
      </c>
      <c r="F48" s="5">
        <f>(pima_data!F48-AVERAGE(pima_data!$F$1:$F$768))/_xlfn.STDEV.P(pima_data!$F$1:$F$768)</f>
        <v>-0.506735002656165</v>
      </c>
      <c r="G48" s="5">
        <f>(pima_data!G48-AVERAGE(pima_data!$G$1:$G$768))/_xlfn.STDEV.P(pima_data!$G$1:$G$768)</f>
        <v>0.34466711160706</v>
      </c>
      <c r="H48" s="5">
        <f>(pima_data!H48-AVERAGE(pima_data!$H$1:$H$768))/_xlfn.STDEV.P(pima_data!$H$1:$H$768)</f>
        <v>-0.956461683348801</v>
      </c>
    </row>
    <row r="49" spans="1:8">
      <c r="A49" s="5">
        <f>(pima_data!A49-AVERAGE(pima_data!$A$1:$A$768))/_xlfn.STDEV.P(pima_data!$A$1:$A$768)</f>
        <v>0.936913722879839</v>
      </c>
      <c r="B49" s="5">
        <f>(pima_data!B49-AVERAGE(pima_data!$B$1:$B$768))/_xlfn.STDEV.P(pima_data!$B$1:$B$768)</f>
        <v>-0.560047745091101</v>
      </c>
      <c r="C49" s="5">
        <f>(pima_data!C49-AVERAGE(pima_data!$C$1:$C$768))/_xlfn.STDEV.P(pima_data!$C$1:$C$768)</f>
        <v>-0.160545746746863</v>
      </c>
      <c r="D49" s="5">
        <f>(pima_data!D49-AVERAGE(pima_data!$D$1:$D$768))/_xlfn.STDEV.P(pima_data!$D$1:$D$768)</f>
        <v>0.719085741996565</v>
      </c>
      <c r="E49" s="5">
        <f>(pima_data!E49-AVERAGE(pima_data!$E$1:$E$768))/_xlfn.STDEV.P(pima_data!$E$1:$E$768)</f>
        <v>-0.692890572295466</v>
      </c>
      <c r="F49" s="5">
        <f>(pima_data!F49-AVERAGE(pima_data!$F$1:$F$768))/_xlfn.STDEV.P(pima_data!$F$1:$F$768)</f>
        <v>0.902068620812935</v>
      </c>
      <c r="G49" s="5">
        <f>(pima_data!G49-AVERAGE(pima_data!$G$1:$G$768))/_xlfn.STDEV.P(pima_data!$G$1:$G$768)</f>
        <v>-0.38620160831309</v>
      </c>
      <c r="H49" s="5">
        <f>(pima_data!H49-AVERAGE(pima_data!$H$1:$H$768))/_xlfn.STDEV.P(pima_data!$H$1:$H$768)</f>
        <v>-0.190671905136486</v>
      </c>
    </row>
    <row r="50" spans="1:8">
      <c r="A50" s="5">
        <f>(pima_data!A50-AVERAGE(pima_data!$A$1:$A$768))/_xlfn.STDEV.P(pima_data!$A$1:$A$768)</f>
        <v>0.936913722879839</v>
      </c>
      <c r="B50" s="5">
        <f>(pima_data!B50-AVERAGE(pima_data!$B$1:$B$768))/_xlfn.STDEV.P(pima_data!$B$1:$B$768)</f>
        <v>-0.497453454436955</v>
      </c>
      <c r="C50" s="5">
        <f>(pima_data!C50-AVERAGE(pima_data!$C$1:$C$768))/_xlfn.STDEV.P(pima_data!$C$1:$C$768)</f>
        <v>-3.57259723987264</v>
      </c>
      <c r="D50" s="5">
        <f>(pima_data!D50-AVERAGE(pima_data!$D$1:$D$768))/_xlfn.STDEV.P(pima_data!$D$1:$D$768)</f>
        <v>-1.28821221294523</v>
      </c>
      <c r="E50" s="5">
        <f>(pima_data!E50-AVERAGE(pima_data!$E$1:$E$768))/_xlfn.STDEV.P(pima_data!$E$1:$E$768)</f>
        <v>-0.692890572295466</v>
      </c>
      <c r="F50" s="5">
        <f>(pima_data!F50-AVERAGE(pima_data!$F$1:$F$768))/_xlfn.STDEV.P(pima_data!$F$1:$F$768)</f>
        <v>-4.06047387266831</v>
      </c>
      <c r="G50" s="5">
        <f>(pima_data!G50-AVERAGE(pima_data!$G$1:$G$768))/_xlfn.STDEV.P(pima_data!$G$1:$G$768)</f>
        <v>-0.503986236729973</v>
      </c>
      <c r="H50" s="5">
        <f>(pima_data!H50-AVERAGE(pima_data!$H$1:$H$768))/_xlfn.STDEV.P(pima_data!$H$1:$H$768)</f>
        <v>-0.786286177079398</v>
      </c>
    </row>
    <row r="51" spans="1:8">
      <c r="A51" s="5">
        <f>(pima_data!A51-AVERAGE(pima_data!$A$1:$A$768))/_xlfn.STDEV.P(pima_data!$A$1:$A$768)</f>
        <v>-0.844885053443025</v>
      </c>
      <c r="B51" s="5">
        <f>(pima_data!B51-AVERAGE(pima_data!$B$1:$B$768))/_xlfn.STDEV.P(pima_data!$B$1:$B$768)</f>
        <v>-0.560047745091101</v>
      </c>
      <c r="C51" s="5">
        <f>(pima_data!C51-AVERAGE(pima_data!$C$1:$C$768))/_xlfn.STDEV.P(pima_data!$C$1:$C$768)</f>
        <v>0.563222751794969</v>
      </c>
      <c r="D51" s="5">
        <f>(pima_data!D51-AVERAGE(pima_data!$D$1:$D$768))/_xlfn.STDEV.P(pima_data!$D$1:$D$768)</f>
        <v>-0.59820354093399</v>
      </c>
      <c r="E51" s="5">
        <f>(pima_data!E51-AVERAGE(pima_data!$E$1:$E$768))/_xlfn.STDEV.P(pima_data!$E$1:$E$768)</f>
        <v>0.0191068933717217</v>
      </c>
      <c r="F51" s="5">
        <f>(pima_data!F51-AVERAGE(pima_data!$F$1:$F$768))/_xlfn.STDEV.P(pima_data!$F$1:$F$768)</f>
        <v>-1.59824051273132</v>
      </c>
      <c r="G51" s="5">
        <f>(pima_data!G51-AVERAGE(pima_data!$G$1:$G$768))/_xlfn.STDEV.P(pima_data!$G$1:$G$768)</f>
        <v>0.0577558372582407</v>
      </c>
      <c r="H51" s="5">
        <f>(pima_data!H51-AVERAGE(pima_data!$H$1:$H$768))/_xlfn.STDEV.P(pima_data!$H$1:$H$768)</f>
        <v>-0.956461683348801</v>
      </c>
    </row>
    <row r="52" spans="1:8">
      <c r="A52" s="5">
        <f>(pima_data!A52-AVERAGE(pima_data!$A$1:$A$768))/_xlfn.STDEV.P(pima_data!$A$1:$A$768)</f>
        <v>-0.844885053443025</v>
      </c>
      <c r="B52" s="5">
        <f>(pima_data!B52-AVERAGE(pima_data!$B$1:$B$768))/_xlfn.STDEV.P(pima_data!$B$1:$B$768)</f>
        <v>-0.622642035745247</v>
      </c>
      <c r="C52" s="5">
        <f>(pima_data!C52-AVERAGE(pima_data!$C$1:$C$768))/_xlfn.STDEV.P(pima_data!$C$1:$C$768)</f>
        <v>-0.987709745080385</v>
      </c>
      <c r="D52" s="5">
        <f>(pima_data!D52-AVERAGE(pima_data!$D$1:$D$768))/_xlfn.STDEV.P(pima_data!$D$1:$D$768)</f>
        <v>-0.347291296566265</v>
      </c>
      <c r="E52" s="5">
        <f>(pima_data!E52-AVERAGE(pima_data!$E$1:$E$768))/_xlfn.STDEV.P(pima_data!$E$1:$E$768)</f>
        <v>-0.380306319075725</v>
      </c>
      <c r="F52" s="5">
        <f>(pima_data!F52-AVERAGE(pima_data!$F$1:$F$768))/_xlfn.STDEV.P(pima_data!$F$1:$F$768)</f>
        <v>-0.989028135014956</v>
      </c>
      <c r="G52" s="5">
        <f>(pima_data!G52-AVERAGE(pima_data!$G$1:$G$768))/_xlfn.STDEV.P(pima_data!$G$1:$G$768)</f>
        <v>0.1634599909657</v>
      </c>
      <c r="H52" s="5">
        <f>(pima_data!H52-AVERAGE(pima_data!$H$1:$H$768))/_xlfn.STDEV.P(pima_data!$H$1:$H$768)</f>
        <v>-0.616110670809994</v>
      </c>
    </row>
    <row r="53" spans="1:8">
      <c r="A53" s="5">
        <f>(pima_data!A53-AVERAGE(pima_data!$A$1:$A$768))/_xlfn.STDEV.P(pima_data!$A$1:$A$768)</f>
        <v>0.342980797438884</v>
      </c>
      <c r="B53" s="5">
        <f>(pima_data!B53-AVERAGE(pima_data!$B$1:$B$768))/_xlfn.STDEV.P(pima_data!$B$1:$B$768)</f>
        <v>-1.0295049249972</v>
      </c>
      <c r="C53" s="5">
        <f>(pima_data!C53-AVERAGE(pima_data!$C$1:$C$768))/_xlfn.STDEV.P(pima_data!$C$1:$C$768)</f>
        <v>-0.160545746746863</v>
      </c>
      <c r="D53" s="5">
        <f>(pima_data!D53-AVERAGE(pima_data!$D$1:$D$768))/_xlfn.STDEV.P(pima_data!$D$1:$D$768)</f>
        <v>0.0290770699853223</v>
      </c>
      <c r="E53" s="5">
        <f>(pima_data!E53-AVERAGE(pima_data!$E$1:$E$768))/_xlfn.STDEV.P(pima_data!$E$1:$E$768)</f>
        <v>-0.493183966071743</v>
      </c>
      <c r="F53" s="5">
        <f>(pima_data!F53-AVERAGE(pima_data!$F$1:$F$768))/_xlfn.STDEV.P(pima_data!$F$1:$F$768)</f>
        <v>-0.963644285943441</v>
      </c>
      <c r="G53" s="5">
        <f>(pima_data!G53-AVERAGE(pima_data!$G$1:$G$768))/_xlfn.STDEV.P(pima_data!$G$1:$G$768)</f>
        <v>-0.392241845667802</v>
      </c>
      <c r="H53" s="5">
        <f>(pima_data!H53-AVERAGE(pima_data!$H$1:$H$768))/_xlfn.STDEV.P(pima_data!$H$1:$H$768)</f>
        <v>-0.275759658271188</v>
      </c>
    </row>
    <row r="54" spans="1:8">
      <c r="A54" s="5">
        <f>(pima_data!A54-AVERAGE(pima_data!$A$1:$A$768))/_xlfn.STDEV.P(pima_data!$A$1:$A$768)</f>
        <v>1.23388018560032</v>
      </c>
      <c r="B54" s="5">
        <f>(pima_data!B54-AVERAGE(pima_data!$B$1:$B$768))/_xlfn.STDEV.P(pima_data!$B$1:$B$768)</f>
        <v>1.72464386378524</v>
      </c>
      <c r="C54" s="5">
        <f>(pima_data!C54-AVERAGE(pima_data!$C$1:$C$768))/_xlfn.STDEV.P(pima_data!$C$1:$C$768)</f>
        <v>1.08020025075342</v>
      </c>
      <c r="D54" s="5">
        <f>(pima_data!D54-AVERAGE(pima_data!$D$1:$D$768))/_xlfn.STDEV.P(pima_data!$D$1:$D$768)</f>
        <v>0.844541864180428</v>
      </c>
      <c r="E54" s="5">
        <f>(pima_data!E54-AVERAGE(pima_data!$E$1:$E$768))/_xlfn.STDEV.P(pima_data!$E$1:$E$768)</f>
        <v>1.91197820453571</v>
      </c>
      <c r="F54" s="5">
        <f>(pima_data!F54-AVERAGE(pima_data!$F$1:$F$768))/_xlfn.STDEV.P(pima_data!$F$1:$F$768)</f>
        <v>0.216704695882022</v>
      </c>
      <c r="G54" s="5">
        <f>(pima_data!G54-AVERAGE(pima_data!$G$1:$G$768))/_xlfn.STDEV.P(pima_data!$G$1:$G$768)</f>
        <v>-0.0147270109983029</v>
      </c>
      <c r="H54" s="5">
        <f>(pima_data!H54-AVERAGE(pima_data!$H$1:$H$768))/_xlfn.STDEV.P(pima_data!$H$1:$H$768)</f>
        <v>2.10669742950046</v>
      </c>
    </row>
    <row r="55" spans="1:8">
      <c r="A55" s="5">
        <f>(pima_data!A55-AVERAGE(pima_data!$A$1:$A$768))/_xlfn.STDEV.P(pima_data!$A$1:$A$768)</f>
        <v>0.936913722879839</v>
      </c>
      <c r="B55" s="5">
        <f>(pima_data!B55-AVERAGE(pima_data!$B$1:$B$768))/_xlfn.STDEV.P(pima_data!$B$1:$B$768)</f>
        <v>0.910918085281335</v>
      </c>
      <c r="C55" s="5">
        <f>(pima_data!C55-AVERAGE(pima_data!$C$1:$C$768))/_xlfn.STDEV.P(pima_data!$C$1:$C$768)</f>
        <v>-0.160545746746863</v>
      </c>
      <c r="D55" s="5">
        <f>(pima_data!D55-AVERAGE(pima_data!$D$1:$D$768))/_xlfn.STDEV.P(pima_data!$D$1:$D$768)</f>
        <v>1.34636635291588</v>
      </c>
      <c r="E55" s="5">
        <f>(pima_data!E55-AVERAGE(pima_data!$E$1:$E$768))/_xlfn.STDEV.P(pima_data!$E$1:$E$768)</f>
        <v>2.27665983329207</v>
      </c>
      <c r="F55" s="5">
        <f>(pima_data!F55-AVERAGE(pima_data!$F$1:$F$768))/_xlfn.STDEV.P(pima_data!$F$1:$F$768)</f>
        <v>0.343623941239598</v>
      </c>
      <c r="G55" s="5">
        <f>(pima_data!G55-AVERAGE(pima_data!$G$1:$G$768))/_xlfn.STDEV.P(pima_data!$G$1:$G$768)</f>
        <v>0.74332277701805</v>
      </c>
      <c r="H55" s="5">
        <f>(pima_data!H55-AVERAGE(pima_data!$H$1:$H$768))/_xlfn.STDEV.P(pima_data!$H$1:$H$768)</f>
        <v>0.745293379345232</v>
      </c>
    </row>
    <row r="56" spans="1:8">
      <c r="A56" s="5">
        <f>(pima_data!A56-AVERAGE(pima_data!$A$1:$A$768))/_xlfn.STDEV.P(pima_data!$A$1:$A$768)</f>
        <v>-0.844885053443025</v>
      </c>
      <c r="B56" s="5">
        <f>(pima_data!B56-AVERAGE(pima_data!$B$1:$B$768))/_xlfn.STDEV.P(pima_data!$B$1:$B$768)</f>
        <v>-1.49896210490329</v>
      </c>
      <c r="C56" s="5">
        <f>(pima_data!C56-AVERAGE(pima_data!$C$1:$C$768))/_xlfn.STDEV.P(pima_data!$C$1:$C$768)</f>
        <v>-0.987709745080385</v>
      </c>
      <c r="D56" s="5">
        <f>(pima_data!D56-AVERAGE(pima_data!$D$1:$D$768))/_xlfn.STDEV.P(pima_data!$D$1:$D$768)</f>
        <v>-0.660931602025921</v>
      </c>
      <c r="E56" s="5">
        <f>(pima_data!E56-AVERAGE(pima_data!$E$1:$E$768))/_xlfn.STDEV.P(pima_data!$E$1:$E$768)</f>
        <v>-0.692890572295466</v>
      </c>
      <c r="F56" s="5">
        <f>(pima_data!F56-AVERAGE(pima_data!$F$1:$F$768))/_xlfn.STDEV.P(pima_data!$F$1:$F$768)</f>
        <v>-1.14133122944405</v>
      </c>
      <c r="G56" s="5">
        <f>(pima_data!G56-AVERAGE(pima_data!$G$1:$G$768))/_xlfn.STDEV.P(pima_data!$G$1:$G$768)</f>
        <v>-0.676133001339265</v>
      </c>
      <c r="H56" s="5">
        <f>(pima_data!H56-AVERAGE(pima_data!$H$1:$H$768))/_xlfn.STDEV.P(pima_data!$H$1:$H$768)</f>
        <v>-1.0415494364835</v>
      </c>
    </row>
    <row r="57" spans="1:8">
      <c r="A57" s="5">
        <f>(pima_data!A57-AVERAGE(pima_data!$A$1:$A$768))/_xlfn.STDEV.P(pima_data!$A$1:$A$768)</f>
        <v>0.936913722879839</v>
      </c>
      <c r="B57" s="5">
        <f>(pima_data!B57-AVERAGE(pima_data!$B$1:$B$768))/_xlfn.STDEV.P(pima_data!$B$1:$B$768)</f>
        <v>2.06891246238304</v>
      </c>
      <c r="C57" s="5">
        <f>(pima_data!C57-AVERAGE(pima_data!$C$1:$C$768))/_xlfn.STDEV.P(pima_data!$C$1:$C$768)</f>
        <v>-0.0571502469551726</v>
      </c>
      <c r="D57" s="5">
        <f>(pima_data!D57-AVERAGE(pima_data!$D$1:$D$768))/_xlfn.STDEV.P(pima_data!$D$1:$D$768)</f>
        <v>1.15818216964008</v>
      </c>
      <c r="E57" s="5">
        <f>(pima_data!E57-AVERAGE(pima_data!$E$1:$E$768))/_xlfn.STDEV.P(pima_data!$E$1:$E$768)</f>
        <v>1.94670978822679</v>
      </c>
      <c r="F57" s="5">
        <f>(pima_data!F57-AVERAGE(pima_data!$F$1:$F$768))/_xlfn.STDEV.P(pima_data!$F$1:$F$768)</f>
        <v>0.724381677312328</v>
      </c>
      <c r="G57" s="5">
        <f>(pima_data!G57-AVERAGE(pima_data!$G$1:$G$768))/_xlfn.STDEV.P(pima_data!$G$1:$G$768)</f>
        <v>-0.658012289275129</v>
      </c>
      <c r="H57" s="5">
        <f>(pima_data!H57-AVERAGE(pima_data!$H$1:$H$768))/_xlfn.STDEV.P(pima_data!$H$1:$H$768)</f>
        <v>0.66020562621053</v>
      </c>
    </row>
    <row r="58" spans="1:8">
      <c r="A58" s="5">
        <f>(pima_data!A58-AVERAGE(pima_data!$A$1:$A$768))/_xlfn.STDEV.P(pima_data!$A$1:$A$768)</f>
        <v>-1.1418515161635</v>
      </c>
      <c r="B58" s="5">
        <f>(pima_data!B58-AVERAGE(pima_data!$B$1:$B$768))/_xlfn.STDEV.P(pima_data!$B$1:$B$768)</f>
        <v>-0.65393918107232</v>
      </c>
      <c r="C58" s="5">
        <f>(pima_data!C58-AVERAGE(pima_data!$C$1:$C$768))/_xlfn.STDEV.P(pima_data!$C$1:$C$768)</f>
        <v>0.97680475096173</v>
      </c>
      <c r="D58" s="5">
        <f>(pima_data!D58-AVERAGE(pima_data!$D$1:$D$768))/_xlfn.STDEV.P(pima_data!$D$1:$D$768)</f>
        <v>2.47547145257064</v>
      </c>
      <c r="E58" s="5">
        <f>(pima_data!E58-AVERAGE(pima_data!$E$1:$E$768))/_xlfn.STDEV.P(pima_data!$E$1:$E$768)</f>
        <v>0.262227979209298</v>
      </c>
      <c r="F58" s="5">
        <f>(pima_data!F58-AVERAGE(pima_data!$F$1:$F$768))/_xlfn.STDEV.P(pima_data!$F$1:$F$768)</f>
        <v>1.87934681006627</v>
      </c>
      <c r="G58" s="5">
        <f>(pima_data!G58-AVERAGE(pima_data!$G$1:$G$768))/_xlfn.STDEV.P(pima_data!$G$1:$G$768)</f>
        <v>1.48023173429291</v>
      </c>
      <c r="H58" s="5">
        <f>(pima_data!H58-AVERAGE(pima_data!$H$1:$H$768))/_xlfn.STDEV.P(pima_data!$H$1:$H$768)</f>
        <v>-0.190671905136486</v>
      </c>
    </row>
    <row r="59" spans="1:8">
      <c r="A59" s="5">
        <f>(pima_data!A59-AVERAGE(pima_data!$A$1:$A$768))/_xlfn.STDEV.P(pima_data!$A$1:$A$768)</f>
        <v>-1.1418515161635</v>
      </c>
      <c r="B59" s="5">
        <f>(pima_data!B59-AVERAGE(pima_data!$B$1:$B$768))/_xlfn.STDEV.P(pima_data!$B$1:$B$768)</f>
        <v>0.785729503973042</v>
      </c>
      <c r="C59" s="5">
        <f>(pima_data!C59-AVERAGE(pima_data!$C$1:$C$768))/_xlfn.STDEV.P(pima_data!$C$1:$C$768)</f>
        <v>0.666618251586659</v>
      </c>
      <c r="D59" s="5">
        <f>(pima_data!D59-AVERAGE(pima_data!$D$1:$D$768))/_xlfn.STDEV.P(pima_data!$D$1:$D$768)</f>
        <v>-1.28821221294523</v>
      </c>
      <c r="E59" s="5">
        <f>(pima_data!E59-AVERAGE(pima_data!$E$1:$E$768))/_xlfn.STDEV.P(pima_data!$E$1:$E$768)</f>
        <v>-0.692890572295466</v>
      </c>
      <c r="F59" s="5">
        <f>(pima_data!F59-AVERAGE(pima_data!$F$1:$F$768))/_xlfn.STDEV.P(pima_data!$F$1:$F$768)</f>
        <v>1.07975556431354</v>
      </c>
      <c r="G59" s="5">
        <f>(pima_data!G59-AVERAGE(pima_data!$G$1:$G$768))/_xlfn.STDEV.P(pima_data!$G$1:$G$768)</f>
        <v>3.95370893104747</v>
      </c>
      <c r="H59" s="5">
        <f>(pima_data!H59-AVERAGE(pima_data!$H$1:$H$768))/_xlfn.STDEV.P(pima_data!$H$1:$H$768)</f>
        <v>0.915468885614635</v>
      </c>
    </row>
    <row r="60" spans="1:8">
      <c r="A60" s="5">
        <f>(pima_data!A60-AVERAGE(pima_data!$A$1:$A$768))/_xlfn.STDEV.P(pima_data!$A$1:$A$768)</f>
        <v>-1.1418515161635</v>
      </c>
      <c r="B60" s="5">
        <f>(pima_data!B60-AVERAGE(pima_data!$B$1:$B$768))/_xlfn.STDEV.P(pima_data!$B$1:$B$768)</f>
        <v>-0.497453454436955</v>
      </c>
      <c r="C60" s="5">
        <f>(pima_data!C60-AVERAGE(pima_data!$C$1:$C$768))/_xlfn.STDEV.P(pima_data!$C$1:$C$768)</f>
        <v>-0.263941246538553</v>
      </c>
      <c r="D60" s="5">
        <f>(pima_data!D60-AVERAGE(pima_data!$D$1:$D$768))/_xlfn.STDEV.P(pima_data!$D$1:$D$768)</f>
        <v>1.28363829182395</v>
      </c>
      <c r="E60" s="5">
        <f>(pima_data!E60-AVERAGE(pima_data!$E$1:$E$768))/_xlfn.STDEV.P(pima_data!$E$1:$E$768)</f>
        <v>0.540080648737957</v>
      </c>
      <c r="F60" s="5">
        <f>(pima_data!F60-AVERAGE(pima_data!$F$1:$F$768))/_xlfn.STDEV.P(pima_data!$F$1:$F$768)</f>
        <v>1.20667480967112</v>
      </c>
      <c r="G60" s="5">
        <f>(pima_data!G60-AVERAGE(pima_data!$G$1:$G$768))/_xlfn.STDEV.P(pima_data!$G$1:$G$768)</f>
        <v>-0.902641902140964</v>
      </c>
      <c r="H60" s="5">
        <f>(pima_data!H60-AVERAGE(pima_data!$H$1:$H$768))/_xlfn.STDEV.P(pima_data!$H$1:$H$768)</f>
        <v>-0.956461683348801</v>
      </c>
    </row>
    <row r="61" spans="1:8">
      <c r="A61" s="5">
        <f>(pima_data!A61-AVERAGE(pima_data!$A$1:$A$768))/_xlfn.STDEV.P(pima_data!$A$1:$A$768)</f>
        <v>-0.547918590722547</v>
      </c>
      <c r="B61" s="5">
        <f>(pima_data!B61-AVERAGE(pima_data!$B$1:$B$768))/_xlfn.STDEV.P(pima_data!$B$1:$B$768)</f>
        <v>-1.15469350630549</v>
      </c>
      <c r="C61" s="5">
        <f>(pima_data!C61-AVERAGE(pima_data!$C$1:$C$768))/_xlfn.STDEV.P(pima_data!$C$1:$C$768)</f>
        <v>-3.57259723987264</v>
      </c>
      <c r="D61" s="5">
        <f>(pima_data!D61-AVERAGE(pima_data!$D$1:$D$768))/_xlfn.STDEV.P(pima_data!$D$1:$D$768)</f>
        <v>-1.28821221294523</v>
      </c>
      <c r="E61" s="5">
        <f>(pima_data!E61-AVERAGE(pima_data!$E$1:$E$768))/_xlfn.STDEV.P(pima_data!$E$1:$E$768)</f>
        <v>-0.692890572295466</v>
      </c>
      <c r="F61" s="5">
        <f>(pima_data!F61-AVERAGE(pima_data!$F$1:$F$768))/_xlfn.STDEV.P(pima_data!$F$1:$F$768)</f>
        <v>-4.06047387266831</v>
      </c>
      <c r="G61" s="5">
        <f>(pima_data!G61-AVERAGE(pima_data!$G$1:$G$768))/_xlfn.STDEV.P(pima_data!$G$1:$G$768)</f>
        <v>-0.507006355407329</v>
      </c>
      <c r="H61" s="5">
        <f>(pima_data!H61-AVERAGE(pima_data!$H$1:$H$768))/_xlfn.STDEV.P(pima_data!$H$1:$H$768)</f>
        <v>-1.0415494364835</v>
      </c>
    </row>
    <row r="62" spans="1:8">
      <c r="A62" s="5">
        <f>(pima_data!A62-AVERAGE(pima_data!$A$1:$A$768))/_xlfn.STDEV.P(pima_data!$A$1:$A$768)</f>
        <v>1.23388018560032</v>
      </c>
      <c r="B62" s="5">
        <f>(pima_data!B62-AVERAGE(pima_data!$B$1:$B$768))/_xlfn.STDEV.P(pima_data!$B$1:$B$768)</f>
        <v>0.378866614721092</v>
      </c>
      <c r="C62" s="5">
        <f>(pima_data!C62-AVERAGE(pima_data!$C$1:$C$768))/_xlfn.STDEV.P(pima_data!$C$1:$C$768)</f>
        <v>0.149640752628208</v>
      </c>
      <c r="D62" s="5">
        <f>(pima_data!D62-AVERAGE(pima_data!$D$1:$D$768))/_xlfn.STDEV.P(pima_data!$D$1:$D$768)</f>
        <v>-1.28821221294523</v>
      </c>
      <c r="E62" s="5">
        <f>(pima_data!E62-AVERAGE(pima_data!$E$1:$E$768))/_xlfn.STDEV.P(pima_data!$E$1:$E$768)</f>
        <v>-0.692890572295466</v>
      </c>
      <c r="F62" s="5">
        <f>(pima_data!F62-AVERAGE(pima_data!$F$1:$F$768))/_xlfn.STDEV.P(pima_data!$F$1:$F$768)</f>
        <v>0.11516929959596</v>
      </c>
      <c r="G62" s="5">
        <f>(pima_data!G62-AVERAGE(pima_data!$G$1:$G$768))/_xlfn.STDEV.P(pima_data!$G$1:$G$768)</f>
        <v>-0.609690390437433</v>
      </c>
      <c r="H62" s="5">
        <f>(pima_data!H62-AVERAGE(pima_data!$H$1:$H$768))/_xlfn.STDEV.P(pima_data!$H$1:$H$768)</f>
        <v>0.490030119941127</v>
      </c>
    </row>
    <row r="63" spans="1:8">
      <c r="A63" s="5">
        <f>(pima_data!A63-AVERAGE(pima_data!$A$1:$A$768))/_xlfn.STDEV.P(pima_data!$A$1:$A$768)</f>
        <v>0.342980797438884</v>
      </c>
      <c r="B63" s="5">
        <f>(pima_data!B63-AVERAGE(pima_data!$B$1:$B$768))/_xlfn.STDEV.P(pima_data!$B$1:$B$768)</f>
        <v>-2.40657931938841</v>
      </c>
      <c r="C63" s="5">
        <f>(pima_data!C63-AVERAGE(pima_data!$C$1:$C$768))/_xlfn.STDEV.P(pima_data!$C$1:$C$768)</f>
        <v>-0.367336746330243</v>
      </c>
      <c r="D63" s="5">
        <f>(pima_data!D63-AVERAGE(pima_data!$D$1:$D$768))/_xlfn.STDEV.P(pima_data!$D$1:$D$768)</f>
        <v>-1.28821221294523</v>
      </c>
      <c r="E63" s="5">
        <f>(pima_data!E63-AVERAGE(pima_data!$E$1:$E$768))/_xlfn.STDEV.P(pima_data!$E$1:$E$768)</f>
        <v>-0.692890572295466</v>
      </c>
      <c r="F63" s="5">
        <f>(pima_data!F63-AVERAGE(pima_data!$F$1:$F$768))/_xlfn.STDEV.P(pima_data!$F$1:$F$768)</f>
        <v>-0.887492738728894</v>
      </c>
      <c r="G63" s="5">
        <f>(pima_data!G63-AVERAGE(pima_data!$G$1:$G$768))/_xlfn.STDEV.P(pima_data!$G$1:$G$768)</f>
        <v>0.347687230284416</v>
      </c>
      <c r="H63" s="5">
        <f>(pima_data!H63-AVERAGE(pima_data!$H$1:$H$768))/_xlfn.STDEV.P(pima_data!$H$1:$H$768)</f>
        <v>0.234766860537022</v>
      </c>
    </row>
    <row r="64" spans="1:8">
      <c r="A64" s="5">
        <f>(pima_data!A64-AVERAGE(pima_data!$A$1:$A$768))/_xlfn.STDEV.P(pima_data!$A$1:$A$768)</f>
        <v>-0.547918590722547</v>
      </c>
      <c r="B64" s="5">
        <f>(pima_data!B64-AVERAGE(pima_data!$B$1:$B$768))/_xlfn.STDEV.P(pima_data!$B$1:$B$768)</f>
        <v>0.629243777337677</v>
      </c>
      <c r="C64" s="5">
        <f>(pima_data!C64-AVERAGE(pima_data!$C$1:$C$768))/_xlfn.STDEV.P(pima_data!$C$1:$C$768)</f>
        <v>-0.574127745913624</v>
      </c>
      <c r="D64" s="5">
        <f>(pima_data!D64-AVERAGE(pima_data!$D$1:$D$768))/_xlfn.STDEV.P(pima_data!$D$1:$D$768)</f>
        <v>0.844541864180428</v>
      </c>
      <c r="E64" s="5">
        <f>(pima_data!E64-AVERAGE(pima_data!$E$1:$E$768))/_xlfn.STDEV.P(pima_data!$E$1:$E$768)</f>
        <v>0.418520105819169</v>
      </c>
      <c r="F64" s="5">
        <f>(pima_data!F64-AVERAGE(pima_data!$F$1:$F$768))/_xlfn.STDEV.P(pima_data!$F$1:$F$768)</f>
        <v>-0.836725040585864</v>
      </c>
      <c r="G64" s="5">
        <f>(pima_data!G64-AVERAGE(pima_data!$G$1:$G$768))/_xlfn.STDEV.P(pima_data!$G$1:$G$768)</f>
        <v>0.685940522148286</v>
      </c>
      <c r="H64" s="5">
        <f>(pima_data!H64-AVERAGE(pima_data!$H$1:$H$768))/_xlfn.STDEV.P(pima_data!$H$1:$H$768)</f>
        <v>-0.786286177079398</v>
      </c>
    </row>
    <row r="65" spans="1:8">
      <c r="A65" s="5">
        <f>(pima_data!A65-AVERAGE(pima_data!$A$1:$A$768))/_xlfn.STDEV.P(pima_data!$A$1:$A$768)</f>
        <v>0.936913722879839</v>
      </c>
      <c r="B65" s="5">
        <f>(pima_data!B65-AVERAGE(pima_data!$B$1:$B$768))/_xlfn.STDEV.P(pima_data!$B$1:$B$768)</f>
        <v>-0.215779146493297</v>
      </c>
      <c r="C65" s="5">
        <f>(pima_data!C65-AVERAGE(pima_data!$C$1:$C$768))/_xlfn.STDEV.P(pima_data!$C$1:$C$768)</f>
        <v>-0.160545746746863</v>
      </c>
      <c r="D65" s="5">
        <f>(pima_data!D65-AVERAGE(pima_data!$D$1:$D$768))/_xlfn.STDEV.P(pima_data!$D$1:$D$768)</f>
        <v>-1.28821221294523</v>
      </c>
      <c r="E65" s="5">
        <f>(pima_data!E65-AVERAGE(pima_data!$E$1:$E$768))/_xlfn.STDEV.P(pima_data!$E$1:$E$768)</f>
        <v>-0.692890572295466</v>
      </c>
      <c r="F65" s="5">
        <f>(pima_data!F65-AVERAGE(pima_data!$F$1:$F$768))/_xlfn.STDEV.P(pima_data!$F$1:$F$768)</f>
        <v>0.102477375060202</v>
      </c>
      <c r="G65" s="5">
        <f>(pima_data!G65-AVERAGE(pima_data!$G$1:$G$768))/_xlfn.STDEV.P(pima_data!$G$1:$G$768)</f>
        <v>-0.645931814565705</v>
      </c>
      <c r="H65" s="5">
        <f>(pima_data!H65-AVERAGE(pima_data!$H$1:$H$768))/_xlfn.STDEV.P(pima_data!$H$1:$H$768)</f>
        <v>0.745293379345232</v>
      </c>
    </row>
    <row r="66" spans="1:8">
      <c r="A66" s="5">
        <f>(pima_data!A66-AVERAGE(pima_data!$A$1:$A$768))/_xlfn.STDEV.P(pima_data!$A$1:$A$768)</f>
        <v>0.342980797438884</v>
      </c>
      <c r="B66" s="5">
        <f>(pima_data!B66-AVERAGE(pima_data!$B$1:$B$768))/_xlfn.STDEV.P(pima_data!$B$1:$B$768)</f>
        <v>-0.685236326399393</v>
      </c>
      <c r="C66" s="5">
        <f>(pima_data!C66-AVERAGE(pima_data!$C$1:$C$768))/_xlfn.STDEV.P(pima_data!$C$1:$C$768)</f>
        <v>0.253036252419898</v>
      </c>
      <c r="D66" s="5">
        <f>(pima_data!D66-AVERAGE(pima_data!$D$1:$D$768))/_xlfn.STDEV.P(pima_data!$D$1:$D$768)</f>
        <v>0.40544543653691</v>
      </c>
      <c r="E66" s="5">
        <f>(pima_data!E66-AVERAGE(pima_data!$E$1:$E$768))/_xlfn.STDEV.P(pima_data!$E$1:$E$768)</f>
        <v>-0.692890572295466</v>
      </c>
      <c r="F66" s="5">
        <f>(pima_data!F66-AVERAGE(pima_data!$F$1:$F$768))/_xlfn.STDEV.P(pima_data!$F$1:$F$768)</f>
        <v>-0.379815757298588</v>
      </c>
      <c r="G66" s="5">
        <f>(pima_data!G66-AVERAGE(pima_data!$G$1:$G$768))/_xlfn.STDEV.P(pima_data!$G$1:$G$768)</f>
        <v>-0.812038341820284</v>
      </c>
      <c r="H66" s="5">
        <f>(pima_data!H66-AVERAGE(pima_data!$H$1:$H$768))/_xlfn.STDEV.P(pima_data!$H$1:$H$768)</f>
        <v>-0.105584152001785</v>
      </c>
    </row>
    <row r="67" spans="1:8">
      <c r="A67" s="5">
        <f>(pima_data!A67-AVERAGE(pima_data!$A$1:$A$768))/_xlfn.STDEV.P(pima_data!$A$1:$A$768)</f>
        <v>-1.1418515161635</v>
      </c>
      <c r="B67" s="5">
        <f>(pima_data!B67-AVERAGE(pima_data!$B$1:$B$768))/_xlfn.STDEV.P(pima_data!$B$1:$B$768)</f>
        <v>-0.372264873128662</v>
      </c>
      <c r="C67" s="5">
        <f>(pima_data!C67-AVERAGE(pima_data!$C$1:$C$768))/_xlfn.STDEV.P(pima_data!$C$1:$C$768)</f>
        <v>0.97680475096173</v>
      </c>
      <c r="D67" s="5">
        <f>(pima_data!D67-AVERAGE(pima_data!$D$1:$D$768))/_xlfn.STDEV.P(pima_data!$D$1:$D$768)</f>
        <v>0.593629619812703</v>
      </c>
      <c r="E67" s="5">
        <f>(pima_data!E67-AVERAGE(pima_data!$E$1:$E$768))/_xlfn.STDEV.P(pima_data!$E$1:$E$768)</f>
        <v>-0.692890572295466</v>
      </c>
      <c r="F67" s="5">
        <f>(pima_data!F67-AVERAGE(pima_data!$F$1:$F$768))/_xlfn.STDEV.P(pima_data!$F$1:$F$768)</f>
        <v>0.0644016014529295</v>
      </c>
      <c r="G67" s="5">
        <f>(pima_data!G67-AVERAGE(pima_data!$G$1:$G$768))/_xlfn.STDEV.P(pima_data!$G$1:$G$768)</f>
        <v>1.15707903581582</v>
      </c>
      <c r="H67" s="5">
        <f>(pima_data!H67-AVERAGE(pima_data!$H$1:$H$768))/_xlfn.STDEV.P(pima_data!$H$1:$H$768)</f>
        <v>0.404942366806425</v>
      </c>
    </row>
    <row r="68" spans="1:8">
      <c r="A68" s="5">
        <f>(pima_data!A68-AVERAGE(pima_data!$A$1:$A$768))/_xlfn.STDEV.P(pima_data!$A$1:$A$768)</f>
        <v>-0.547918590722547</v>
      </c>
      <c r="B68" s="5">
        <f>(pima_data!B68-AVERAGE(pima_data!$B$1:$B$768))/_xlfn.STDEV.P(pima_data!$B$1:$B$768)</f>
        <v>-0.372264873128662</v>
      </c>
      <c r="C68" s="5">
        <f>(pima_data!C68-AVERAGE(pima_data!$C$1:$C$768))/_xlfn.STDEV.P(pima_data!$C$1:$C$768)</f>
        <v>1.18359575054511</v>
      </c>
      <c r="D68" s="5">
        <f>(pima_data!D68-AVERAGE(pima_data!$D$1:$D$768))/_xlfn.STDEV.P(pima_data!$D$1:$D$768)</f>
        <v>-1.28821221294523</v>
      </c>
      <c r="E68" s="5">
        <f>(pima_data!E68-AVERAGE(pima_data!$E$1:$E$768))/_xlfn.STDEV.P(pima_data!$E$1:$E$768)</f>
        <v>-0.692890572295466</v>
      </c>
      <c r="F68" s="5">
        <f>(pima_data!F68-AVERAGE(pima_data!$F$1:$F$768))/_xlfn.STDEV.P(pima_data!$F$1:$F$768)</f>
        <v>1.35897790410021</v>
      </c>
      <c r="G68" s="5">
        <f>(pima_data!G68-AVERAGE(pima_data!$G$1:$G$768))/_xlfn.STDEV.P(pima_data!$G$1:$G$768)</f>
        <v>1.12687784904226</v>
      </c>
      <c r="H68" s="5">
        <f>(pima_data!H68-AVERAGE(pima_data!$H$1:$H$768))/_xlfn.STDEV.P(pima_data!$H$1:$H$768)</f>
        <v>1.76634641696165</v>
      </c>
    </row>
    <row r="69" spans="1:8">
      <c r="A69" s="5">
        <f>(pima_data!A69-AVERAGE(pima_data!$A$1:$A$768))/_xlfn.STDEV.P(pima_data!$A$1:$A$768)</f>
        <v>-0.844885053443025</v>
      </c>
      <c r="B69" s="5">
        <f>(pima_data!B69-AVERAGE(pima_data!$B$1:$B$768))/_xlfn.STDEV.P(pima_data!$B$1:$B$768)</f>
        <v>-0.810424907707686</v>
      </c>
      <c r="C69" s="5">
        <f>(pima_data!C69-AVERAGE(pima_data!$C$1:$C$768))/_xlfn.STDEV.P(pima_data!$C$1:$C$768)</f>
        <v>-0.160545746746863</v>
      </c>
      <c r="D69" s="5">
        <f>(pima_data!D69-AVERAGE(pima_data!$D$1:$D$768))/_xlfn.STDEV.P(pima_data!$D$1:$D$768)</f>
        <v>-0.472747418750127</v>
      </c>
      <c r="E69" s="5">
        <f>(pima_data!E69-AVERAGE(pima_data!$E$1:$E$768))/_xlfn.STDEV.P(pima_data!$E$1:$E$768)</f>
        <v>-0.362940527230184</v>
      </c>
      <c r="F69" s="5">
        <f>(pima_data!F69-AVERAGE(pima_data!$F$1:$F$768))/_xlfn.STDEV.P(pima_data!$F$1:$F$768)</f>
        <v>-1.57285666365981</v>
      </c>
      <c r="G69" s="5">
        <f>(pima_data!G69-AVERAGE(pima_data!$G$1:$G$768))/_xlfn.STDEV.P(pima_data!$G$1:$G$768)</f>
        <v>-0.41640279508665</v>
      </c>
      <c r="H69" s="5">
        <f>(pima_data!H69-AVERAGE(pima_data!$H$1:$H$768))/_xlfn.STDEV.P(pima_data!$H$1:$H$768)</f>
        <v>-0.701198423944696</v>
      </c>
    </row>
    <row r="70" spans="1:8">
      <c r="A70" s="5">
        <f>(pima_data!A70-AVERAGE(pima_data!$A$1:$A$768))/_xlfn.STDEV.P(pima_data!$A$1:$A$768)</f>
        <v>0.0460143347184072</v>
      </c>
      <c r="B70" s="5">
        <f>(pima_data!B70-AVERAGE(pima_data!$B$1:$B$768))/_xlfn.STDEV.P(pima_data!$B$1:$B$768)</f>
        <v>0.785729503973042</v>
      </c>
      <c r="C70" s="5">
        <f>(pima_data!C70-AVERAGE(pima_data!$C$1:$C$768))/_xlfn.STDEV.P(pima_data!$C$1:$C$768)</f>
        <v>0.821711501274195</v>
      </c>
      <c r="D70" s="5">
        <f>(pima_data!D70-AVERAGE(pima_data!$D$1:$D$768))/_xlfn.STDEV.P(pima_data!$D$1:$D$768)</f>
        <v>0.40544543653691</v>
      </c>
      <c r="E70" s="5">
        <f>(pima_data!E70-AVERAGE(pima_data!$E$1:$E$768))/_xlfn.STDEV.P(pima_data!$E$1:$E$768)</f>
        <v>0.175399019981592</v>
      </c>
      <c r="F70" s="5">
        <f>(pima_data!F70-AVERAGE(pima_data!$F$1:$F$768))/_xlfn.STDEV.P(pima_data!$F$1:$F$768)</f>
        <v>-0.392507681834346</v>
      </c>
      <c r="G70" s="5">
        <f>(pima_data!G70-AVERAGE(pima_data!$G$1:$G$768))/_xlfn.STDEV.P(pima_data!$G$1:$G$768)</f>
        <v>-0.854320003303268</v>
      </c>
      <c r="H70" s="5">
        <f>(pima_data!H70-AVERAGE(pima_data!$H$1:$H$768))/_xlfn.STDEV.P(pima_data!$H$1:$H$768)</f>
        <v>-0.531022917675293</v>
      </c>
    </row>
    <row r="71" spans="1:8">
      <c r="A71" s="5">
        <f>(pima_data!A71-AVERAGE(pima_data!$A$1:$A$768))/_xlfn.STDEV.P(pima_data!$A$1:$A$768)</f>
        <v>-0.547918590722547</v>
      </c>
      <c r="B71" s="5">
        <f>(pima_data!B71-AVERAGE(pima_data!$B$1:$B$768))/_xlfn.STDEV.P(pima_data!$B$1:$B$768)</f>
        <v>-0.65393918107232</v>
      </c>
      <c r="C71" s="5">
        <f>(pima_data!C71-AVERAGE(pima_data!$C$1:$C$768))/_xlfn.STDEV.P(pima_data!$C$1:$C$768)</f>
        <v>-0.160545746746863</v>
      </c>
      <c r="D71" s="5">
        <f>(pima_data!D71-AVERAGE(pima_data!$D$1:$D$768))/_xlfn.STDEV.P(pima_data!$D$1:$D$768)</f>
        <v>-0.0336509911066088</v>
      </c>
      <c r="E71" s="5">
        <f>(pima_data!E71-AVERAGE(pima_data!$E$1:$E$768))/_xlfn.STDEV.P(pima_data!$E$1:$E$768)</f>
        <v>0.0885700607538864</v>
      </c>
      <c r="F71" s="5">
        <f>(pima_data!F71-AVERAGE(pima_data!$F$1:$F$768))/_xlfn.STDEV.P(pima_data!$F$1:$F$768)</f>
        <v>0.11516929959596</v>
      </c>
      <c r="G71" s="5">
        <f>(pima_data!G71-AVERAGE(pima_data!$G$1:$G$768))/_xlfn.STDEV.P(pima_data!$G$1:$G$768)</f>
        <v>1.19332045994409</v>
      </c>
      <c r="H71" s="5">
        <f>(pima_data!H71-AVERAGE(pima_data!$H$1:$H$768))/_xlfn.STDEV.P(pima_data!$H$1:$H$768)</f>
        <v>-0.445935164540591</v>
      </c>
    </row>
    <row r="72" spans="1:8">
      <c r="A72" s="5">
        <f>(pima_data!A72-AVERAGE(pima_data!$A$1:$A$768))/_xlfn.STDEV.P(pima_data!$A$1:$A$768)</f>
        <v>0.342980797438884</v>
      </c>
      <c r="B72" s="5">
        <f>(pima_data!B72-AVERAGE(pima_data!$B$1:$B$768))/_xlfn.STDEV.P(pima_data!$B$1:$B$768)</f>
        <v>0.56664948668353</v>
      </c>
      <c r="C72" s="5">
        <f>(pima_data!C72-AVERAGE(pima_data!$C$1:$C$768))/_xlfn.STDEV.P(pima_data!$C$1:$C$768)</f>
        <v>-0.263941246538553</v>
      </c>
      <c r="D72" s="5">
        <f>(pima_data!D72-AVERAGE(pima_data!$D$1:$D$768))/_xlfn.STDEV.P(pima_data!$D$1:$D$768)</f>
        <v>0.907269925272359</v>
      </c>
      <c r="E72" s="5">
        <f>(pima_data!E72-AVERAGE(pima_data!$E$1:$E$768))/_xlfn.STDEV.P(pima_data!$E$1:$E$768)</f>
        <v>0.522714856892416</v>
      </c>
      <c r="F72" s="5">
        <f>(pima_data!F72-AVERAGE(pima_data!$F$1:$F$768))/_xlfn.STDEV.P(pima_data!$F$1:$F$768)</f>
        <v>-0.430583455441619</v>
      </c>
      <c r="G72" s="5">
        <f>(pima_data!G72-AVERAGE(pima_data!$G$1:$G$768))/_xlfn.STDEV.P(pima_data!$G$1:$G$768)</f>
        <v>-0.183853656930238</v>
      </c>
      <c r="H72" s="5">
        <f>(pima_data!H72-AVERAGE(pima_data!$H$1:$H$768))/_xlfn.STDEV.P(pima_data!$H$1:$H$768)</f>
        <v>-0.616110670809994</v>
      </c>
    </row>
    <row r="73" spans="1:8">
      <c r="A73" s="5">
        <f>(pima_data!A73-AVERAGE(pima_data!$A$1:$A$768))/_xlfn.STDEV.P(pima_data!$A$1:$A$768)</f>
        <v>2.7187124992027</v>
      </c>
      <c r="B73" s="5">
        <f>(pima_data!B73-AVERAGE(pima_data!$B$1:$B$768))/_xlfn.STDEV.P(pima_data!$B$1:$B$768)</f>
        <v>0.15978659743158</v>
      </c>
      <c r="C73" s="5">
        <f>(pima_data!C73-AVERAGE(pima_data!$C$1:$C$768))/_xlfn.STDEV.P(pima_data!$C$1:$C$768)</f>
        <v>1.08020025075342</v>
      </c>
      <c r="D73" s="5">
        <f>(pima_data!D73-AVERAGE(pima_data!$D$1:$D$768))/_xlfn.STDEV.P(pima_data!$D$1:$D$768)</f>
        <v>-1.28821221294523</v>
      </c>
      <c r="E73" s="5">
        <f>(pima_data!E73-AVERAGE(pima_data!$E$1:$E$768))/_xlfn.STDEV.P(pima_data!$E$1:$E$768)</f>
        <v>-0.692890572295466</v>
      </c>
      <c r="F73" s="5">
        <f>(pima_data!F73-AVERAGE(pima_data!$F$1:$F$768))/_xlfn.STDEV.P(pima_data!$F$1:$F$768)</f>
        <v>1.44782137585051</v>
      </c>
      <c r="G73" s="5">
        <f>(pima_data!G73-AVERAGE(pima_data!$G$1:$G$768))/_xlfn.STDEV.P(pima_data!$G$1:$G$768)</f>
        <v>0.335606755574992</v>
      </c>
      <c r="H73" s="5">
        <f>(pima_data!H73-AVERAGE(pima_data!$H$1:$H$768))/_xlfn.STDEV.P(pima_data!$H$1:$H$768)</f>
        <v>0.745293379345232</v>
      </c>
    </row>
    <row r="74" spans="1:8">
      <c r="A74" s="5">
        <f>(pima_data!A74-AVERAGE(pima_data!$A$1:$A$768))/_xlfn.STDEV.P(pima_data!$A$1:$A$768)</f>
        <v>0.0460143347184072</v>
      </c>
      <c r="B74" s="5">
        <f>(pima_data!B74-AVERAGE(pima_data!$B$1:$B$768))/_xlfn.STDEV.P(pima_data!$B$1:$B$768)</f>
        <v>0.253678033412799</v>
      </c>
      <c r="C74" s="5">
        <f>(pima_data!C74-AVERAGE(pima_data!$C$1:$C$768))/_xlfn.STDEV.P(pima_data!$C$1:$C$768)</f>
        <v>0.87340925117004</v>
      </c>
      <c r="D74" s="5">
        <f>(pima_data!D74-AVERAGE(pima_data!$D$1:$D$768))/_xlfn.STDEV.P(pima_data!$D$1:$D$768)</f>
        <v>-0.0336509911066088</v>
      </c>
      <c r="E74" s="5">
        <f>(pima_data!E74-AVERAGE(pima_data!$E$1:$E$768))/_xlfn.STDEV.P(pima_data!$E$1:$E$768)</f>
        <v>1.65149132685259</v>
      </c>
      <c r="F74" s="5">
        <f>(pima_data!F74-AVERAGE(pima_data!$F$1:$F$768))/_xlfn.STDEV.P(pima_data!$F$1:$F$768)</f>
        <v>0.394391639382629</v>
      </c>
      <c r="G74" s="5">
        <f>(pima_data!G74-AVERAGE(pima_data!$G$1:$G$768))/_xlfn.STDEV.P(pima_data!$G$1:$G$768)</f>
        <v>-0.727475018854316</v>
      </c>
      <c r="H74" s="5">
        <f>(pima_data!H74-AVERAGE(pima_data!$H$1:$H$768))/_xlfn.STDEV.P(pima_data!$H$1:$H$768)</f>
        <v>-0.871373930214099</v>
      </c>
    </row>
    <row r="75" spans="1:8">
      <c r="A75" s="5">
        <f>(pima_data!A75-AVERAGE(pima_data!$A$1:$A$768))/_xlfn.STDEV.P(pima_data!$A$1:$A$768)</f>
        <v>-0.844885053443025</v>
      </c>
      <c r="B75" s="5">
        <f>(pima_data!B75-AVERAGE(pima_data!$B$1:$B$768))/_xlfn.STDEV.P(pima_data!$B$1:$B$768)</f>
        <v>-1.31117923294086</v>
      </c>
      <c r="C75" s="5">
        <f>(pima_data!C75-AVERAGE(pima_data!$C$1:$C$768))/_xlfn.STDEV.P(pima_data!$C$1:$C$768)</f>
        <v>0.304734002315743</v>
      </c>
      <c r="D75" s="5">
        <f>(pima_data!D75-AVERAGE(pima_data!$D$1:$D$768))/_xlfn.STDEV.P(pima_data!$D$1:$D$768)</f>
        <v>0.593629619812703</v>
      </c>
      <c r="E75" s="5">
        <f>(pima_data!E75-AVERAGE(pima_data!$E$1:$E$768))/_xlfn.STDEV.P(pima_data!$E$1:$E$768)</f>
        <v>-0.692890572295466</v>
      </c>
      <c r="F75" s="5">
        <f>(pima_data!F75-AVERAGE(pima_data!$F$1:$F$768))/_xlfn.STDEV.P(pima_data!$F$1:$F$768)</f>
        <v>0.000941978774141239</v>
      </c>
      <c r="G75" s="5">
        <f>(pima_data!G75-AVERAGE(pima_data!$G$1:$G$768))/_xlfn.STDEV.P(pima_data!$G$1:$G$768)</f>
        <v>-0.229155437090578</v>
      </c>
      <c r="H75" s="5">
        <f>(pima_data!H75-AVERAGE(pima_data!$H$1:$H$768))/_xlfn.STDEV.P(pima_data!$H$1:$H$768)</f>
        <v>-0.956461683348801</v>
      </c>
    </row>
    <row r="76" spans="1:8">
      <c r="A76" s="5">
        <f>(pima_data!A76-AVERAGE(pima_data!$A$1:$A$768))/_xlfn.STDEV.P(pima_data!$A$1:$A$768)</f>
        <v>-0.844885053443025</v>
      </c>
      <c r="B76" s="5">
        <f>(pima_data!B76-AVERAGE(pima_data!$B$1:$B$768))/_xlfn.STDEV.P(pima_data!$B$1:$B$768)</f>
        <v>-3.78365371377963</v>
      </c>
      <c r="C76" s="5">
        <f>(pima_data!C76-AVERAGE(pima_data!$C$1:$C$768))/_xlfn.STDEV.P(pima_data!$C$1:$C$768)</f>
        <v>-1.09110524487208</v>
      </c>
      <c r="D76" s="5">
        <f>(pima_data!D76-AVERAGE(pima_data!$D$1:$D$768))/_xlfn.STDEV.P(pima_data!$D$1:$D$768)</f>
        <v>-0.0336509911066088</v>
      </c>
      <c r="E76" s="5">
        <f>(pima_data!E76-AVERAGE(pima_data!$E$1:$E$768))/_xlfn.STDEV.P(pima_data!$E$1:$E$768)</f>
        <v>-0.692890572295466</v>
      </c>
      <c r="F76" s="5">
        <f>(pima_data!F76-AVERAGE(pima_data!$F$1:$F$768))/_xlfn.STDEV.P(pima_data!$F$1:$F$768)</f>
        <v>-0.925568512336168</v>
      </c>
      <c r="G76" s="5">
        <f>(pima_data!G76-AVERAGE(pima_data!$G$1:$G$768))/_xlfn.STDEV.P(pima_data!$G$1:$G$768)</f>
        <v>-1.00230581849371</v>
      </c>
      <c r="H76" s="5">
        <f>(pima_data!H76-AVERAGE(pima_data!$H$1:$H$768))/_xlfn.STDEV.P(pima_data!$H$1:$H$768)</f>
        <v>-0.956461683348801</v>
      </c>
    </row>
    <row r="77" spans="1:8">
      <c r="A77" s="5">
        <f>(pima_data!A77-AVERAGE(pima_data!$A$1:$A$768))/_xlfn.STDEV.P(pima_data!$A$1:$A$768)</f>
        <v>0.936913722879839</v>
      </c>
      <c r="B77" s="5">
        <f>(pima_data!B77-AVERAGE(pima_data!$B$1:$B$768))/_xlfn.STDEV.P(pima_data!$B$1:$B$768)</f>
        <v>-1.8432307035011</v>
      </c>
      <c r="C77" s="5">
        <f>(pima_data!C77-AVERAGE(pima_data!$C$1:$C$768))/_xlfn.STDEV.P(pima_data!$C$1:$C$768)</f>
        <v>0.459827252003279</v>
      </c>
      <c r="D77" s="5">
        <f>(pima_data!D77-AVERAGE(pima_data!$D$1:$D$768))/_xlfn.STDEV.P(pima_data!$D$1:$D$768)</f>
        <v>-1.28821221294523</v>
      </c>
      <c r="E77" s="5">
        <f>(pima_data!E77-AVERAGE(pima_data!$E$1:$E$768))/_xlfn.STDEV.P(pima_data!$E$1:$E$768)</f>
        <v>-0.692890572295466</v>
      </c>
      <c r="F77" s="5">
        <f>(pima_data!F77-AVERAGE(pima_data!$F$1:$F$768))/_xlfn.STDEV.P(pima_data!$F$1:$F$768)</f>
        <v>0.0770935259886873</v>
      </c>
      <c r="G77" s="5">
        <f>(pima_data!G77-AVERAGE(pima_data!$G$1:$G$768))/_xlfn.STDEV.P(pima_data!$G$1:$G$768)</f>
        <v>-0.244256030477358</v>
      </c>
      <c r="H77" s="5">
        <f>(pima_data!H77-AVERAGE(pima_data!$H$1:$H$768))/_xlfn.STDEV.P(pima_data!$H$1:$H$768)</f>
        <v>0.66020562621053</v>
      </c>
    </row>
    <row r="78" spans="1:8">
      <c r="A78" s="5">
        <f>(pima_data!A78-AVERAGE(pima_data!$A$1:$A$768))/_xlfn.STDEV.P(pima_data!$A$1:$A$768)</f>
        <v>0.342980797438884</v>
      </c>
      <c r="B78" s="5">
        <f>(pima_data!B78-AVERAGE(pima_data!$B$1:$B$768))/_xlfn.STDEV.P(pima_data!$B$1:$B$768)</f>
        <v>-0.810424907707686</v>
      </c>
      <c r="C78" s="5">
        <f>(pima_data!C78-AVERAGE(pima_data!$C$1:$C$768))/_xlfn.STDEV.P(pima_data!$C$1:$C$768)</f>
        <v>0.149640752628208</v>
      </c>
      <c r="D78" s="5">
        <f>(pima_data!D78-AVERAGE(pima_data!$D$1:$D$768))/_xlfn.STDEV.P(pima_data!$D$1:$D$768)</f>
        <v>0.781813803088497</v>
      </c>
      <c r="E78" s="5">
        <f>(pima_data!E78-AVERAGE(pima_data!$E$1:$E$768))/_xlfn.STDEV.P(pima_data!$E$1:$E$768)</f>
        <v>-0.692890572295466</v>
      </c>
      <c r="F78" s="5">
        <f>(pima_data!F78-AVERAGE(pima_data!$F$1:$F$768))/_xlfn.STDEV.P(pima_data!$F$1:$F$768)</f>
        <v>0.724381677312328</v>
      </c>
      <c r="G78" s="5">
        <f>(pima_data!G78-AVERAGE(pima_data!$G$1:$G$768))/_xlfn.STDEV.P(pima_data!$G$1:$G$768)</f>
        <v>-0.307678522701834</v>
      </c>
      <c r="H78" s="5">
        <f>(pima_data!H78-AVERAGE(pima_data!$H$1:$H$768))/_xlfn.STDEV.P(pima_data!$H$1:$H$768)</f>
        <v>-0.531022917675293</v>
      </c>
    </row>
    <row r="79" spans="1:8">
      <c r="A79" s="5">
        <f>(pima_data!A79-AVERAGE(pima_data!$A$1:$A$768))/_xlfn.STDEV.P(pima_data!$A$1:$A$768)</f>
        <v>-1.1418515161635</v>
      </c>
      <c r="B79" s="5">
        <f>(pima_data!B79-AVERAGE(pima_data!$B$1:$B$768))/_xlfn.STDEV.P(pima_data!$B$1:$B$768)</f>
        <v>0.316272324066946</v>
      </c>
      <c r="C79" s="5">
        <f>(pima_data!C79-AVERAGE(pima_data!$C$1:$C$768))/_xlfn.STDEV.P(pima_data!$C$1:$C$768)</f>
        <v>-3.57259723987264</v>
      </c>
      <c r="D79" s="5">
        <f>(pima_data!D79-AVERAGE(pima_data!$D$1:$D$768))/_xlfn.STDEV.P(pima_data!$D$1:$D$768)</f>
        <v>-1.28821221294523</v>
      </c>
      <c r="E79" s="5">
        <f>(pima_data!E79-AVERAGE(pima_data!$E$1:$E$768))/_xlfn.STDEV.P(pima_data!$E$1:$E$768)</f>
        <v>-0.692890572295466</v>
      </c>
      <c r="F79" s="5">
        <f>(pima_data!F79-AVERAGE(pima_data!$F$1:$F$768))/_xlfn.STDEV.P(pima_data!$F$1:$F$768)</f>
        <v>1.422437526779</v>
      </c>
      <c r="G79" s="5">
        <f>(pima_data!G79-AVERAGE(pima_data!$G$1:$G$768))/_xlfn.STDEV.P(pima_data!$G$1:$G$768)</f>
        <v>-0.609690390437433</v>
      </c>
      <c r="H79" s="5">
        <f>(pima_data!H79-AVERAGE(pima_data!$H$1:$H$768))/_xlfn.STDEV.P(pima_data!$H$1:$H$768)</f>
        <v>-0.616110670809994</v>
      </c>
    </row>
    <row r="80" spans="1:8">
      <c r="A80" s="5">
        <f>(pima_data!A80-AVERAGE(pima_data!$A$1:$A$768))/_xlfn.STDEV.P(pima_data!$A$1:$A$768)</f>
        <v>-0.547918590722547</v>
      </c>
      <c r="B80" s="5">
        <f>(pima_data!B80-AVERAGE(pima_data!$B$1:$B$768))/_xlfn.STDEV.P(pima_data!$B$1:$B$768)</f>
        <v>-0.278373437147443</v>
      </c>
      <c r="C80" s="5">
        <f>(pima_data!C80-AVERAGE(pima_data!$C$1:$C$768))/_xlfn.STDEV.P(pima_data!$C$1:$C$768)</f>
        <v>-0.160545746746863</v>
      </c>
      <c r="D80" s="5">
        <f>(pima_data!D80-AVERAGE(pima_data!$D$1:$D$768))/_xlfn.STDEV.P(pima_data!$D$1:$D$768)</f>
        <v>0.0918051310772535</v>
      </c>
      <c r="E80" s="5">
        <f>(pima_data!E80-AVERAGE(pima_data!$E$1:$E$768))/_xlfn.STDEV.P(pima_data!$E$1:$E$768)</f>
        <v>-0.692890572295466</v>
      </c>
      <c r="F80" s="5">
        <f>(pima_data!F80-AVERAGE(pima_data!$F$1:$F$768))/_xlfn.STDEV.P(pima_data!$F$1:$F$768)</f>
        <v>-0.887492738728894</v>
      </c>
      <c r="G80" s="5">
        <f>(pima_data!G80-AVERAGE(pima_data!$G$1:$G$768))/_xlfn.STDEV.P(pima_data!$G$1:$G$768)</f>
        <v>-0.497945999375261</v>
      </c>
      <c r="H80" s="5">
        <f>(pima_data!H80-AVERAGE(pima_data!$H$1:$H$768))/_xlfn.STDEV.P(pima_data!$H$1:$H$768)</f>
        <v>-0.786286177079398</v>
      </c>
    </row>
    <row r="81" spans="1:8">
      <c r="A81" s="5">
        <f>(pima_data!A81-AVERAGE(pima_data!$A$1:$A$768))/_xlfn.STDEV.P(pima_data!$A$1:$A$768)</f>
        <v>-0.25095212800207</v>
      </c>
      <c r="B81" s="5">
        <f>(pima_data!B81-AVERAGE(pima_data!$B$1:$B$768))/_xlfn.STDEV.P(pima_data!$B$1:$B$768)</f>
        <v>-0.24707629182037</v>
      </c>
      <c r="C81" s="5">
        <f>(pima_data!C81-AVERAGE(pima_data!$C$1:$C$768))/_xlfn.STDEV.P(pima_data!$C$1:$C$768)</f>
        <v>-1.29789624445546</v>
      </c>
      <c r="D81" s="5">
        <f>(pima_data!D81-AVERAGE(pima_data!$D$1:$D$768))/_xlfn.STDEV.P(pima_data!$D$1:$D$768)</f>
        <v>-0.472747418750127</v>
      </c>
      <c r="E81" s="5">
        <f>(pima_data!E81-AVERAGE(pima_data!$E$1:$E$768))/_xlfn.STDEV.P(pima_data!$E$1:$E$768)</f>
        <v>-0.692890572295466</v>
      </c>
      <c r="F81" s="5">
        <f>(pima_data!F81-AVERAGE(pima_data!$F$1:$F$768))/_xlfn.STDEV.P(pima_data!$F$1:$F$768)</f>
        <v>-1.21748277665859</v>
      </c>
      <c r="G81" s="5">
        <f>(pima_data!G81-AVERAGE(pima_data!$G$1:$G$768))/_xlfn.STDEV.P(pima_data!$G$1:$G$768)</f>
        <v>-1.00230581849371</v>
      </c>
      <c r="H81" s="5">
        <f>(pima_data!H81-AVERAGE(pima_data!$H$1:$H$768))/_xlfn.STDEV.P(pima_data!$H$1:$H$768)</f>
        <v>-0.956461683348801</v>
      </c>
    </row>
    <row r="82" spans="1:8">
      <c r="A82" s="5">
        <f>(pima_data!A82-AVERAGE(pima_data!$A$1:$A$768))/_xlfn.STDEV.P(pima_data!$A$1:$A$768)</f>
        <v>-0.547918590722547</v>
      </c>
      <c r="B82" s="5">
        <f>(pima_data!B82-AVERAGE(pima_data!$B$1:$B$768))/_xlfn.STDEV.P(pima_data!$B$1:$B$768)</f>
        <v>-1.46766495957622</v>
      </c>
      <c r="C82" s="5">
        <f>(pima_data!C82-AVERAGE(pima_data!$C$1:$C$768))/_xlfn.STDEV.P(pima_data!$C$1:$C$768)</f>
        <v>-3.57259723987264</v>
      </c>
      <c r="D82" s="5">
        <f>(pima_data!D82-AVERAGE(pima_data!$D$1:$D$768))/_xlfn.STDEV.P(pima_data!$D$1:$D$768)</f>
        <v>-1.28821221294523</v>
      </c>
      <c r="E82" s="5">
        <f>(pima_data!E82-AVERAGE(pima_data!$E$1:$E$768))/_xlfn.STDEV.P(pima_data!$E$1:$E$768)</f>
        <v>-0.692890572295466</v>
      </c>
      <c r="F82" s="5">
        <f>(pima_data!F82-AVERAGE(pima_data!$F$1:$F$768))/_xlfn.STDEV.P(pima_data!$F$1:$F$768)</f>
        <v>-4.06047387266831</v>
      </c>
      <c r="G82" s="5">
        <f>(pima_data!G82-AVERAGE(pima_data!$G$1:$G$768))/_xlfn.STDEV.P(pima_data!$G$1:$G$768)</f>
        <v>-1.11707032823324</v>
      </c>
      <c r="H82" s="5">
        <f>(pima_data!H82-AVERAGE(pima_data!$H$1:$H$768))/_xlfn.STDEV.P(pima_data!$H$1:$H$768)</f>
        <v>-0.956461683348801</v>
      </c>
    </row>
    <row r="83" spans="1:8">
      <c r="A83" s="5">
        <f>(pima_data!A83-AVERAGE(pima_data!$A$1:$A$768))/_xlfn.STDEV.P(pima_data!$A$1:$A$768)</f>
        <v>0.936913722879839</v>
      </c>
      <c r="B83" s="5">
        <f>(pima_data!B83-AVERAGE(pima_data!$B$1:$B$768))/_xlfn.STDEV.P(pima_data!$B$1:$B$768)</f>
        <v>-1.18599065163256</v>
      </c>
      <c r="C83" s="5">
        <f>(pima_data!C83-AVERAGE(pima_data!$C$1:$C$768))/_xlfn.STDEV.P(pima_data!$C$1:$C$768)</f>
        <v>0.459827252003279</v>
      </c>
      <c r="D83" s="5">
        <f>(pima_data!D83-AVERAGE(pima_data!$D$1:$D$768))/_xlfn.STDEV.P(pima_data!$D$1:$D$768)</f>
        <v>0.342717375444978</v>
      </c>
      <c r="E83" s="5">
        <f>(pima_data!E83-AVERAGE(pima_data!$E$1:$E$768))/_xlfn.STDEV.P(pima_data!$E$1:$E$768)</f>
        <v>-0.0764049617787548</v>
      </c>
      <c r="F83" s="5">
        <f>(pima_data!F83-AVERAGE(pima_data!$F$1:$F$768))/_xlfn.STDEV.P(pima_data!$F$1:$F$768)</f>
        <v>-0.341739983691315</v>
      </c>
      <c r="G83" s="5">
        <f>(pima_data!G83-AVERAGE(pima_data!$G$1:$G$768))/_xlfn.STDEV.P(pima_data!$G$1:$G$768)</f>
        <v>0.891308592208494</v>
      </c>
      <c r="H83" s="5">
        <f>(pima_data!H83-AVERAGE(pima_data!$H$1:$H$768))/_xlfn.STDEV.P(pima_data!$H$1:$H$768)</f>
        <v>0.234766860537022</v>
      </c>
    </row>
    <row r="84" spans="1:8">
      <c r="A84" s="5">
        <f>(pima_data!A84-AVERAGE(pima_data!$A$1:$A$768))/_xlfn.STDEV.P(pima_data!$A$1:$A$768)</f>
        <v>-1.1418515161635</v>
      </c>
      <c r="B84" s="5">
        <f>(pima_data!B84-AVERAGE(pima_data!$B$1:$B$768))/_xlfn.STDEV.P(pima_data!$B$1:$B$768)</f>
        <v>-0.622642035745247</v>
      </c>
      <c r="C84" s="5">
        <f>(pima_data!C84-AVERAGE(pima_data!$C$1:$C$768))/_xlfn.STDEV.P(pima_data!$C$1:$C$768)</f>
        <v>-0.212243496642708</v>
      </c>
      <c r="D84" s="5">
        <f>(pima_data!D84-AVERAGE(pima_data!$D$1:$D$768))/_xlfn.STDEV.P(pima_data!$D$1:$D$768)</f>
        <v>0.468173497628841</v>
      </c>
      <c r="E84" s="5">
        <f>(pima_data!E84-AVERAGE(pima_data!$E$1:$E$768))/_xlfn.STDEV.P(pima_data!$E$1:$E$768)</f>
        <v>-0.692890572295466</v>
      </c>
      <c r="F84" s="5">
        <f>(pima_data!F84-AVERAGE(pima_data!$F$1:$F$768))/_xlfn.STDEV.P(pima_data!$F$1:$F$768)</f>
        <v>-0.938260436871925</v>
      </c>
      <c r="G84" s="5">
        <f>(pima_data!G84-AVERAGE(pima_data!$G$1:$G$768))/_xlfn.STDEV.P(pima_data!$G$1:$G$768)</f>
        <v>-0.709354306790181</v>
      </c>
      <c r="H84" s="5">
        <f>(pima_data!H84-AVERAGE(pima_data!$H$1:$H$768))/_xlfn.STDEV.P(pima_data!$H$1:$H$768)</f>
        <v>-0.956461683348801</v>
      </c>
    </row>
    <row r="85" spans="1:8">
      <c r="A85" s="5">
        <f>(pima_data!A85-AVERAGE(pima_data!$A$1:$A$768))/_xlfn.STDEV.P(pima_data!$A$1:$A$768)</f>
        <v>0.342980797438884</v>
      </c>
      <c r="B85" s="5">
        <f>(pima_data!B85-AVERAGE(pima_data!$B$1:$B$768))/_xlfn.STDEV.P(pima_data!$B$1:$B$768)</f>
        <v>0.504055196029384</v>
      </c>
      <c r="C85" s="5">
        <f>(pima_data!C85-AVERAGE(pima_data!$C$1:$C$768))/_xlfn.STDEV.P(pima_data!$C$1:$C$768)</f>
        <v>2.01075974887863</v>
      </c>
      <c r="D85" s="5">
        <f>(pima_data!D85-AVERAGE(pima_data!$D$1:$D$768))/_xlfn.STDEV.P(pima_data!$D$1:$D$768)</f>
        <v>-1.28821221294523</v>
      </c>
      <c r="E85" s="5">
        <f>(pima_data!E85-AVERAGE(pima_data!$E$1:$E$768))/_xlfn.STDEV.P(pima_data!$E$1:$E$768)</f>
        <v>-0.692890572295466</v>
      </c>
      <c r="F85" s="5">
        <f>(pima_data!F85-AVERAGE(pima_data!$F$1:$F$768))/_xlfn.STDEV.P(pima_data!$F$1:$F$768)</f>
        <v>2.13318530078143</v>
      </c>
      <c r="G85" s="5">
        <f>(pima_data!G85-AVERAGE(pima_data!$G$1:$G$768))/_xlfn.STDEV.P(pima_data!$G$1:$G$768)</f>
        <v>-0.73955549356374</v>
      </c>
      <c r="H85" s="5">
        <f>(pima_data!H85-AVERAGE(pima_data!$H$1:$H$768))/_xlfn.STDEV.P(pima_data!$H$1:$H$768)</f>
        <v>0.319854613671724</v>
      </c>
    </row>
    <row r="86" spans="1:8">
      <c r="A86" s="5">
        <f>(pima_data!A86-AVERAGE(pima_data!$A$1:$A$768))/_xlfn.STDEV.P(pima_data!$A$1:$A$768)</f>
        <v>-0.547918590722547</v>
      </c>
      <c r="B86" s="5">
        <f>(pima_data!B86-AVERAGE(pima_data!$B$1:$B$768))/_xlfn.STDEV.P(pima_data!$B$1:$B$768)</f>
        <v>-0.340967727801589</v>
      </c>
      <c r="C86" s="5">
        <f>(pima_data!C86-AVERAGE(pima_data!$C$1:$C$768))/_xlfn.STDEV.P(pima_data!$C$1:$C$768)</f>
        <v>0.253036252419898</v>
      </c>
      <c r="D86" s="5">
        <f>(pima_data!D86-AVERAGE(pima_data!$D$1:$D$768))/_xlfn.STDEV.P(pima_data!$D$1:$D$768)</f>
        <v>0.530901558720772</v>
      </c>
      <c r="E86" s="5">
        <f>(pima_data!E86-AVERAGE(pima_data!$E$1:$E$768))/_xlfn.STDEV.P(pima_data!$E$1:$E$768)</f>
        <v>0.392471418050857</v>
      </c>
      <c r="F86" s="5">
        <f>(pima_data!F86-AVERAGE(pima_data!$F$1:$F$768))/_xlfn.STDEV.P(pima_data!$F$1:$F$768)</f>
        <v>0.0517096769171717</v>
      </c>
      <c r="G86" s="5">
        <f>(pima_data!G86-AVERAGE(pima_data!$G$1:$G$768))/_xlfn.STDEV.P(pima_data!$G$1:$G$768)</f>
        <v>0.68292040347093</v>
      </c>
      <c r="H86" s="5">
        <f>(pima_data!H86-AVERAGE(pima_data!$H$1:$H$768))/_xlfn.STDEV.P(pima_data!$H$1:$H$768)</f>
        <v>-0.531022917675293</v>
      </c>
    </row>
    <row r="87" spans="1:8">
      <c r="A87" s="5">
        <f>(pima_data!A87-AVERAGE(pima_data!$A$1:$A$768))/_xlfn.STDEV.P(pima_data!$A$1:$A$768)</f>
        <v>2.7187124992027</v>
      </c>
      <c r="B87" s="5">
        <f>(pima_data!B87-AVERAGE(pima_data!$B$1:$B$768))/_xlfn.STDEV.P(pima_data!$B$1:$B$768)</f>
        <v>-0.466156309109882</v>
      </c>
      <c r="C87" s="5">
        <f>(pima_data!C87-AVERAGE(pima_data!$C$1:$C$768))/_xlfn.STDEV.P(pima_data!$C$1:$C$768)</f>
        <v>0.149640752628208</v>
      </c>
      <c r="D87" s="5">
        <f>(pima_data!D87-AVERAGE(pima_data!$D$1:$D$768))/_xlfn.STDEV.P(pima_data!$D$1:$D$768)</f>
        <v>2.09910308601905</v>
      </c>
      <c r="E87" s="5">
        <f>(pima_data!E87-AVERAGE(pima_data!$E$1:$E$768))/_xlfn.STDEV.P(pima_data!$E$1:$E$768)</f>
        <v>-0.692890572295466</v>
      </c>
      <c r="F87" s="5">
        <f>(pima_data!F87-AVERAGE(pima_data!$F$1:$F$768))/_xlfn.STDEV.P(pima_data!$F$1:$F$768)</f>
        <v>0.584770507418994</v>
      </c>
      <c r="G87" s="5">
        <f>(pima_data!G87-AVERAGE(pima_data!$G$1:$G$768))/_xlfn.STDEV.P(pima_data!$G$1:$G$768)</f>
        <v>-0.887541308754184</v>
      </c>
      <c r="H87" s="5">
        <f>(pima_data!H87-AVERAGE(pima_data!$H$1:$H$768))/_xlfn.STDEV.P(pima_data!$H$1:$H$768)</f>
        <v>1.00055663874934</v>
      </c>
    </row>
    <row r="88" spans="1:8">
      <c r="A88" s="5">
        <f>(pima_data!A88-AVERAGE(pima_data!$A$1:$A$768))/_xlfn.STDEV.P(pima_data!$A$1:$A$768)</f>
        <v>-0.547918590722547</v>
      </c>
      <c r="B88" s="5">
        <f>(pima_data!B88-AVERAGE(pima_data!$B$1:$B$768))/_xlfn.STDEV.P(pima_data!$B$1:$B$768)</f>
        <v>-0.65393918107232</v>
      </c>
      <c r="C88" s="5">
        <f>(pima_data!C88-AVERAGE(pima_data!$C$1:$C$768))/_xlfn.STDEV.P(pima_data!$C$1:$C$768)</f>
        <v>-0.0571502469551726</v>
      </c>
      <c r="D88" s="5">
        <f>(pima_data!D88-AVERAGE(pima_data!$D$1:$D$768))/_xlfn.STDEV.P(pima_data!$D$1:$D$768)</f>
        <v>0.279989314353047</v>
      </c>
      <c r="E88" s="5">
        <f>(pima_data!E88-AVERAGE(pima_data!$E$1:$E$768))/_xlfn.STDEV.P(pima_data!$E$1:$E$768)</f>
        <v>-0.0764049617787548</v>
      </c>
      <c r="F88" s="5">
        <f>(pima_data!F88-AVERAGE(pima_data!$F$1:$F$768))/_xlfn.STDEV.P(pima_data!$F$1:$F$768)</f>
        <v>0.825917073598389</v>
      </c>
      <c r="G88" s="5">
        <f>(pima_data!G88-AVERAGE(pima_data!$G$1:$G$768))/_xlfn.STDEV.P(pima_data!$G$1:$G$768)</f>
        <v>-0.446603981860209</v>
      </c>
      <c r="H88" s="5">
        <f>(pima_data!H88-AVERAGE(pima_data!$H$1:$H$768))/_xlfn.STDEV.P(pima_data!$H$1:$H$768)</f>
        <v>-0.616110670809994</v>
      </c>
    </row>
    <row r="89" spans="1:8">
      <c r="A89" s="5">
        <f>(pima_data!A89-AVERAGE(pima_data!$A$1:$A$768))/_xlfn.STDEV.P(pima_data!$A$1:$A$768)</f>
        <v>3.31264542464366</v>
      </c>
      <c r="B89" s="5">
        <f>(pima_data!B89-AVERAGE(pima_data!$B$1:$B$768))/_xlfn.STDEV.P(pima_data!$B$1:$B$768)</f>
        <v>0.472758050702311</v>
      </c>
      <c r="C89" s="5">
        <f>(pima_data!C89-AVERAGE(pima_data!$C$1:$C$768))/_xlfn.STDEV.P(pima_data!$C$1:$C$768)</f>
        <v>0.0462452528365177</v>
      </c>
      <c r="D89" s="5">
        <f>(pima_data!D89-AVERAGE(pima_data!$D$1:$D$768))/_xlfn.STDEV.P(pima_data!$D$1:$D$768)</f>
        <v>0.719085741996565</v>
      </c>
      <c r="E89" s="5">
        <f>(pima_data!E89-AVERAGE(pima_data!$E$1:$E$768))/_xlfn.STDEV.P(pima_data!$E$1:$E$768)</f>
        <v>0.262227979209298</v>
      </c>
      <c r="F89" s="5">
        <f>(pima_data!F89-AVERAGE(pima_data!$F$1:$F$768))/_xlfn.STDEV.P(pima_data!$F$1:$F$768)</f>
        <v>0.648230130097782</v>
      </c>
      <c r="G89" s="5">
        <f>(pima_data!G89-AVERAGE(pima_data!$G$1:$G$768))/_xlfn.STDEV.P(pima_data!$G$1:$G$768)</f>
        <v>-0.963044275688084</v>
      </c>
      <c r="H89" s="5">
        <f>(pima_data!H89-AVERAGE(pima_data!$H$1:$H$768))/_xlfn.STDEV.P(pima_data!$H$1:$H$768)</f>
        <v>0.830381132479934</v>
      </c>
    </row>
    <row r="90" spans="1:8">
      <c r="A90" s="5">
        <f>(pima_data!A90-AVERAGE(pima_data!$A$1:$A$768))/_xlfn.STDEV.P(pima_data!$A$1:$A$768)</f>
        <v>-0.844885053443025</v>
      </c>
      <c r="B90" s="5">
        <f>(pima_data!B90-AVERAGE(pima_data!$B$1:$B$768))/_xlfn.STDEV.P(pima_data!$B$1:$B$768)</f>
        <v>-0.434859163782809</v>
      </c>
      <c r="C90" s="5">
        <f>(pima_data!C90-AVERAGE(pima_data!$C$1:$C$768))/_xlfn.STDEV.P(pima_data!$C$1:$C$768)</f>
        <v>-0.0571502469551726</v>
      </c>
      <c r="D90" s="5">
        <f>(pima_data!D90-AVERAGE(pima_data!$D$1:$D$768))/_xlfn.STDEV.P(pima_data!$D$1:$D$768)</f>
        <v>-0.09637905219854</v>
      </c>
      <c r="E90" s="5">
        <f>(pima_data!E90-AVERAGE(pima_data!$E$1:$E$768))/_xlfn.STDEV.P(pima_data!$E$1:$E$768)</f>
        <v>-0.692890572295466</v>
      </c>
      <c r="F90" s="5">
        <f>(pima_data!F90-AVERAGE(pima_data!$F$1:$F$768))/_xlfn.STDEV.P(pima_data!$F$1:$F$768)</f>
        <v>-0.69711387069253</v>
      </c>
      <c r="G90" s="5">
        <f>(pima_data!G90-AVERAGE(pima_data!$G$1:$G$768))/_xlfn.STDEV.P(pima_data!$G$1:$G$768)</f>
        <v>-0.926802851559812</v>
      </c>
      <c r="H90" s="5">
        <f>(pima_data!H90-AVERAGE(pima_data!$H$1:$H$768))/_xlfn.STDEV.P(pima_data!$H$1:$H$768)</f>
        <v>-0.786286177079398</v>
      </c>
    </row>
    <row r="91" spans="1:8">
      <c r="A91" s="5">
        <f>(pima_data!A91-AVERAGE(pima_data!$A$1:$A$768))/_xlfn.STDEV.P(pima_data!$A$1:$A$768)</f>
        <v>-0.844885053443025</v>
      </c>
      <c r="B91" s="5">
        <f>(pima_data!B91-AVERAGE(pima_data!$B$1:$B$768))/_xlfn.STDEV.P(pima_data!$B$1:$B$768)</f>
        <v>-1.27988208761378</v>
      </c>
      <c r="C91" s="5">
        <f>(pima_data!C91-AVERAGE(pima_data!$C$1:$C$768))/_xlfn.STDEV.P(pima_data!$C$1:$C$768)</f>
        <v>-0.729220995601159</v>
      </c>
      <c r="D91" s="5">
        <f>(pima_data!D91-AVERAGE(pima_data!$D$1:$D$768))/_xlfn.STDEV.P(pima_data!$D$1:$D$768)</f>
        <v>-1.28821221294523</v>
      </c>
      <c r="E91" s="5">
        <f>(pima_data!E91-AVERAGE(pima_data!$E$1:$E$768))/_xlfn.STDEV.P(pima_data!$E$1:$E$768)</f>
        <v>-0.692890572295466</v>
      </c>
      <c r="F91" s="5">
        <f>(pima_data!F91-AVERAGE(pima_data!$F$1:$F$768))/_xlfn.STDEV.P(pima_data!$F$1:$F$768)</f>
        <v>-1.6363162863386</v>
      </c>
      <c r="G91" s="5">
        <f>(pima_data!G91-AVERAGE(pima_data!$G$1:$G$768))/_xlfn.STDEV.P(pima_data!$G$1:$G$768)</f>
        <v>-0.645931814565705</v>
      </c>
      <c r="H91" s="5">
        <f>(pima_data!H91-AVERAGE(pima_data!$H$1:$H$768))/_xlfn.STDEV.P(pima_data!$H$1:$H$768)</f>
        <v>-1.0415494364835</v>
      </c>
    </row>
    <row r="92" spans="1:8">
      <c r="A92" s="5">
        <f>(pima_data!A92-AVERAGE(pima_data!$A$1:$A$768))/_xlfn.STDEV.P(pima_data!$A$1:$A$768)</f>
        <v>0.0460143347184072</v>
      </c>
      <c r="B92" s="5">
        <f>(pima_data!B92-AVERAGE(pima_data!$B$1:$B$768))/_xlfn.STDEV.P(pima_data!$B$1:$B$768)</f>
        <v>0.0658951614503609</v>
      </c>
      <c r="C92" s="5">
        <f>(pima_data!C92-AVERAGE(pima_data!$C$1:$C$768))/_xlfn.STDEV.P(pima_data!$C$1:$C$768)</f>
        <v>0.563222751794969</v>
      </c>
      <c r="D92" s="5">
        <f>(pima_data!D92-AVERAGE(pima_data!$D$1:$D$768))/_xlfn.STDEV.P(pima_data!$D$1:$D$768)</f>
        <v>-0.347291296566265</v>
      </c>
      <c r="E92" s="5">
        <f>(pima_data!E92-AVERAGE(pima_data!$E$1:$E$768))/_xlfn.STDEV.P(pima_data!$E$1:$E$768)</f>
        <v>0.835299110112157</v>
      </c>
      <c r="F92" s="5">
        <f>(pima_data!F92-AVERAGE(pima_data!$F$1:$F$768))/_xlfn.STDEV.P(pima_data!$F$1:$F$768)</f>
        <v>0.000941978774141239</v>
      </c>
      <c r="G92" s="5">
        <f>(pima_data!G92-AVERAGE(pima_data!$G$1:$G$768))/_xlfn.STDEV.P(pima_data!$G$1:$G$768)</f>
        <v>-0.0872098592548467</v>
      </c>
      <c r="H92" s="5">
        <f>(pima_data!H92-AVERAGE(pima_data!$H$1:$H$768))/_xlfn.STDEV.P(pima_data!$H$1:$H$768)</f>
        <v>0.0645913542676188</v>
      </c>
    </row>
    <row r="93" spans="1:8">
      <c r="A93" s="5">
        <f>(pima_data!A93-AVERAGE(pima_data!$A$1:$A$768))/_xlfn.STDEV.P(pima_data!$A$1:$A$768)</f>
        <v>0.936913722879839</v>
      </c>
      <c r="B93" s="5">
        <f>(pima_data!B93-AVERAGE(pima_data!$B$1:$B$768))/_xlfn.STDEV.P(pima_data!$B$1:$B$768)</f>
        <v>-1.24858494228671</v>
      </c>
      <c r="C93" s="5">
        <f>(pima_data!C93-AVERAGE(pima_data!$C$1:$C$768))/_xlfn.STDEV.P(pima_data!$C$1:$C$768)</f>
        <v>0.459827252003279</v>
      </c>
      <c r="D93" s="5">
        <f>(pima_data!D93-AVERAGE(pima_data!$D$1:$D$768))/_xlfn.STDEV.P(pima_data!$D$1:$D$768)</f>
        <v>1.22091023073201</v>
      </c>
      <c r="E93" s="5">
        <f>(pima_data!E93-AVERAGE(pima_data!$E$1:$E$768))/_xlfn.STDEV.P(pima_data!$E$1:$E$768)</f>
        <v>-0.276111568002478</v>
      </c>
      <c r="F93" s="5">
        <f>(pima_data!F93-AVERAGE(pima_data!$F$1:$F$768))/_xlfn.STDEV.P(pima_data!$F$1:$F$768)</f>
        <v>1.86665488553052</v>
      </c>
      <c r="G93" s="5">
        <f>(pima_data!G93-AVERAGE(pima_data!$G$1:$G$768))/_xlfn.STDEV.P(pima_data!$G$1:$G$768)</f>
        <v>-0.636871458533637</v>
      </c>
      <c r="H93" s="5">
        <f>(pima_data!H93-AVERAGE(pima_data!$H$1:$H$768))/_xlfn.STDEV.P(pima_data!$H$1:$H$768)</f>
        <v>0.745293379345232</v>
      </c>
    </row>
    <row r="94" spans="1:8">
      <c r="A94" s="5">
        <f>(pima_data!A94-AVERAGE(pima_data!$A$1:$A$768))/_xlfn.STDEV.P(pima_data!$A$1:$A$768)</f>
        <v>0.0460143347184072</v>
      </c>
      <c r="B94" s="5">
        <f>(pima_data!B94-AVERAGE(pima_data!$B$1:$B$768))/_xlfn.STDEV.P(pima_data!$B$1:$B$768)</f>
        <v>0.410163760048165</v>
      </c>
      <c r="C94" s="5">
        <f>(pima_data!C94-AVERAGE(pima_data!$C$1:$C$768))/_xlfn.STDEV.P(pima_data!$C$1:$C$768)</f>
        <v>0.149640752628208</v>
      </c>
      <c r="D94" s="5">
        <f>(pima_data!D94-AVERAGE(pima_data!$D$1:$D$768))/_xlfn.STDEV.P(pima_data!$D$1:$D$768)</f>
        <v>-1.28821221294523</v>
      </c>
      <c r="E94" s="5">
        <f>(pima_data!E94-AVERAGE(pima_data!$E$1:$E$768))/_xlfn.STDEV.P(pima_data!$E$1:$E$768)</f>
        <v>-0.692890572295466</v>
      </c>
      <c r="F94" s="5">
        <f>(pima_data!F94-AVERAGE(pima_data!$F$1:$F$768))/_xlfn.STDEV.P(pima_data!$F$1:$F$768)</f>
        <v>-1.03979583315799</v>
      </c>
      <c r="G94" s="5">
        <f>(pima_data!G94-AVERAGE(pima_data!$G$1:$G$768))/_xlfn.STDEV.P(pima_data!$G$1:$G$768)</f>
        <v>-0.588549559695941</v>
      </c>
      <c r="H94" s="5">
        <f>(pima_data!H94-AVERAGE(pima_data!$H$1:$H$768))/_xlfn.STDEV.P(pima_data!$H$1:$H$768)</f>
        <v>2.27687293576986</v>
      </c>
    </row>
    <row r="95" spans="1:8">
      <c r="A95" s="5">
        <f>(pima_data!A95-AVERAGE(pima_data!$A$1:$A$768))/_xlfn.STDEV.P(pima_data!$A$1:$A$768)</f>
        <v>-0.547918590722547</v>
      </c>
      <c r="B95" s="5">
        <f>(pima_data!B95-AVERAGE(pima_data!$B$1:$B$768))/_xlfn.STDEV.P(pima_data!$B$1:$B$768)</f>
        <v>0.66054092266475</v>
      </c>
      <c r="C95" s="5">
        <f>(pima_data!C95-AVERAGE(pima_data!$C$1:$C$768))/_xlfn.STDEV.P(pima_data!$C$1:$C$768)</f>
        <v>0.666618251586659</v>
      </c>
      <c r="D95" s="5">
        <f>(pima_data!D95-AVERAGE(pima_data!$D$1:$D$768))/_xlfn.STDEV.P(pima_data!$D$1:$D$768)</f>
        <v>-0.159107113290471</v>
      </c>
      <c r="E95" s="5">
        <f>(pima_data!E95-AVERAGE(pima_data!$E$1:$E$768))/_xlfn.STDEV.P(pima_data!$E$1:$E$768)</f>
        <v>-0.137185233238149</v>
      </c>
      <c r="F95" s="5">
        <f>(pima_data!F95-AVERAGE(pima_data!$F$1:$F$768))/_xlfn.STDEV.P(pima_data!$F$1:$F$768)</f>
        <v>-0.925568512336168</v>
      </c>
      <c r="G95" s="5">
        <f>(pima_data!G95-AVERAGE(pima_data!$G$1:$G$768))/_xlfn.STDEV.P(pima_data!$G$1:$G$768)</f>
        <v>0.873187880144358</v>
      </c>
      <c r="H95" s="5">
        <f>(pima_data!H95-AVERAGE(pima_data!$H$1:$H$768))/_xlfn.STDEV.P(pima_data!$H$1:$H$768)</f>
        <v>-1.0415494364835</v>
      </c>
    </row>
    <row r="96" spans="1:8">
      <c r="A96" s="5">
        <f>(pima_data!A96-AVERAGE(pima_data!$A$1:$A$768))/_xlfn.STDEV.P(pima_data!$A$1:$A$768)</f>
        <v>0.639947260159362</v>
      </c>
      <c r="B96" s="5">
        <f>(pima_data!B96-AVERAGE(pima_data!$B$1:$B$768))/_xlfn.STDEV.P(pima_data!$B$1:$B$768)</f>
        <v>0.723135213318896</v>
      </c>
      <c r="C96" s="5">
        <f>(pima_data!C96-AVERAGE(pima_data!$C$1:$C$768))/_xlfn.STDEV.P(pima_data!$C$1:$C$768)</f>
        <v>0.149640752628208</v>
      </c>
      <c r="D96" s="5">
        <f>(pima_data!D96-AVERAGE(pima_data!$D$1:$D$768))/_xlfn.STDEV.P(pima_data!$D$1:$D$768)</f>
        <v>0.40544543653691</v>
      </c>
      <c r="E96" s="5">
        <f>(pima_data!E96-AVERAGE(pima_data!$E$1:$E$768))/_xlfn.STDEV.P(pima_data!$E$1:$E$768)</f>
        <v>1.28680969809623</v>
      </c>
      <c r="F96" s="5">
        <f>(pima_data!F96-AVERAGE(pima_data!$F$1:$F$768))/_xlfn.STDEV.P(pima_data!$F$1:$F$768)</f>
        <v>0.242088544953536</v>
      </c>
      <c r="G96" s="5">
        <f>(pima_data!G96-AVERAGE(pima_data!$G$1:$G$768))/_xlfn.STDEV.P(pima_data!$G$1:$G$768)</f>
        <v>-0.654992170597773</v>
      </c>
      <c r="H96" s="5">
        <f>(pima_data!H96-AVERAGE(pima_data!$H$1:$H$768))/_xlfn.STDEV.P(pima_data!$H$1:$H$768)</f>
        <v>0.575117873075829</v>
      </c>
    </row>
    <row r="97" spans="1:8">
      <c r="A97" s="5">
        <f>(pima_data!A97-AVERAGE(pima_data!$A$1:$A$768))/_xlfn.STDEV.P(pima_data!$A$1:$A$768)</f>
        <v>-0.547918590722547</v>
      </c>
      <c r="B97" s="5">
        <f>(pima_data!B97-AVERAGE(pima_data!$B$1:$B$768))/_xlfn.STDEV.P(pima_data!$B$1:$B$768)</f>
        <v>-0.904316343688905</v>
      </c>
      <c r="C97" s="5">
        <f>(pima_data!C97-AVERAGE(pima_data!$C$1:$C$768))/_xlfn.STDEV.P(pima_data!$C$1:$C$768)</f>
        <v>-0.367336746330243</v>
      </c>
      <c r="D97" s="5">
        <f>(pima_data!D97-AVERAGE(pima_data!$D$1:$D$768))/_xlfn.STDEV.P(pima_data!$D$1:$D$768)</f>
        <v>0.468173497628841</v>
      </c>
      <c r="E97" s="5">
        <f>(pima_data!E97-AVERAGE(pima_data!$E$1:$E$768))/_xlfn.STDEV.P(pima_data!$E$1:$E$768)</f>
        <v>-0.692890572295466</v>
      </c>
      <c r="F97" s="5">
        <f>(pima_data!F97-AVERAGE(pima_data!$F$1:$F$768))/_xlfn.STDEV.P(pima_data!$F$1:$F$768)</f>
        <v>-0.0498257193688892</v>
      </c>
      <c r="G97" s="5">
        <f>(pima_data!G97-AVERAGE(pima_data!$G$1:$G$768))/_xlfn.STDEV.P(pima_data!$G$1:$G$768)</f>
        <v>-1.03250700526727</v>
      </c>
      <c r="H97" s="5">
        <f>(pima_data!H97-AVERAGE(pima_data!$H$1:$H$768))/_xlfn.STDEV.P(pima_data!$H$1:$H$768)</f>
        <v>-0.786286177079398</v>
      </c>
    </row>
    <row r="98" spans="1:8">
      <c r="A98" s="5">
        <f>(pima_data!A98-AVERAGE(pima_data!$A$1:$A$768))/_xlfn.STDEV.P(pima_data!$A$1:$A$768)</f>
        <v>-0.844885053443025</v>
      </c>
      <c r="B98" s="5">
        <f>(pima_data!B98-AVERAGE(pima_data!$B$1:$B$768))/_xlfn.STDEV.P(pima_data!$B$1:$B$768)</f>
        <v>-1.56155639555744</v>
      </c>
      <c r="C98" s="5">
        <f>(pima_data!C98-AVERAGE(pima_data!$C$1:$C$768))/_xlfn.STDEV.P(pima_data!$C$1:$C$768)</f>
        <v>-1.09110524487208</v>
      </c>
      <c r="D98" s="5">
        <f>(pima_data!D98-AVERAGE(pima_data!$D$1:$D$768))/_xlfn.STDEV.P(pima_data!$D$1:$D$768)</f>
        <v>-0.159107113290471</v>
      </c>
      <c r="E98" s="5">
        <f>(pima_data!E98-AVERAGE(pima_data!$E$1:$E$768))/_xlfn.STDEV.P(pima_data!$E$1:$E$768)</f>
        <v>-0.0329904821649018</v>
      </c>
      <c r="F98" s="5">
        <f>(pima_data!F98-AVERAGE(pima_data!$F$1:$F$768))/_xlfn.STDEV.P(pima_data!$F$1:$F$768)</f>
        <v>-1.47132126737375</v>
      </c>
      <c r="G98" s="5">
        <f>(pima_data!G98-AVERAGE(pima_data!$G$1:$G$768))/_xlfn.STDEV.P(pima_data!$G$1:$G$768)</f>
        <v>-0.449624100537565</v>
      </c>
      <c r="H98" s="5">
        <f>(pima_data!H98-AVERAGE(pima_data!$H$1:$H$768))/_xlfn.STDEV.P(pima_data!$H$1:$H$768)</f>
        <v>-0.956461683348801</v>
      </c>
    </row>
    <row r="99" spans="1:8">
      <c r="A99" s="5">
        <f>(pima_data!A99-AVERAGE(pima_data!$A$1:$A$768))/_xlfn.STDEV.P(pima_data!$A$1:$A$768)</f>
        <v>0.639947260159362</v>
      </c>
      <c r="B99" s="5">
        <f>(pima_data!B99-AVERAGE(pima_data!$B$1:$B$768))/_xlfn.STDEV.P(pima_data!$B$1:$B$768)</f>
        <v>-0.873019198361832</v>
      </c>
      <c r="C99" s="5">
        <f>(pima_data!C99-AVERAGE(pima_data!$C$1:$C$768))/_xlfn.STDEV.P(pima_data!$C$1:$C$768)</f>
        <v>-0.987709745080385</v>
      </c>
      <c r="D99" s="5">
        <f>(pima_data!D99-AVERAGE(pima_data!$D$1:$D$768))/_xlfn.STDEV.P(pima_data!$D$1:$D$768)</f>
        <v>0.593629619812703</v>
      </c>
      <c r="E99" s="5">
        <f>(pima_data!E99-AVERAGE(pima_data!$E$1:$E$768))/_xlfn.STDEV.P(pima_data!$E$1:$E$768)</f>
        <v>-0.137185233238149</v>
      </c>
      <c r="F99" s="5">
        <f>(pima_data!F99-AVERAGE(pima_data!$F$1:$F$768))/_xlfn.STDEV.P(pima_data!$F$1:$F$768)</f>
        <v>-0.417891530905861</v>
      </c>
      <c r="G99" s="5">
        <f>(pima_data!G99-AVERAGE(pima_data!$G$1:$G$768))/_xlfn.STDEV.P(pima_data!$G$1:$G$768)</f>
        <v>-0.349960184184818</v>
      </c>
      <c r="H99" s="5">
        <f>(pima_data!H99-AVERAGE(pima_data!$H$1:$H$768))/_xlfn.STDEV.P(pima_data!$H$1:$H$768)</f>
        <v>-0.871373930214099</v>
      </c>
    </row>
    <row r="100" spans="1:8">
      <c r="A100" s="5">
        <f>(pima_data!A100-AVERAGE(pima_data!$A$1:$A$768))/_xlfn.STDEV.P(pima_data!$A$1:$A$768)</f>
        <v>-0.844885053443025</v>
      </c>
      <c r="B100" s="5">
        <f>(pima_data!B100-AVERAGE(pima_data!$B$1:$B$768))/_xlfn.STDEV.P(pima_data!$B$1:$B$768)</f>
        <v>0.0345980161232878</v>
      </c>
      <c r="C100" s="5">
        <f>(pima_data!C100-AVERAGE(pima_data!$C$1:$C$768))/_xlfn.STDEV.P(pima_data!$C$1:$C$768)</f>
        <v>1.08020025075342</v>
      </c>
      <c r="D100" s="5">
        <f>(pima_data!D100-AVERAGE(pima_data!$D$1:$D$768))/_xlfn.STDEV.P(pima_data!$D$1:$D$768)</f>
        <v>1.91091890274326</v>
      </c>
      <c r="E100" s="5">
        <f>(pima_data!E100-AVERAGE(pima_data!$E$1:$E$768))/_xlfn.STDEV.P(pima_data!$E$1:$E$768)</f>
        <v>1.21734653071406</v>
      </c>
      <c r="F100" s="5">
        <f>(pima_data!F100-AVERAGE(pima_data!$F$1:$F$768))/_xlfn.STDEV.P(pima_data!$F$1:$F$768)</f>
        <v>2.24741262160325</v>
      </c>
      <c r="G100" s="5">
        <f>(pima_data!G100-AVERAGE(pima_data!$G$1:$G$768))/_xlfn.STDEV.P(pima_data!$G$1:$G$768)</f>
        <v>-0.443583863182853</v>
      </c>
      <c r="H100" s="5">
        <f>(pima_data!H100-AVERAGE(pima_data!$H$1:$H$768))/_xlfn.STDEV.P(pima_data!$H$1:$H$768)</f>
        <v>-0.190671905136486</v>
      </c>
    </row>
    <row r="101" spans="1:8">
      <c r="A101" s="5">
        <f>(pima_data!A101-AVERAGE(pima_data!$A$1:$A$768))/_xlfn.STDEV.P(pima_data!$A$1:$A$768)</f>
        <v>-0.844885053443025</v>
      </c>
      <c r="B101" s="5">
        <f>(pima_data!B101-AVERAGE(pima_data!$B$1:$B$768))/_xlfn.STDEV.P(pima_data!$B$1:$B$768)</f>
        <v>1.31778097453328</v>
      </c>
      <c r="C101" s="5">
        <f>(pima_data!C101-AVERAGE(pima_data!$C$1:$C$768))/_xlfn.STDEV.P(pima_data!$C$1:$C$768)</f>
        <v>0.149640752628208</v>
      </c>
      <c r="D101" s="5">
        <f>(pima_data!D101-AVERAGE(pima_data!$D$1:$D$768))/_xlfn.STDEV.P(pima_data!$D$1:$D$768)</f>
        <v>-1.28821221294523</v>
      </c>
      <c r="E101" s="5">
        <f>(pima_data!E101-AVERAGE(pima_data!$E$1:$E$768))/_xlfn.STDEV.P(pima_data!$E$1:$E$768)</f>
        <v>-0.692890572295466</v>
      </c>
      <c r="F101" s="5">
        <f>(pima_data!F101-AVERAGE(pima_data!$F$1:$F$768))/_xlfn.STDEV.P(pima_data!$F$1:$F$768)</f>
        <v>0.889376696277177</v>
      </c>
      <c r="G101" s="5">
        <f>(pima_data!G101-AVERAGE(pima_data!$G$1:$G$768))/_xlfn.STDEV.P(pima_data!$G$1:$G$768)</f>
        <v>2.26546259040547</v>
      </c>
      <c r="H101" s="5">
        <f>(pima_data!H101-AVERAGE(pima_data!$H$1:$H$768))/_xlfn.STDEV.P(pima_data!$H$1:$H$768)</f>
        <v>-0.0204963988670829</v>
      </c>
    </row>
    <row r="102" spans="1:8">
      <c r="A102" s="5">
        <f>(pima_data!A102-AVERAGE(pima_data!$A$1:$A$768))/_xlfn.STDEV.P(pima_data!$A$1:$A$768)</f>
        <v>-0.844885053443025</v>
      </c>
      <c r="B102" s="5">
        <f>(pima_data!B102-AVERAGE(pima_data!$B$1:$B$768))/_xlfn.STDEV.P(pima_data!$B$1:$B$768)</f>
        <v>0.942215230608408</v>
      </c>
      <c r="C102" s="5">
        <f>(pima_data!C102-AVERAGE(pima_data!$C$1:$C$768))/_xlfn.STDEV.P(pima_data!$C$1:$C$768)</f>
        <v>-0.470732246121934</v>
      </c>
      <c r="D102" s="5">
        <f>(pima_data!D102-AVERAGE(pima_data!$D$1:$D$768))/_xlfn.STDEV.P(pima_data!$D$1:$D$768)</f>
        <v>-1.28821221294523</v>
      </c>
      <c r="E102" s="5">
        <f>(pima_data!E102-AVERAGE(pima_data!$E$1:$E$768))/_xlfn.STDEV.P(pima_data!$E$1:$E$768)</f>
        <v>-0.692890572295466</v>
      </c>
      <c r="F102" s="5">
        <f>(pima_data!F102-AVERAGE(pima_data!$F$1:$F$768))/_xlfn.STDEV.P(pima_data!$F$1:$F$768)</f>
        <v>-0.74788156883556</v>
      </c>
      <c r="G102" s="5">
        <f>(pima_data!G102-AVERAGE(pima_data!$G$1:$G$768))/_xlfn.STDEV.P(pima_data!$G$1:$G$768)</f>
        <v>-0.884521190076828</v>
      </c>
      <c r="H102" s="5">
        <f>(pima_data!H102-AVERAGE(pima_data!$H$1:$H$768))/_xlfn.STDEV.P(pima_data!$H$1:$H$768)</f>
        <v>-0.956461683348801</v>
      </c>
    </row>
    <row r="103" spans="1:8">
      <c r="A103" s="5">
        <f>(pima_data!A103-AVERAGE(pima_data!$A$1:$A$768))/_xlfn.STDEV.P(pima_data!$A$1:$A$768)</f>
        <v>-1.1418515161635</v>
      </c>
      <c r="B103" s="5">
        <f>(pima_data!B103-AVERAGE(pima_data!$B$1:$B$768))/_xlfn.STDEV.P(pima_data!$B$1:$B$768)</f>
        <v>0.128489452104507</v>
      </c>
      <c r="C103" s="5">
        <f>(pima_data!C103-AVERAGE(pima_data!$C$1:$C$768))/_xlfn.STDEV.P(pima_data!$C$1:$C$768)</f>
        <v>1.39038675012849</v>
      </c>
      <c r="D103" s="5">
        <f>(pima_data!D103-AVERAGE(pima_data!$D$1:$D$768))/_xlfn.STDEV.P(pima_data!$D$1:$D$768)</f>
        <v>-1.28821221294523</v>
      </c>
      <c r="E103" s="5">
        <f>(pima_data!E103-AVERAGE(pima_data!$E$1:$E$768))/_xlfn.STDEV.P(pima_data!$E$1:$E$768)</f>
        <v>-0.692890572295466</v>
      </c>
      <c r="F103" s="5">
        <f>(pima_data!F103-AVERAGE(pima_data!$F$1:$F$768))/_xlfn.STDEV.P(pima_data!$F$1:$F$768)</f>
        <v>-1.20479085212284</v>
      </c>
      <c r="G103" s="5">
        <f>(pima_data!G103-AVERAGE(pima_data!$G$1:$G$768))/_xlfn.STDEV.P(pima_data!$G$1:$G$768)</f>
        <v>-0.633851339856281</v>
      </c>
      <c r="H103" s="5">
        <f>(pima_data!H103-AVERAGE(pima_data!$H$1:$H$768))/_xlfn.STDEV.P(pima_data!$H$1:$H$768)</f>
        <v>-1.0415494364835</v>
      </c>
    </row>
    <row r="104" spans="1:8">
      <c r="A104" s="5">
        <f>(pima_data!A104-AVERAGE(pima_data!$A$1:$A$768))/_xlfn.STDEV.P(pima_data!$A$1:$A$768)</f>
        <v>-0.844885053443025</v>
      </c>
      <c r="B104" s="5">
        <f>(pima_data!B104-AVERAGE(pima_data!$B$1:$B$768))/_xlfn.STDEV.P(pima_data!$B$1:$B$768)</f>
        <v>-1.24858494228671</v>
      </c>
      <c r="C104" s="5">
        <f>(pima_data!C104-AVERAGE(pima_data!$C$1:$C$768))/_xlfn.STDEV.P(pima_data!$C$1:$C$768)</f>
        <v>0.149640752628208</v>
      </c>
      <c r="D104" s="5">
        <f>(pima_data!D104-AVERAGE(pima_data!$D$1:$D$768))/_xlfn.STDEV.P(pima_data!$D$1:$D$768)</f>
        <v>-0.159107113290471</v>
      </c>
      <c r="E104" s="5">
        <f>(pima_data!E104-AVERAGE(pima_data!$E$1:$E$768))/_xlfn.STDEV.P(pima_data!$E$1:$E$768)</f>
        <v>-0.345574735384643</v>
      </c>
      <c r="F104" s="5">
        <f>(pima_data!F104-AVERAGE(pima_data!$F$1:$F$768))/_xlfn.STDEV.P(pima_data!$F$1:$F$768)</f>
        <v>-0.684421946156772</v>
      </c>
      <c r="G104" s="5">
        <f>(pima_data!G104-AVERAGE(pima_data!$G$1:$G$768))/_xlfn.STDEV.P(pima_data!$G$1:$G$768)</f>
        <v>-0.570428847631805</v>
      </c>
      <c r="H104" s="5">
        <f>(pima_data!H104-AVERAGE(pima_data!$H$1:$H$768))/_xlfn.STDEV.P(pima_data!$H$1:$H$768)</f>
        <v>-0.786286177079398</v>
      </c>
    </row>
    <row r="105" spans="1:8">
      <c r="A105" s="5">
        <f>(pima_data!A105-AVERAGE(pima_data!$A$1:$A$768))/_xlfn.STDEV.P(pima_data!$A$1:$A$768)</f>
        <v>-0.547918590722547</v>
      </c>
      <c r="B105" s="5">
        <f>(pima_data!B105-AVERAGE(pima_data!$B$1:$B$768))/_xlfn.STDEV.P(pima_data!$B$1:$B$768)</f>
        <v>-1.12339636097842</v>
      </c>
      <c r="C105" s="5">
        <f>(pima_data!C105-AVERAGE(pima_data!$C$1:$C$768))/_xlfn.STDEV.P(pima_data!$C$1:$C$768)</f>
        <v>-0.212243496642708</v>
      </c>
      <c r="D105" s="5">
        <f>(pima_data!D105-AVERAGE(pima_data!$D$1:$D$768))/_xlfn.STDEV.P(pima_data!$D$1:$D$768)</f>
        <v>-1.28821221294523</v>
      </c>
      <c r="E105" s="5">
        <f>(pima_data!E105-AVERAGE(pima_data!$E$1:$E$768))/_xlfn.STDEV.P(pima_data!$E$1:$E$768)</f>
        <v>-0.692890572295466</v>
      </c>
      <c r="F105" s="5">
        <f>(pima_data!F105-AVERAGE(pima_data!$F$1:$F$768))/_xlfn.STDEV.P(pima_data!$F$1:$F$768)</f>
        <v>0.965528243491723</v>
      </c>
      <c r="G105" s="5">
        <f>(pima_data!G105-AVERAGE(pima_data!$G$1:$G$768))/_xlfn.STDEV.P(pima_data!$G$1:$G$768)</f>
        <v>1.38358793661752</v>
      </c>
      <c r="H105" s="5">
        <f>(pima_data!H105-AVERAGE(pima_data!$H$1:$H$768))/_xlfn.STDEV.P(pima_data!$H$1:$H$768)</f>
        <v>-0.531022917675293</v>
      </c>
    </row>
    <row r="106" spans="1:8">
      <c r="A106" s="5">
        <f>(pima_data!A106-AVERAGE(pima_data!$A$1:$A$768))/_xlfn.STDEV.P(pima_data!$A$1:$A$768)</f>
        <v>-0.844885053443025</v>
      </c>
      <c r="B106" s="5">
        <f>(pima_data!B106-AVERAGE(pima_data!$B$1:$B$768))/_xlfn.STDEV.P(pima_data!$B$1:$B$768)</f>
        <v>0.15978659743158</v>
      </c>
      <c r="C106" s="5">
        <f>(pima_data!C106-AVERAGE(pima_data!$C$1:$C$768))/_xlfn.STDEV.P(pima_data!$C$1:$C$768)</f>
        <v>-0.677523245705314</v>
      </c>
      <c r="D106" s="5">
        <f>(pima_data!D106-AVERAGE(pima_data!$D$1:$D$768))/_xlfn.STDEV.P(pima_data!$D$1:$D$768)</f>
        <v>0.530901558720772</v>
      </c>
      <c r="E106" s="5">
        <f>(pima_data!E106-AVERAGE(pima_data!$E$1:$E$768))/_xlfn.STDEV.P(pima_data!$E$1:$E$768)</f>
        <v>0.626909607965663</v>
      </c>
      <c r="F106" s="5">
        <f>(pima_data!F106-AVERAGE(pima_data!$F$1:$F$768))/_xlfn.STDEV.P(pima_data!$F$1:$F$768)</f>
        <v>-0.417891530905861</v>
      </c>
      <c r="G106" s="5">
        <f>(pima_data!G106-AVERAGE(pima_data!$G$1:$G$768))/_xlfn.STDEV.P(pima_data!$G$1:$G$768)</f>
        <v>0.993992627238597</v>
      </c>
      <c r="H106" s="5">
        <f>(pima_data!H106-AVERAGE(pima_data!$H$1:$H$768))/_xlfn.STDEV.P(pima_data!$H$1:$H$768)</f>
        <v>-1.0415494364835</v>
      </c>
    </row>
    <row r="107" spans="1:8">
      <c r="A107" s="5">
        <f>(pima_data!A107-AVERAGE(pima_data!$A$1:$A$768))/_xlfn.STDEV.P(pima_data!$A$1:$A$768)</f>
        <v>-0.844885053443025</v>
      </c>
      <c r="B107" s="5">
        <f>(pima_data!B107-AVERAGE(pima_data!$B$1:$B$768))/_xlfn.STDEV.P(pima_data!$B$1:$B$768)</f>
        <v>-0.779127762380613</v>
      </c>
      <c r="C107" s="5">
        <f>(pima_data!C107-AVERAGE(pima_data!$C$1:$C$768))/_xlfn.STDEV.P(pima_data!$C$1:$C$768)</f>
        <v>2.73452824742046</v>
      </c>
      <c r="D107" s="5">
        <f>(pima_data!D107-AVERAGE(pima_data!$D$1:$D$768))/_xlfn.STDEV.P(pima_data!$D$1:$D$768)</f>
        <v>-1.28821221294523</v>
      </c>
      <c r="E107" s="5">
        <f>(pima_data!E107-AVERAGE(pima_data!$E$1:$E$768))/_xlfn.STDEV.P(pima_data!$E$1:$E$768)</f>
        <v>-0.692890572295466</v>
      </c>
      <c r="F107" s="5">
        <f>(pima_data!F107-AVERAGE(pima_data!$F$1:$F$768))/_xlfn.STDEV.P(pima_data!$F$1:$F$768)</f>
        <v>-1.21748277665859</v>
      </c>
      <c r="G107" s="5">
        <f>(pima_data!G107-AVERAGE(pima_data!$G$1:$G$768))/_xlfn.STDEV.P(pima_data!$G$1:$G$768)</f>
        <v>-0.79995786711086</v>
      </c>
      <c r="H107" s="5">
        <f>(pima_data!H107-AVERAGE(pima_data!$H$1:$H$768))/_xlfn.STDEV.P(pima_data!$H$1:$H$768)</f>
        <v>-0.531022917675293</v>
      </c>
    </row>
    <row r="108" spans="1:8">
      <c r="A108" s="5">
        <f>(pima_data!A108-AVERAGE(pima_data!$A$1:$A$768))/_xlfn.STDEV.P(pima_data!$A$1:$A$768)</f>
        <v>0.0460143347184072</v>
      </c>
      <c r="B108" s="5">
        <f>(pima_data!B108-AVERAGE(pima_data!$B$1:$B$768))/_xlfn.STDEV.P(pima_data!$B$1:$B$768)</f>
        <v>0.723135213318896</v>
      </c>
      <c r="C108" s="5">
        <f>(pima_data!C108-AVERAGE(pima_data!$C$1:$C$768))/_xlfn.STDEV.P(pima_data!$C$1:$C$768)</f>
        <v>-0.574127745913624</v>
      </c>
      <c r="D108" s="5">
        <f>(pima_data!D108-AVERAGE(pima_data!$D$1:$D$768))/_xlfn.STDEV.P(pima_data!$D$1:$D$768)</f>
        <v>0.468173497628841</v>
      </c>
      <c r="E108" s="5">
        <f>(pima_data!E108-AVERAGE(pima_data!$E$1:$E$768))/_xlfn.STDEV.P(pima_data!$E$1:$E$768)</f>
        <v>0.522714856892416</v>
      </c>
      <c r="F108" s="5">
        <f>(pima_data!F108-AVERAGE(pima_data!$F$1:$F$768))/_xlfn.STDEV.P(pima_data!$F$1:$F$768)</f>
        <v>-0.3163561346198</v>
      </c>
      <c r="G108" s="5">
        <f>(pima_data!G108-AVERAGE(pima_data!$G$1:$G$768))/_xlfn.STDEV.P(pima_data!$G$1:$G$768)</f>
        <v>-0.558348372922381</v>
      </c>
      <c r="H108" s="5">
        <f>(pima_data!H108-AVERAGE(pima_data!$H$1:$H$768))/_xlfn.STDEV.P(pima_data!$H$1:$H$768)</f>
        <v>0.319854613671724</v>
      </c>
    </row>
    <row r="109" spans="1:8">
      <c r="A109" s="5">
        <f>(pima_data!A109-AVERAGE(pima_data!$A$1:$A$768))/_xlfn.STDEV.P(pima_data!$A$1:$A$768)</f>
        <v>-0.25095212800207</v>
      </c>
      <c r="B109" s="5">
        <f>(pima_data!B109-AVERAGE(pima_data!$B$1:$B$768))/_xlfn.STDEV.P(pima_data!$B$1:$B$768)</f>
        <v>-1.18599065163256</v>
      </c>
      <c r="C109" s="5">
        <f>(pima_data!C109-AVERAGE(pima_data!$C$1:$C$768))/_xlfn.STDEV.P(pima_data!$C$1:$C$768)</f>
        <v>-0.574127745913624</v>
      </c>
      <c r="D109" s="5">
        <f>(pima_data!D109-AVERAGE(pima_data!$D$1:$D$768))/_xlfn.STDEV.P(pima_data!$D$1:$D$768)</f>
        <v>0.656357680904634</v>
      </c>
      <c r="E109" s="5">
        <f>(pima_data!E109-AVERAGE(pima_data!$E$1:$E$768))/_xlfn.STDEV.P(pima_data!$E$1:$E$768)</f>
        <v>-0.536598445685596</v>
      </c>
      <c r="F109" s="5">
        <f>(pima_data!F109-AVERAGE(pima_data!$F$1:$F$768))/_xlfn.STDEV.P(pima_data!$F$1:$F$768)</f>
        <v>0.292856243096567</v>
      </c>
      <c r="G109" s="5">
        <f>(pima_data!G109-AVERAGE(pima_data!$G$1:$G$768))/_xlfn.STDEV.P(pima_data!$G$1:$G$768)</f>
        <v>-0.410362557731938</v>
      </c>
      <c r="H109" s="5">
        <f>(pima_data!H109-AVERAGE(pima_data!$H$1:$H$768))/_xlfn.STDEV.P(pima_data!$H$1:$H$768)</f>
        <v>-0.701198423944696</v>
      </c>
    </row>
    <row r="110" spans="1:8">
      <c r="A110" s="5">
        <f>(pima_data!A110-AVERAGE(pima_data!$A$1:$A$768))/_xlfn.STDEV.P(pima_data!$A$1:$A$768)</f>
        <v>-1.1418515161635</v>
      </c>
      <c r="B110" s="5">
        <f>(pima_data!B110-AVERAGE(pima_data!$B$1:$B$768))/_xlfn.STDEV.P(pima_data!$B$1:$B$768)</f>
        <v>-0.810424907707686</v>
      </c>
      <c r="C110" s="5">
        <f>(pima_data!C110-AVERAGE(pima_data!$C$1:$C$768))/_xlfn.STDEV.P(pima_data!$C$1:$C$768)</f>
        <v>0.821711501274195</v>
      </c>
      <c r="D110" s="5">
        <f>(pima_data!D110-AVERAGE(pima_data!$D$1:$D$768))/_xlfn.STDEV.P(pima_data!$D$1:$D$768)</f>
        <v>0.279989314353047</v>
      </c>
      <c r="E110" s="5">
        <f>(pima_data!E110-AVERAGE(pima_data!$E$1:$E$768))/_xlfn.STDEV.P(pima_data!$E$1:$E$768)</f>
        <v>-0.380306319075725</v>
      </c>
      <c r="F110" s="5">
        <f>(pima_data!F110-AVERAGE(pima_data!$F$1:$F$768))/_xlfn.STDEV.P(pima_data!$F$1:$F$768)</f>
        <v>0.686305903705054</v>
      </c>
      <c r="G110" s="5">
        <f>(pima_data!G110-AVERAGE(pima_data!$G$1:$G$768))/_xlfn.STDEV.P(pima_data!$G$1:$G$768)</f>
        <v>-0.679153120016621</v>
      </c>
      <c r="H110" s="5">
        <f>(pima_data!H110-AVERAGE(pima_data!$H$1:$H$768))/_xlfn.STDEV.P(pima_data!$H$1:$H$768)</f>
        <v>-0.786286177079398</v>
      </c>
    </row>
    <row r="111" spans="1:8">
      <c r="A111" s="5">
        <f>(pima_data!A111-AVERAGE(pima_data!$A$1:$A$768))/_xlfn.STDEV.P(pima_data!$A$1:$A$768)</f>
        <v>-0.25095212800207</v>
      </c>
      <c r="B111" s="5">
        <f>(pima_data!B111-AVERAGE(pima_data!$B$1:$B$768))/_xlfn.STDEV.P(pima_data!$B$1:$B$768)</f>
        <v>1.56815813714987</v>
      </c>
      <c r="C111" s="5">
        <f>(pima_data!C111-AVERAGE(pima_data!$C$1:$C$768))/_xlfn.STDEV.P(pima_data!$C$1:$C$768)</f>
        <v>0.149640752628208</v>
      </c>
      <c r="D111" s="5">
        <f>(pima_data!D111-AVERAGE(pima_data!$D$1:$D$768))/_xlfn.STDEV.P(pima_data!$D$1:$D$768)</f>
        <v>0.781813803088497</v>
      </c>
      <c r="E111" s="5">
        <f>(pima_data!E111-AVERAGE(pima_data!$E$1:$E$768))/_xlfn.STDEV.P(pima_data!$E$1:$E$768)</f>
        <v>0.479300377278563</v>
      </c>
      <c r="F111" s="5">
        <f>(pima_data!F111-AVERAGE(pima_data!$F$1:$F$768))/_xlfn.STDEV.P(pima_data!$F$1:$F$768)</f>
        <v>0.16593699773899</v>
      </c>
      <c r="G111" s="5">
        <f>(pima_data!G111-AVERAGE(pima_data!$G$1:$G$768))/_xlfn.STDEV.P(pima_data!$G$1:$G$768)</f>
        <v>-0.824118816529708</v>
      </c>
      <c r="H111" s="5">
        <f>(pima_data!H111-AVERAGE(pima_data!$H$1:$H$768))/_xlfn.STDEV.P(pima_data!$H$1:$H$768)</f>
        <v>-0.786286177079398</v>
      </c>
    </row>
    <row r="112" spans="1:8">
      <c r="A112" s="5">
        <f>(pima_data!A112-AVERAGE(pima_data!$A$1:$A$768))/_xlfn.STDEV.P(pima_data!$A$1:$A$768)</f>
        <v>1.23388018560032</v>
      </c>
      <c r="B112" s="5">
        <f>(pima_data!B112-AVERAGE(pima_data!$B$1:$B$768))/_xlfn.STDEV.P(pima_data!$B$1:$B$768)</f>
        <v>1.0674038119167</v>
      </c>
      <c r="C112" s="5">
        <f>(pima_data!C112-AVERAGE(pima_data!$C$1:$C$768))/_xlfn.STDEV.P(pima_data!$C$1:$C$768)</f>
        <v>-0.367336746330243</v>
      </c>
      <c r="D112" s="5">
        <f>(pima_data!D112-AVERAGE(pima_data!$D$1:$D$768))/_xlfn.STDEV.P(pima_data!$D$1:$D$768)</f>
        <v>0.342717375444978</v>
      </c>
      <c r="E112" s="5">
        <f>(pima_data!E112-AVERAGE(pima_data!$E$1:$E$768))/_xlfn.STDEV.P(pima_data!$E$1:$E$768)</f>
        <v>3.60514290947597</v>
      </c>
      <c r="F112" s="5">
        <f>(pima_data!F112-AVERAGE(pima_data!$F$1:$F$768))/_xlfn.STDEV.P(pima_data!$F$1:$F$768)</f>
        <v>0.254780469489294</v>
      </c>
      <c r="G112" s="5">
        <f>(pima_data!G112-AVERAGE(pima_data!$G$1:$G$768))/_xlfn.STDEV.P(pima_data!$G$1:$G$768)</f>
        <v>0.214802008480752</v>
      </c>
      <c r="H112" s="5">
        <f>(pima_data!H112-AVERAGE(pima_data!$H$1:$H$768))/_xlfn.STDEV.P(pima_data!$H$1:$H$768)</f>
        <v>1.08564439188404</v>
      </c>
    </row>
    <row r="113" spans="1:8">
      <c r="A113" s="5">
        <f>(pima_data!A113-AVERAGE(pima_data!$A$1:$A$768))/_xlfn.STDEV.P(pima_data!$A$1:$A$768)</f>
        <v>-0.844885053443025</v>
      </c>
      <c r="B113" s="5">
        <f>(pima_data!B113-AVERAGE(pima_data!$B$1:$B$768))/_xlfn.STDEV.P(pima_data!$B$1:$B$768)</f>
        <v>-0.998207779670124</v>
      </c>
      <c r="C113" s="5">
        <f>(pima_data!C113-AVERAGE(pima_data!$C$1:$C$768))/_xlfn.STDEV.P(pima_data!$C$1:$C$768)</f>
        <v>0.356431752211589</v>
      </c>
      <c r="D113" s="5">
        <f>(pima_data!D113-AVERAGE(pima_data!$D$1:$D$768))/_xlfn.STDEV.P(pima_data!$D$1:$D$768)</f>
        <v>0.844541864180428</v>
      </c>
      <c r="E113" s="5">
        <f>(pima_data!E113-AVERAGE(pima_data!$E$1:$E$768))/_xlfn.STDEV.P(pima_data!$E$1:$E$768)</f>
        <v>-0.371623423152955</v>
      </c>
      <c r="F113" s="5">
        <f>(pima_data!F113-AVERAGE(pima_data!$F$1:$F$768))/_xlfn.STDEV.P(pima_data!$F$1:$F$768)</f>
        <v>-0.10059341751192</v>
      </c>
      <c r="G113" s="5">
        <f>(pima_data!G113-AVERAGE(pima_data!$G$1:$G$768))/_xlfn.STDEV.P(pima_data!$G$1:$G$768)</f>
        <v>-0.8452596472712</v>
      </c>
      <c r="H113" s="5">
        <f>(pima_data!H113-AVERAGE(pima_data!$H$1:$H$768))/_xlfn.STDEV.P(pima_data!$H$1:$H$768)</f>
        <v>-0.871373930214099</v>
      </c>
    </row>
    <row r="114" spans="1:8">
      <c r="A114" s="5">
        <f>(pima_data!A114-AVERAGE(pima_data!$A$1:$A$768))/_xlfn.STDEV.P(pima_data!$A$1:$A$768)</f>
        <v>0.0460143347184072</v>
      </c>
      <c r="B114" s="5">
        <f>(pima_data!B114-AVERAGE(pima_data!$B$1:$B$768))/_xlfn.STDEV.P(pima_data!$B$1:$B$768)</f>
        <v>-1.40507066892207</v>
      </c>
      <c r="C114" s="5">
        <f>(pima_data!C114-AVERAGE(pima_data!$C$1:$C$768))/_xlfn.STDEV.P(pima_data!$C$1:$C$768)</f>
        <v>-0.367336746330243</v>
      </c>
      <c r="D114" s="5">
        <f>(pima_data!D114-AVERAGE(pima_data!$D$1:$D$768))/_xlfn.STDEV.P(pima_data!$D$1:$D$768)</f>
        <v>-1.28821221294523</v>
      </c>
      <c r="E114" s="5">
        <f>(pima_data!E114-AVERAGE(pima_data!$E$1:$E$768))/_xlfn.STDEV.P(pima_data!$E$1:$E$768)</f>
        <v>-0.692890572295466</v>
      </c>
      <c r="F114" s="5">
        <f>(pima_data!F114-AVERAGE(pima_data!$F$1:$F$768))/_xlfn.STDEV.P(pima_data!$F$1:$F$768)</f>
        <v>0.254780469489294</v>
      </c>
      <c r="G114" s="5">
        <f>(pima_data!G114-AVERAGE(pima_data!$G$1:$G$768))/_xlfn.STDEV.P(pima_data!$G$1:$G$768)</f>
        <v>-0.244256030477358</v>
      </c>
      <c r="H114" s="5">
        <f>(pima_data!H114-AVERAGE(pima_data!$H$1:$H$768))/_xlfn.STDEV.P(pima_data!$H$1:$H$768)</f>
        <v>-0.701198423944696</v>
      </c>
    </row>
    <row r="115" spans="1:8">
      <c r="A115" s="5">
        <f>(pima_data!A115-AVERAGE(pima_data!$A$1:$A$768))/_xlfn.STDEV.P(pima_data!$A$1:$A$768)</f>
        <v>0.936913722879839</v>
      </c>
      <c r="B115" s="5">
        <f>(pima_data!B115-AVERAGE(pima_data!$B$1:$B$768))/_xlfn.STDEV.P(pima_data!$B$1:$B$768)</f>
        <v>1.22388953855207</v>
      </c>
      <c r="C115" s="5">
        <f>(pima_data!C115-AVERAGE(pima_data!$C$1:$C$768))/_xlfn.STDEV.P(pima_data!$C$1:$C$768)</f>
        <v>-0.780918745497004</v>
      </c>
      <c r="D115" s="5">
        <f>(pima_data!D115-AVERAGE(pima_data!$D$1:$D$768))/_xlfn.STDEV.P(pima_data!$D$1:$D$768)</f>
        <v>0.719085741996565</v>
      </c>
      <c r="E115" s="5">
        <f>(pima_data!E115-AVERAGE(pima_data!$E$1:$E$768))/_xlfn.STDEV.P(pima_data!$E$1:$E$768)</f>
        <v>0.826616214189386</v>
      </c>
      <c r="F115" s="5">
        <f>(pima_data!F115-AVERAGE(pima_data!$F$1:$F$768))/_xlfn.STDEV.P(pima_data!$F$1:$F$768)</f>
        <v>-0.189436889262224</v>
      </c>
      <c r="G115" s="5">
        <f>(pima_data!G115-AVERAGE(pima_data!$G$1:$G$768))/_xlfn.STDEV.P(pima_data!$G$1:$G$768)</f>
        <v>0.350707348961772</v>
      </c>
      <c r="H115" s="5">
        <f>(pima_data!H115-AVERAGE(pima_data!$H$1:$H$768))/_xlfn.STDEV.P(pima_data!$H$1:$H$768)</f>
        <v>0.490030119941127</v>
      </c>
    </row>
    <row r="116" spans="1:8">
      <c r="A116" s="5">
        <f>(pima_data!A116-AVERAGE(pima_data!$A$1:$A$768))/_xlfn.STDEV.P(pima_data!$A$1:$A$768)</f>
        <v>0.0460143347184072</v>
      </c>
      <c r="B116" s="5">
        <f>(pima_data!B116-AVERAGE(pima_data!$B$1:$B$768))/_xlfn.STDEV.P(pima_data!$B$1:$B$768)</f>
        <v>0.785729503973042</v>
      </c>
      <c r="C116" s="5">
        <f>(pima_data!C116-AVERAGE(pima_data!$C$1:$C$768))/_xlfn.STDEV.P(pima_data!$C$1:$C$768)</f>
        <v>1.18359575054511</v>
      </c>
      <c r="D116" s="5">
        <f>(pima_data!D116-AVERAGE(pima_data!$D$1:$D$768))/_xlfn.STDEV.P(pima_data!$D$1:$D$768)</f>
        <v>-1.28821221294523</v>
      </c>
      <c r="E116" s="5">
        <f>(pima_data!E116-AVERAGE(pima_data!$E$1:$E$768))/_xlfn.STDEV.P(pima_data!$E$1:$E$768)</f>
        <v>-0.692890572295466</v>
      </c>
      <c r="F116" s="5">
        <f>(pima_data!F116-AVERAGE(pima_data!$F$1:$F$768))/_xlfn.STDEV.P(pima_data!$F$1:$F$768)</f>
        <v>-0.10059341751192</v>
      </c>
      <c r="G116" s="5">
        <f>(pima_data!G116-AVERAGE(pima_data!$G$1:$G$768))/_xlfn.STDEV.P(pima_data!$G$1:$G$768)</f>
        <v>0.202721533771328</v>
      </c>
      <c r="H116" s="5">
        <f>(pima_data!H116-AVERAGE(pima_data!$H$1:$H$768))/_xlfn.STDEV.P(pima_data!$H$1:$H$768)</f>
        <v>2.36196068890456</v>
      </c>
    </row>
    <row r="117" spans="1:8">
      <c r="A117" s="5">
        <f>(pima_data!A117-AVERAGE(pima_data!$A$1:$A$768))/_xlfn.STDEV.P(pima_data!$A$1:$A$768)</f>
        <v>0.342980797438884</v>
      </c>
      <c r="B117" s="5">
        <f>(pima_data!B117-AVERAGE(pima_data!$B$1:$B$768))/_xlfn.STDEV.P(pima_data!$B$1:$B$768)</f>
        <v>0.097192306777434</v>
      </c>
      <c r="C117" s="5">
        <f>(pima_data!C117-AVERAGE(pima_data!$C$1:$C$768))/_xlfn.STDEV.P(pima_data!$C$1:$C$768)</f>
        <v>0.253036252419898</v>
      </c>
      <c r="D117" s="5">
        <f>(pima_data!D117-AVERAGE(pima_data!$D$1:$D$768))/_xlfn.STDEV.P(pima_data!$D$1:$D$768)</f>
        <v>-1.28821221294523</v>
      </c>
      <c r="E117" s="5">
        <f>(pima_data!E117-AVERAGE(pima_data!$E$1:$E$768))/_xlfn.STDEV.P(pima_data!$E$1:$E$768)</f>
        <v>-0.692890572295466</v>
      </c>
      <c r="F117" s="5">
        <f>(pima_data!F117-AVERAGE(pima_data!$F$1:$F$768))/_xlfn.STDEV.P(pima_data!$F$1:$F$768)</f>
        <v>0.254780469489294</v>
      </c>
      <c r="G117" s="5">
        <f>(pima_data!G117-AVERAGE(pima_data!$G$1:$G$768))/_xlfn.STDEV.P(pima_data!$G$1:$G$768)</f>
        <v>-0.760696324305232</v>
      </c>
      <c r="H117" s="5">
        <f>(pima_data!H117-AVERAGE(pima_data!$H$1:$H$768))/_xlfn.STDEV.P(pima_data!$H$1:$H$768)</f>
        <v>0.404942366806425</v>
      </c>
    </row>
    <row r="118" spans="1:8">
      <c r="A118" s="5">
        <f>(pima_data!A118-AVERAGE(pima_data!$A$1:$A$768))/_xlfn.STDEV.P(pima_data!$A$1:$A$768)</f>
        <v>0.342980797438884</v>
      </c>
      <c r="B118" s="5">
        <f>(pima_data!B118-AVERAGE(pima_data!$B$1:$B$768))/_xlfn.STDEV.P(pima_data!$B$1:$B$768)</f>
        <v>-1.34247637826793</v>
      </c>
      <c r="C118" s="5">
        <f>(pima_data!C118-AVERAGE(pima_data!$C$1:$C$768))/_xlfn.STDEV.P(pima_data!$C$1:$C$768)</f>
        <v>-1.09110524487208</v>
      </c>
      <c r="D118" s="5">
        <f>(pima_data!D118-AVERAGE(pima_data!$D$1:$D$768))/_xlfn.STDEV.P(pima_data!$D$1:$D$768)</f>
        <v>-1.28821221294523</v>
      </c>
      <c r="E118" s="5">
        <f>(pima_data!E118-AVERAGE(pima_data!$E$1:$E$768))/_xlfn.STDEV.P(pima_data!$E$1:$E$768)</f>
        <v>-0.692890572295466</v>
      </c>
      <c r="F118" s="5">
        <f>(pima_data!F118-AVERAGE(pima_data!$F$1:$F$768))/_xlfn.STDEV.P(pima_data!$F$1:$F$768)</f>
        <v>0.216704695882022</v>
      </c>
      <c r="G118" s="5">
        <f>(pima_data!G118-AVERAGE(pima_data!$G$1:$G$768))/_xlfn.STDEV.P(pima_data!$G$1:$G$768)</f>
        <v>0.550035181667267</v>
      </c>
      <c r="H118" s="5">
        <f>(pima_data!H118-AVERAGE(pima_data!$H$1:$H$768))/_xlfn.STDEV.P(pima_data!$H$1:$H$768)</f>
        <v>-0.701198423944696</v>
      </c>
    </row>
    <row r="119" spans="1:8">
      <c r="A119" s="5">
        <f>(pima_data!A119-AVERAGE(pima_data!$A$1:$A$768))/_xlfn.STDEV.P(pima_data!$A$1:$A$768)</f>
        <v>0.0460143347184072</v>
      </c>
      <c r="B119" s="5">
        <f>(pima_data!B119-AVERAGE(pima_data!$B$1:$B$768))/_xlfn.STDEV.P(pima_data!$B$1:$B$768)</f>
        <v>-0.74783061705354</v>
      </c>
      <c r="C119" s="5">
        <f>(pima_data!C119-AVERAGE(pima_data!$C$1:$C$768))/_xlfn.STDEV.P(pima_data!$C$1:$C$768)</f>
        <v>-0.470732246121934</v>
      </c>
      <c r="D119" s="5">
        <f>(pima_data!D119-AVERAGE(pima_data!$D$1:$D$768))/_xlfn.STDEV.P(pima_data!$D$1:$D$768)</f>
        <v>0.154533192169185</v>
      </c>
      <c r="E119" s="5">
        <f>(pima_data!E119-AVERAGE(pima_data!$E$1:$E$768))/_xlfn.STDEV.P(pima_data!$E$1:$E$768)</f>
        <v>-0.692890572295466</v>
      </c>
      <c r="F119" s="5">
        <f>(pima_data!F119-AVERAGE(pima_data!$F$1:$F$768))/_xlfn.STDEV.P(pima_data!$F$1:$F$768)</f>
        <v>-0.48135115358465</v>
      </c>
      <c r="G119" s="5">
        <f>(pima_data!G119-AVERAGE(pima_data!$G$1:$G$768))/_xlfn.STDEV.P(pima_data!$G$1:$G$768)</f>
        <v>-0.0872098592548467</v>
      </c>
      <c r="H119" s="5">
        <f>(pima_data!H119-AVERAGE(pima_data!$H$1:$H$768))/_xlfn.STDEV.P(pima_data!$H$1:$H$768)</f>
        <v>-0.956461683348801</v>
      </c>
    </row>
    <row r="120" spans="1:8">
      <c r="A120" s="5">
        <f>(pima_data!A120-AVERAGE(pima_data!$A$1:$A$768))/_xlfn.STDEV.P(pima_data!$A$1:$A$768)</f>
        <v>0.0460143347184072</v>
      </c>
      <c r="B120" s="5">
        <f>(pima_data!B120-AVERAGE(pima_data!$B$1:$B$768))/_xlfn.STDEV.P(pima_data!$B$1:$B$768)</f>
        <v>-0.685236326399393</v>
      </c>
      <c r="C120" s="5">
        <f>(pima_data!C120-AVERAGE(pima_data!$C$1:$C$768))/_xlfn.STDEV.P(pima_data!$C$1:$C$768)</f>
        <v>0.356431752211589</v>
      </c>
      <c r="D120" s="5">
        <f>(pima_data!D120-AVERAGE(pima_data!$D$1:$D$768))/_xlfn.STDEV.P(pima_data!$D$1:$D$768)</f>
        <v>-0.347291296566265</v>
      </c>
      <c r="E120" s="5">
        <f>(pima_data!E120-AVERAGE(pima_data!$E$1:$E$768))/_xlfn.STDEV.P(pima_data!$E$1:$E$768)</f>
        <v>-0.250062880234167</v>
      </c>
      <c r="F120" s="5">
        <f>(pima_data!F120-AVERAGE(pima_data!$F$1:$F$768))/_xlfn.STDEV.P(pima_data!$F$1:$F$768)</f>
        <v>-1.11594738037253</v>
      </c>
      <c r="G120" s="5">
        <f>(pima_data!G120-AVERAGE(pima_data!$G$1:$G$768))/_xlfn.STDEV.P(pima_data!$G$1:$G$768)</f>
        <v>-0.751635968273164</v>
      </c>
      <c r="H120" s="5">
        <f>(pima_data!H120-AVERAGE(pima_data!$H$1:$H$768))/_xlfn.STDEV.P(pima_data!$H$1:$H$768)</f>
        <v>-1.0415494364835</v>
      </c>
    </row>
    <row r="121" spans="1:8">
      <c r="A121" s="5">
        <f>(pima_data!A121-AVERAGE(pima_data!$A$1:$A$768))/_xlfn.STDEV.P(pima_data!$A$1:$A$768)</f>
        <v>-1.1418515161635</v>
      </c>
      <c r="B121" s="5">
        <f>(pima_data!B121-AVERAGE(pima_data!$B$1:$B$768))/_xlfn.STDEV.P(pima_data!$B$1:$B$768)</f>
        <v>1.28648382920621</v>
      </c>
      <c r="C121" s="5">
        <f>(pima_data!C121-AVERAGE(pima_data!$C$1:$C$768))/_xlfn.STDEV.P(pima_data!$C$1:$C$768)</f>
        <v>0.356431752211589</v>
      </c>
      <c r="D121" s="5">
        <f>(pima_data!D121-AVERAGE(pima_data!$D$1:$D$768))/_xlfn.STDEV.P(pima_data!$D$1:$D$768)</f>
        <v>2.22455920820291</v>
      </c>
      <c r="E121" s="5">
        <f>(pima_data!E121-AVERAGE(pima_data!$E$1:$E$768))/_xlfn.STDEV.P(pima_data!$E$1:$E$768)</f>
        <v>0.175399019981592</v>
      </c>
      <c r="F121" s="5">
        <f>(pima_data!F121-AVERAGE(pima_data!$F$1:$F$768))/_xlfn.STDEV.P(pima_data!$F$1:$F$768)</f>
        <v>2.69162998035476</v>
      </c>
      <c r="G121" s="5">
        <f>(pima_data!G121-AVERAGE(pima_data!$G$1:$G$768))/_xlfn.STDEV.P(pima_data!$G$1:$G$768)</f>
        <v>0.867147642789646</v>
      </c>
      <c r="H121" s="5">
        <f>(pima_data!H121-AVERAGE(pima_data!$H$1:$H$768))/_xlfn.STDEV.P(pima_data!$H$1:$H$768)</f>
        <v>-0.701198423944696</v>
      </c>
    </row>
    <row r="122" spans="1:8">
      <c r="A122" s="5">
        <f>(pima_data!A122-AVERAGE(pima_data!$A$1:$A$768))/_xlfn.STDEV.P(pima_data!$A$1:$A$768)</f>
        <v>0.639947260159362</v>
      </c>
      <c r="B122" s="5">
        <f>(pima_data!B122-AVERAGE(pima_data!$B$1:$B$768))/_xlfn.STDEV.P(pima_data!$B$1:$B$768)</f>
        <v>-0.309670582474516</v>
      </c>
      <c r="C122" s="5">
        <f>(pima_data!C122-AVERAGE(pima_data!$C$1:$C$768))/_xlfn.STDEV.P(pima_data!$C$1:$C$768)</f>
        <v>-0.263941246538553</v>
      </c>
      <c r="D122" s="5">
        <f>(pima_data!D122-AVERAGE(pima_data!$D$1:$D$768))/_xlfn.STDEV.P(pima_data!$D$1:$D$768)</f>
        <v>1.15818216964008</v>
      </c>
      <c r="E122" s="5">
        <f>(pima_data!E122-AVERAGE(pima_data!$E$1:$E$768))/_xlfn.STDEV.P(pima_data!$E$1:$E$768)</f>
        <v>-0.692890572295466</v>
      </c>
      <c r="F122" s="5">
        <f>(pima_data!F122-AVERAGE(pima_data!$F$1:$F$768))/_xlfn.STDEV.P(pima_data!$F$1:$F$768)</f>
        <v>0.28016431856081</v>
      </c>
      <c r="G122" s="5">
        <f>(pima_data!G122-AVERAGE(pima_data!$G$1:$G$768))/_xlfn.STDEV.P(pima_data!$G$1:$G$768)</f>
        <v>-0.639891577210993</v>
      </c>
      <c r="H122" s="5">
        <f>(pima_data!H122-AVERAGE(pima_data!$H$1:$H$768))/_xlfn.STDEV.P(pima_data!$H$1:$H$768)</f>
        <v>-0.786286177079398</v>
      </c>
    </row>
    <row r="123" spans="1:8">
      <c r="A123" s="5">
        <f>(pima_data!A123-AVERAGE(pima_data!$A$1:$A$768))/_xlfn.STDEV.P(pima_data!$A$1:$A$768)</f>
        <v>-0.547918590722547</v>
      </c>
      <c r="B123" s="5">
        <f>(pima_data!B123-AVERAGE(pima_data!$B$1:$B$768))/_xlfn.STDEV.P(pima_data!$B$1:$B$768)</f>
        <v>-0.434859163782809</v>
      </c>
      <c r="C123" s="5">
        <f>(pima_data!C123-AVERAGE(pima_data!$C$1:$C$768))/_xlfn.STDEV.P(pima_data!$C$1:$C$768)</f>
        <v>0.253036252419898</v>
      </c>
      <c r="D123" s="5">
        <f>(pima_data!D123-AVERAGE(pima_data!$D$1:$D$768))/_xlfn.STDEV.P(pima_data!$D$1:$D$768)</f>
        <v>0.593629619812703</v>
      </c>
      <c r="E123" s="5">
        <f>(pima_data!E123-AVERAGE(pima_data!$E$1:$E$768))/_xlfn.STDEV.P(pima_data!$E$1:$E$768)</f>
        <v>0.175399019981592</v>
      </c>
      <c r="F123" s="5">
        <f>(pima_data!F123-AVERAGE(pima_data!$F$1:$F$768))/_xlfn.STDEV.P(pima_data!$F$1:$F$768)</f>
        <v>0.204012771346264</v>
      </c>
      <c r="G123" s="5">
        <f>(pima_data!G123-AVERAGE(pima_data!$G$1:$G$768))/_xlfn.STDEV.P(pima_data!$G$1:$G$768)</f>
        <v>-0.20499448767173</v>
      </c>
      <c r="H123" s="5">
        <f>(pima_data!H123-AVERAGE(pima_data!$H$1:$H$768))/_xlfn.STDEV.P(pima_data!$H$1:$H$768)</f>
        <v>-0.871373930214099</v>
      </c>
    </row>
    <row r="124" spans="1:8">
      <c r="A124" s="5">
        <f>(pima_data!A124-AVERAGE(pima_data!$A$1:$A$768))/_xlfn.STDEV.P(pima_data!$A$1:$A$768)</f>
        <v>0.342980797438884</v>
      </c>
      <c r="B124" s="5">
        <f>(pima_data!B124-AVERAGE(pima_data!$B$1:$B$768))/_xlfn.STDEV.P(pima_data!$B$1:$B$768)</f>
        <v>0.347569469394019</v>
      </c>
      <c r="C124" s="5">
        <f>(pima_data!C124-AVERAGE(pima_data!$C$1:$C$768))/_xlfn.STDEV.P(pima_data!$C$1:$C$768)</f>
        <v>0.563222751794969</v>
      </c>
      <c r="D124" s="5">
        <f>(pima_data!D124-AVERAGE(pima_data!$D$1:$D$768))/_xlfn.STDEV.P(pima_data!$D$1:$D$768)</f>
        <v>-1.28821221294523</v>
      </c>
      <c r="E124" s="5">
        <f>(pima_data!E124-AVERAGE(pima_data!$E$1:$E$768))/_xlfn.STDEV.P(pima_data!$E$1:$E$768)</f>
        <v>-0.692890572295466</v>
      </c>
      <c r="F124" s="5">
        <f>(pima_data!F124-AVERAGE(pima_data!$F$1:$F$768))/_xlfn.STDEV.P(pima_data!$F$1:$F$768)</f>
        <v>-0.659038097085257</v>
      </c>
      <c r="G124" s="5">
        <f>(pima_data!G124-AVERAGE(pima_data!$G$1:$G$768))/_xlfn.STDEV.P(pima_data!$G$1:$G$768)</f>
        <v>-0.863380359335336</v>
      </c>
      <c r="H124" s="5">
        <f>(pima_data!H124-AVERAGE(pima_data!$H$1:$H$768))/_xlfn.STDEV.P(pima_data!$H$1:$H$768)</f>
        <v>3.04266271398218</v>
      </c>
    </row>
    <row r="125" spans="1:8">
      <c r="A125" s="5">
        <f>(pima_data!A125-AVERAGE(pima_data!$A$1:$A$768))/_xlfn.STDEV.P(pima_data!$A$1:$A$768)</f>
        <v>-1.1418515161635</v>
      </c>
      <c r="B125" s="5">
        <f>(pima_data!B125-AVERAGE(pima_data!$B$1:$B$768))/_xlfn.STDEV.P(pima_data!$B$1:$B$768)</f>
        <v>-0.24707629182037</v>
      </c>
      <c r="C125" s="5">
        <f>(pima_data!C125-AVERAGE(pima_data!$C$1:$C$768))/_xlfn.STDEV.P(pima_data!$C$1:$C$768)</f>
        <v>0.356431752211589</v>
      </c>
      <c r="D125" s="5">
        <f>(pima_data!D125-AVERAGE(pima_data!$D$1:$D$768))/_xlfn.STDEV.P(pima_data!$D$1:$D$768)</f>
        <v>-1.28821221294523</v>
      </c>
      <c r="E125" s="5">
        <f>(pima_data!E125-AVERAGE(pima_data!$E$1:$E$768))/_xlfn.STDEV.P(pima_data!$E$1:$E$768)</f>
        <v>-0.692890572295466</v>
      </c>
      <c r="F125" s="5">
        <f>(pima_data!F125-AVERAGE(pima_data!$F$1:$F$768))/_xlfn.STDEV.P(pima_data!$F$1:$F$768)</f>
        <v>0.16593699773899</v>
      </c>
      <c r="G125" s="5">
        <f>(pima_data!G125-AVERAGE(pima_data!$G$1:$G$768))/_xlfn.STDEV.P(pima_data!$G$1:$G$768)</f>
        <v>-0.585529441018585</v>
      </c>
      <c r="H125" s="5">
        <f>(pima_data!H125-AVERAGE(pima_data!$H$1:$H$768))/_xlfn.STDEV.P(pima_data!$H$1:$H$768)</f>
        <v>-0.871373930214099</v>
      </c>
    </row>
    <row r="126" spans="1:8">
      <c r="A126" s="5">
        <f>(pima_data!A126-AVERAGE(pima_data!$A$1:$A$768))/_xlfn.STDEV.P(pima_data!$A$1:$A$768)</f>
        <v>-0.844885053443025</v>
      </c>
      <c r="B126" s="5">
        <f>(pima_data!B126-AVERAGE(pima_data!$B$1:$B$768))/_xlfn.STDEV.P(pima_data!$B$1:$B$768)</f>
        <v>-1.0295049249972</v>
      </c>
      <c r="C126" s="5">
        <f>(pima_data!C126-AVERAGE(pima_data!$C$1:$C$768))/_xlfn.STDEV.P(pima_data!$C$1:$C$768)</f>
        <v>-2.02166474299729</v>
      </c>
      <c r="D126" s="5">
        <f>(pima_data!D126-AVERAGE(pima_data!$D$1:$D$768))/_xlfn.STDEV.P(pima_data!$D$1:$D$768)</f>
        <v>1.34636635291588</v>
      </c>
      <c r="E126" s="5">
        <f>(pima_data!E126-AVERAGE(pima_data!$E$1:$E$768))/_xlfn.STDEV.P(pima_data!$E$1:$E$768)</f>
        <v>0.166716124058822</v>
      </c>
      <c r="F126" s="5">
        <f>(pima_data!F126-AVERAGE(pima_data!$F$1:$F$768))/_xlfn.STDEV.P(pima_data!$F$1:$F$768)</f>
        <v>2.9200846219984</v>
      </c>
      <c r="G126" s="5">
        <f>(pima_data!G126-AVERAGE(pima_data!$G$1:$G$768))/_xlfn.STDEV.P(pima_data!$G$1:$G$768)</f>
        <v>0.0728564306450207</v>
      </c>
      <c r="H126" s="5">
        <f>(pima_data!H126-AVERAGE(pima_data!$H$1:$H$768))/_xlfn.STDEV.P(pima_data!$H$1:$H$768)</f>
        <v>-0.616110670809994</v>
      </c>
    </row>
    <row r="127" spans="1:8">
      <c r="A127" s="5">
        <f>(pima_data!A127-AVERAGE(pima_data!$A$1:$A$768))/_xlfn.STDEV.P(pima_data!$A$1:$A$768)</f>
        <v>-0.25095212800207</v>
      </c>
      <c r="B127" s="5">
        <f>(pima_data!B127-AVERAGE(pima_data!$B$1:$B$768))/_xlfn.STDEV.P(pima_data!$B$1:$B$768)</f>
        <v>-0.0279962745308584</v>
      </c>
      <c r="C127" s="5">
        <f>(pima_data!C127-AVERAGE(pima_data!$C$1:$C$768))/_xlfn.STDEV.P(pima_data!$C$1:$C$768)</f>
        <v>0.0462452528365177</v>
      </c>
      <c r="D127" s="5">
        <f>(pima_data!D127-AVERAGE(pima_data!$D$1:$D$768))/_xlfn.STDEV.P(pima_data!$D$1:$D$768)</f>
        <v>0.593629619812703</v>
      </c>
      <c r="E127" s="5">
        <f>(pima_data!E127-AVERAGE(pima_data!$E$1:$E$768))/_xlfn.STDEV.P(pima_data!$E$1:$E$768)</f>
        <v>0.479300377278563</v>
      </c>
      <c r="F127" s="5">
        <f>(pima_data!F127-AVERAGE(pima_data!$F$1:$F$768))/_xlfn.STDEV.P(pima_data!$F$1:$F$768)</f>
        <v>1.38436175317173</v>
      </c>
      <c r="G127" s="5">
        <f>(pima_data!G127-AVERAGE(pima_data!$G$1:$G$768))/_xlfn.STDEV.P(pima_data!$G$1:$G$768)</f>
        <v>-0.0600287911586428</v>
      </c>
      <c r="H127" s="5">
        <f>(pima_data!H127-AVERAGE(pima_data!$H$1:$H$768))/_xlfn.STDEV.P(pima_data!$H$1:$H$768)</f>
        <v>-0.275759658271188</v>
      </c>
    </row>
    <row r="128" spans="1:8">
      <c r="A128" s="5">
        <f>(pima_data!A128-AVERAGE(pima_data!$A$1:$A$768))/_xlfn.STDEV.P(pima_data!$A$1:$A$768)</f>
        <v>-0.844885053443025</v>
      </c>
      <c r="B128" s="5">
        <f>(pima_data!B128-AVERAGE(pima_data!$B$1:$B$768))/_xlfn.STDEV.P(pima_data!$B$1:$B$768)</f>
        <v>-0.0905905651850046</v>
      </c>
      <c r="C128" s="5">
        <f>(pima_data!C128-AVERAGE(pima_data!$C$1:$C$768))/_xlfn.STDEV.P(pima_data!$C$1:$C$768)</f>
        <v>-0.574127745913624</v>
      </c>
      <c r="D128" s="5">
        <f>(pima_data!D128-AVERAGE(pima_data!$D$1:$D$768))/_xlfn.STDEV.P(pima_data!$D$1:$D$768)</f>
        <v>0.96999798636429</v>
      </c>
      <c r="E128" s="5">
        <f>(pima_data!E128-AVERAGE(pima_data!$E$1:$E$768))/_xlfn.STDEV.P(pima_data!$E$1:$E$768)</f>
        <v>0.123301644444969</v>
      </c>
      <c r="F128" s="5">
        <f>(pima_data!F128-AVERAGE(pima_data!$F$1:$F$768))/_xlfn.STDEV.P(pima_data!$F$1:$F$768)</f>
        <v>0.16593699773899</v>
      </c>
      <c r="G128" s="5">
        <f>(pima_data!G128-AVERAGE(pima_data!$G$1:$G$768))/_xlfn.STDEV.P(pima_data!$G$1:$G$768)</f>
        <v>-0.636871458533637</v>
      </c>
      <c r="H128" s="5">
        <f>(pima_data!H128-AVERAGE(pima_data!$H$1:$H$768))/_xlfn.STDEV.P(pima_data!$H$1:$H$768)</f>
        <v>-0.871373930214099</v>
      </c>
    </row>
    <row r="129" spans="1:8">
      <c r="A129" s="5">
        <f>(pima_data!A129-AVERAGE(pima_data!$A$1:$A$768))/_xlfn.STDEV.P(pima_data!$A$1:$A$768)</f>
        <v>-0.844885053443025</v>
      </c>
      <c r="B129" s="5">
        <f>(pima_data!B129-AVERAGE(pima_data!$B$1:$B$768))/_xlfn.STDEV.P(pima_data!$B$1:$B$768)</f>
        <v>-0.121887710512078</v>
      </c>
      <c r="C129" s="5">
        <f>(pima_data!C129-AVERAGE(pima_data!$C$1:$C$768))/_xlfn.STDEV.P(pima_data!$C$1:$C$768)</f>
        <v>0.97680475096173</v>
      </c>
      <c r="D129" s="5">
        <f>(pima_data!D129-AVERAGE(pima_data!$D$1:$D$768))/_xlfn.STDEV.P(pima_data!$D$1:$D$768)</f>
        <v>0.217261253261116</v>
      </c>
      <c r="E129" s="5">
        <f>(pima_data!E129-AVERAGE(pima_data!$E$1:$E$768))/_xlfn.STDEV.P(pima_data!$E$1:$E$768)</f>
        <v>0.566129336506269</v>
      </c>
      <c r="F129" s="5">
        <f>(pima_data!F129-AVERAGE(pima_data!$F$1:$F$768))/_xlfn.STDEV.P(pima_data!$F$1:$F$768)</f>
        <v>0.318240092168083</v>
      </c>
      <c r="G129" s="5">
        <f>(pima_data!G129-AVERAGE(pima_data!$G$1:$G$768))/_xlfn.STDEV.P(pima_data!$G$1:$G$768)</f>
        <v>-0.208014606349086</v>
      </c>
      <c r="H129" s="5">
        <f>(pima_data!H129-AVERAGE(pima_data!$H$1:$H$768))/_xlfn.STDEV.P(pima_data!$H$1:$H$768)</f>
        <v>0.575117873075829</v>
      </c>
    </row>
    <row r="130" spans="1:8">
      <c r="A130" s="5">
        <f>(pima_data!A130-AVERAGE(pima_data!$A$1:$A$768))/_xlfn.STDEV.P(pima_data!$A$1:$A$768)</f>
        <v>-1.1418515161635</v>
      </c>
      <c r="B130" s="5">
        <f>(pima_data!B130-AVERAGE(pima_data!$B$1:$B$768))/_xlfn.STDEV.P(pima_data!$B$1:$B$768)</f>
        <v>-0.497453454436955</v>
      </c>
      <c r="C130" s="5">
        <f>(pima_data!C130-AVERAGE(pima_data!$C$1:$C$768))/_xlfn.STDEV.P(pima_data!$C$1:$C$768)</f>
        <v>0.77001375137835</v>
      </c>
      <c r="D130" s="5">
        <f>(pima_data!D130-AVERAGE(pima_data!$D$1:$D$768))/_xlfn.STDEV.P(pima_data!$D$1:$D$768)</f>
        <v>-1.28821221294523</v>
      </c>
      <c r="E130" s="5">
        <f>(pima_data!E130-AVERAGE(pima_data!$E$1:$E$768))/_xlfn.STDEV.P(pima_data!$E$1:$E$768)</f>
        <v>-0.692890572295466</v>
      </c>
      <c r="F130" s="5">
        <f>(pima_data!F130-AVERAGE(pima_data!$F$1:$F$768))/_xlfn.STDEV.P(pima_data!$F$1:$F$768)</f>
        <v>-0.519426927191923</v>
      </c>
      <c r="G130" s="5">
        <f>(pima_data!G130-AVERAGE(pima_data!$G$1:$G$768))/_xlfn.STDEV.P(pima_data!$G$1:$G$768)</f>
        <v>0.812785506597238</v>
      </c>
      <c r="H130" s="5">
        <f>(pima_data!H130-AVERAGE(pima_data!$H$1:$H$768))/_xlfn.STDEV.P(pima_data!$H$1:$H$768)</f>
        <v>2.44704844203926</v>
      </c>
    </row>
    <row r="131" spans="1:8">
      <c r="A131" s="5">
        <f>(pima_data!A131-AVERAGE(pima_data!$A$1:$A$768))/_xlfn.STDEV.P(pima_data!$A$1:$A$768)</f>
        <v>0.0460143347184072</v>
      </c>
      <c r="B131" s="5">
        <f>(pima_data!B131-AVERAGE(pima_data!$B$1:$B$768))/_xlfn.STDEV.P(pima_data!$B$1:$B$768)</f>
        <v>1.63075242780402</v>
      </c>
      <c r="C131" s="5">
        <f>(pima_data!C131-AVERAGE(pima_data!$C$1:$C$768))/_xlfn.STDEV.P(pima_data!$C$1:$C$768)</f>
        <v>0.0462452528365177</v>
      </c>
      <c r="D131" s="5">
        <f>(pima_data!D131-AVERAGE(pima_data!$D$1:$D$768))/_xlfn.STDEV.P(pima_data!$D$1:$D$768)</f>
        <v>-0.410019357658196</v>
      </c>
      <c r="E131" s="5">
        <f>(pima_data!E131-AVERAGE(pima_data!$E$1:$E$768))/_xlfn.STDEV.P(pima_data!$E$1:$E$768)</f>
        <v>0.765835942729992</v>
      </c>
      <c r="F131" s="5">
        <f>(pima_data!F131-AVERAGE(pima_data!$F$1:$F$768))/_xlfn.STDEV.P(pima_data!$F$1:$F$768)</f>
        <v>-0.290972285548285</v>
      </c>
      <c r="G131" s="5">
        <f>(pima_data!G131-AVERAGE(pima_data!$G$1:$G$768))/_xlfn.STDEV.P(pima_data!$G$1:$G$768)</f>
        <v>-0.334859590798038</v>
      </c>
      <c r="H131" s="5">
        <f>(pima_data!H131-AVERAGE(pima_data!$H$1:$H$768))/_xlfn.STDEV.P(pima_data!$H$1:$H$768)</f>
        <v>-0.0204963988670829</v>
      </c>
    </row>
    <row r="132" spans="1:8">
      <c r="A132" s="5">
        <f>(pima_data!A132-AVERAGE(pima_data!$A$1:$A$768))/_xlfn.STDEV.P(pima_data!$A$1:$A$768)</f>
        <v>1.53084664832079</v>
      </c>
      <c r="B132" s="5">
        <f>(pima_data!B132-AVERAGE(pima_data!$B$1:$B$768))/_xlfn.STDEV.P(pima_data!$B$1:$B$768)</f>
        <v>0.0345980161232878</v>
      </c>
      <c r="C132" s="5">
        <f>(pima_data!C132-AVERAGE(pima_data!$C$1:$C$768))/_xlfn.STDEV.P(pima_data!$C$1:$C$768)</f>
        <v>-0.677523245705314</v>
      </c>
      <c r="D132" s="5">
        <f>(pima_data!D132-AVERAGE(pima_data!$D$1:$D$768))/_xlfn.STDEV.P(pima_data!$D$1:$D$768)</f>
        <v>-1.28821221294523</v>
      </c>
      <c r="E132" s="5">
        <f>(pima_data!E132-AVERAGE(pima_data!$E$1:$E$768))/_xlfn.STDEV.P(pima_data!$E$1:$E$768)</f>
        <v>-0.692890572295466</v>
      </c>
      <c r="F132" s="5">
        <f>(pima_data!F132-AVERAGE(pima_data!$F$1:$F$768))/_xlfn.STDEV.P(pima_data!$F$1:$F$768)</f>
        <v>0.16593699773899</v>
      </c>
      <c r="G132" s="5">
        <f>(pima_data!G132-AVERAGE(pima_data!$G$1:$G$768))/_xlfn.STDEV.P(pima_data!$G$1:$G$768)</f>
        <v>1.93928977325102</v>
      </c>
      <c r="H132" s="5">
        <f>(pima_data!H132-AVERAGE(pima_data!$H$1:$H$768))/_xlfn.STDEV.P(pima_data!$H$1:$H$768)</f>
        <v>-0.0204963988670829</v>
      </c>
    </row>
    <row r="133" spans="1:8">
      <c r="A133" s="5">
        <f>(pima_data!A133-AVERAGE(pima_data!$A$1:$A$768))/_xlfn.STDEV.P(pima_data!$A$1:$A$768)</f>
        <v>-0.25095212800207</v>
      </c>
      <c r="B133" s="5">
        <f>(pima_data!B133-AVERAGE(pima_data!$B$1:$B$768))/_xlfn.STDEV.P(pima_data!$B$1:$B$768)</f>
        <v>1.5368609918228</v>
      </c>
      <c r="C133" s="5">
        <f>(pima_data!C133-AVERAGE(pima_data!$C$1:$C$768))/_xlfn.STDEV.P(pima_data!$C$1:$C$768)</f>
        <v>-0.263941246538553</v>
      </c>
      <c r="D133" s="5">
        <f>(pima_data!D133-AVERAGE(pima_data!$D$1:$D$768))/_xlfn.STDEV.P(pima_data!$D$1:$D$768)</f>
        <v>1.03272604745622</v>
      </c>
      <c r="E133" s="5">
        <f>(pima_data!E133-AVERAGE(pima_data!$E$1:$E$768))/_xlfn.STDEV.P(pima_data!$E$1:$E$768)</f>
        <v>1.26076101032792</v>
      </c>
      <c r="F133" s="5">
        <f>(pima_data!F133-AVERAGE(pima_data!$F$1:$F$768))/_xlfn.STDEV.P(pima_data!$F$1:$F$768)</f>
        <v>0.318240092168083</v>
      </c>
      <c r="G133" s="5">
        <f>(pima_data!G133-AVERAGE(pima_data!$G$1:$G$768))/_xlfn.STDEV.P(pima_data!$G$1:$G$768)</f>
        <v>-0.349960184184818</v>
      </c>
      <c r="H133" s="5">
        <f>(pima_data!H133-AVERAGE(pima_data!$H$1:$H$768))/_xlfn.STDEV.P(pima_data!$H$1:$H$768)</f>
        <v>-0.275759658271188</v>
      </c>
    </row>
    <row r="134" spans="1:8">
      <c r="A134" s="5">
        <f>(pima_data!A134-AVERAGE(pima_data!$A$1:$A$768))/_xlfn.STDEV.P(pima_data!$A$1:$A$768)</f>
        <v>1.23388018560032</v>
      </c>
      <c r="B134" s="5">
        <f>(pima_data!B134-AVERAGE(pima_data!$B$1:$B$768))/_xlfn.STDEV.P(pima_data!$B$1:$B$768)</f>
        <v>-1.15469350630549</v>
      </c>
      <c r="C134" s="5">
        <f>(pima_data!C134-AVERAGE(pima_data!$C$1:$C$768))/_xlfn.STDEV.P(pima_data!$C$1:$C$768)</f>
        <v>0.253036252419898</v>
      </c>
      <c r="D134" s="5">
        <f>(pima_data!D134-AVERAGE(pima_data!$D$1:$D$768))/_xlfn.STDEV.P(pima_data!$D$1:$D$768)</f>
        <v>0.656357680904634</v>
      </c>
      <c r="E134" s="5">
        <f>(pima_data!E134-AVERAGE(pima_data!$E$1:$E$768))/_xlfn.STDEV.P(pima_data!$E$1:$E$768)</f>
        <v>-0.692890572295466</v>
      </c>
      <c r="F134" s="5">
        <f>(pima_data!F134-AVERAGE(pima_data!$F$1:$F$768))/_xlfn.STDEV.P(pima_data!$F$1:$F$768)</f>
        <v>0.800533224526873</v>
      </c>
      <c r="G134" s="5">
        <f>(pima_data!G134-AVERAGE(pima_data!$G$1:$G$768))/_xlfn.STDEV.P(pima_data!$G$1:$G$768)</f>
        <v>-0.0449281977718628</v>
      </c>
      <c r="H134" s="5">
        <f>(pima_data!H134-AVERAGE(pima_data!$H$1:$H$768))/_xlfn.STDEV.P(pima_data!$H$1:$H$768)</f>
        <v>0.490030119941127</v>
      </c>
    </row>
    <row r="135" spans="1:8">
      <c r="A135" s="5">
        <f>(pima_data!A135-AVERAGE(pima_data!$A$1:$A$768))/_xlfn.STDEV.P(pima_data!$A$1:$A$768)</f>
        <v>-0.547918590722547</v>
      </c>
      <c r="B135" s="5">
        <f>(pima_data!B135-AVERAGE(pima_data!$B$1:$B$768))/_xlfn.STDEV.P(pima_data!$B$1:$B$768)</f>
        <v>-0.779127762380613</v>
      </c>
      <c r="C135" s="5">
        <f>(pima_data!C135-AVERAGE(pima_data!$C$1:$C$768))/_xlfn.STDEV.P(pima_data!$C$1:$C$768)</f>
        <v>-0.0571502469551726</v>
      </c>
      <c r="D135" s="5">
        <f>(pima_data!D135-AVERAGE(pima_data!$D$1:$D$768))/_xlfn.STDEV.P(pima_data!$D$1:$D$768)</f>
        <v>-0.472747418750127</v>
      </c>
      <c r="E135" s="5">
        <f>(pima_data!E135-AVERAGE(pima_data!$E$1:$E$768))/_xlfn.STDEV.P(pima_data!$E$1:$E$768)</f>
        <v>-0.267428672079708</v>
      </c>
      <c r="F135" s="5">
        <f>(pima_data!F135-AVERAGE(pima_data!$F$1:$F$768))/_xlfn.STDEV.P(pima_data!$F$1:$F$768)</f>
        <v>-1.38247779562344</v>
      </c>
      <c r="G135" s="5">
        <f>(pima_data!G135-AVERAGE(pima_data!$G$1:$G$768))/_xlfn.STDEV.P(pima_data!$G$1:$G$768)</f>
        <v>0.528894350925775</v>
      </c>
      <c r="H135" s="5">
        <f>(pima_data!H135-AVERAGE(pima_data!$H$1:$H$768))/_xlfn.STDEV.P(pima_data!$H$1:$H$768)</f>
        <v>-0.616110670809994</v>
      </c>
    </row>
    <row r="136" spans="1:8">
      <c r="A136" s="5">
        <f>(pima_data!A136-AVERAGE(pima_data!$A$1:$A$768))/_xlfn.STDEV.P(pima_data!$A$1:$A$768)</f>
        <v>-0.547918590722547</v>
      </c>
      <c r="B136" s="5">
        <f>(pima_data!B136-AVERAGE(pima_data!$B$1:$B$768))/_xlfn.STDEV.P(pima_data!$B$1:$B$768)</f>
        <v>0.128489452104507</v>
      </c>
      <c r="C136" s="5">
        <f>(pima_data!C136-AVERAGE(pima_data!$C$1:$C$768))/_xlfn.STDEV.P(pima_data!$C$1:$C$768)</f>
        <v>-0.470732246121934</v>
      </c>
      <c r="D136" s="5">
        <f>(pima_data!D136-AVERAGE(pima_data!$D$1:$D$768))/_xlfn.STDEV.P(pima_data!$D$1:$D$768)</f>
        <v>-0.0336509911066088</v>
      </c>
      <c r="E136" s="5">
        <f>(pima_data!E136-AVERAGE(pima_data!$E$1:$E$768))/_xlfn.STDEV.P(pima_data!$E$1:$E$768)</f>
        <v>0.522714856892416</v>
      </c>
      <c r="F136" s="5">
        <f>(pima_data!F136-AVERAGE(pima_data!$F$1:$F$768))/_xlfn.STDEV.P(pima_data!$F$1:$F$768)</f>
        <v>0.229396620417779</v>
      </c>
      <c r="G136" s="5">
        <f>(pima_data!G136-AVERAGE(pima_data!$G$1:$G$768))/_xlfn.STDEV.P(pima_data!$G$1:$G$768)</f>
        <v>-1.15935198971622</v>
      </c>
      <c r="H136" s="5">
        <f>(pima_data!H136-AVERAGE(pima_data!$H$1:$H$768))/_xlfn.STDEV.P(pima_data!$H$1:$H$768)</f>
        <v>-0.190671905136486</v>
      </c>
    </row>
    <row r="137" spans="1:8">
      <c r="A137" s="5">
        <f>(pima_data!A137-AVERAGE(pima_data!$A$1:$A$768))/_xlfn.STDEV.P(pima_data!$A$1:$A$768)</f>
        <v>-1.1418515161635</v>
      </c>
      <c r="B137" s="5">
        <f>(pima_data!B137-AVERAGE(pima_data!$B$1:$B$768))/_xlfn.STDEV.P(pima_data!$B$1:$B$768)</f>
        <v>-0.65393918107232</v>
      </c>
      <c r="C137" s="5">
        <f>(pima_data!C137-AVERAGE(pima_data!$C$1:$C$768))/_xlfn.STDEV.P(pima_data!$C$1:$C$768)</f>
        <v>0.0462452528365177</v>
      </c>
      <c r="D137" s="5">
        <f>(pima_data!D137-AVERAGE(pima_data!$D$1:$D$768))/_xlfn.STDEV.P(pima_data!$D$1:$D$768)</f>
        <v>0.342717375444978</v>
      </c>
      <c r="E137" s="5">
        <f>(pima_data!E137-AVERAGE(pima_data!$E$1:$E$768))/_xlfn.STDEV.P(pima_data!$E$1:$E$768)</f>
        <v>-0.258745776156937</v>
      </c>
      <c r="F137" s="5">
        <f>(pima_data!F137-AVERAGE(pima_data!$F$1:$F$768))/_xlfn.STDEV.P(pima_data!$F$1:$F$768)</f>
        <v>-0.151361115654951</v>
      </c>
      <c r="G137" s="5">
        <f>(pima_data!G137-AVERAGE(pima_data!$G$1:$G$768))/_xlfn.STDEV.P(pima_data!$G$1:$G$768)</f>
        <v>0.377888417057975</v>
      </c>
      <c r="H137" s="5">
        <f>(pima_data!H137-AVERAGE(pima_data!$H$1:$H$768))/_xlfn.STDEV.P(pima_data!$H$1:$H$768)</f>
        <v>-1.0415494364835</v>
      </c>
    </row>
    <row r="138" spans="1:8">
      <c r="A138" s="5">
        <f>(pima_data!A138-AVERAGE(pima_data!$A$1:$A$768))/_xlfn.STDEV.P(pima_data!$A$1:$A$768)</f>
        <v>-1.1418515161635</v>
      </c>
      <c r="B138" s="5">
        <f>(pima_data!B138-AVERAGE(pima_data!$B$1:$B$768))/_xlfn.STDEV.P(pima_data!$B$1:$B$768)</f>
        <v>-0.873019198361832</v>
      </c>
      <c r="C138" s="5">
        <f>(pima_data!C138-AVERAGE(pima_data!$C$1:$C$768))/_xlfn.STDEV.P(pima_data!$C$1:$C$768)</f>
        <v>-0.470732246121934</v>
      </c>
      <c r="D138" s="5">
        <f>(pima_data!D138-AVERAGE(pima_data!$D$1:$D$768))/_xlfn.STDEV.P(pima_data!$D$1:$D$768)</f>
        <v>0.279989314353047</v>
      </c>
      <c r="E138" s="5">
        <f>(pima_data!E138-AVERAGE(pima_data!$E$1:$E$768))/_xlfn.STDEV.P(pima_data!$E$1:$E$768)</f>
        <v>0.105935852599428</v>
      </c>
      <c r="F138" s="5">
        <f>(pima_data!F138-AVERAGE(pima_data!$F$1:$F$768))/_xlfn.STDEV.P(pima_data!$F$1:$F$768)</f>
        <v>-0.417891530905861</v>
      </c>
      <c r="G138" s="5">
        <f>(pima_data!G138-AVERAGE(pima_data!$G$1:$G$768))/_xlfn.STDEV.P(pima_data!$G$1:$G$768)</f>
        <v>0.181580703029836</v>
      </c>
      <c r="H138" s="5">
        <f>(pima_data!H138-AVERAGE(pima_data!$H$1:$H$768))/_xlfn.STDEV.P(pima_data!$H$1:$H$768)</f>
        <v>-0.956461683348801</v>
      </c>
    </row>
    <row r="139" spans="1:8">
      <c r="A139" s="5">
        <f>(pima_data!A139-AVERAGE(pima_data!$A$1:$A$768))/_xlfn.STDEV.P(pima_data!$A$1:$A$768)</f>
        <v>-1.1418515161635</v>
      </c>
      <c r="B139" s="5">
        <f>(pima_data!B139-AVERAGE(pima_data!$B$1:$B$768))/_xlfn.STDEV.P(pima_data!$B$1:$B$768)</f>
        <v>0.253678033412799</v>
      </c>
      <c r="C139" s="5">
        <f>(pima_data!C139-AVERAGE(pima_data!$C$1:$C$768))/_xlfn.STDEV.P(pima_data!$C$1:$C$768)</f>
        <v>0.563222751794969</v>
      </c>
      <c r="D139" s="5">
        <f>(pima_data!D139-AVERAGE(pima_data!$D$1:$D$768))/_xlfn.STDEV.P(pima_data!$D$1:$D$768)</f>
        <v>-1.28821221294523</v>
      </c>
      <c r="E139" s="5">
        <f>(pima_data!E139-AVERAGE(pima_data!$E$1:$E$768))/_xlfn.STDEV.P(pima_data!$E$1:$E$768)</f>
        <v>-0.692890572295466</v>
      </c>
      <c r="F139" s="5">
        <f>(pima_data!F139-AVERAGE(pima_data!$F$1:$F$768))/_xlfn.STDEV.P(pima_data!$F$1:$F$768)</f>
        <v>-0.10059341751192</v>
      </c>
      <c r="G139" s="5">
        <f>(pima_data!G139-AVERAGE(pima_data!$G$1:$G$768))/_xlfn.STDEV.P(pima_data!$G$1:$G$768)</f>
        <v>0.69802099685771</v>
      </c>
      <c r="H139" s="5">
        <f>(pima_data!H139-AVERAGE(pima_data!$H$1:$H$768))/_xlfn.STDEV.P(pima_data!$H$1:$H$768)</f>
        <v>-0.360847411405889</v>
      </c>
    </row>
    <row r="140" spans="1:8">
      <c r="A140" s="5">
        <f>(pima_data!A140-AVERAGE(pima_data!$A$1:$A$768))/_xlfn.STDEV.P(pima_data!$A$1:$A$768)</f>
        <v>0.342980797438884</v>
      </c>
      <c r="B140" s="5">
        <f>(pima_data!B140-AVERAGE(pima_data!$B$1:$B$768))/_xlfn.STDEV.P(pima_data!$B$1:$B$768)</f>
        <v>-0.497453454436955</v>
      </c>
      <c r="C140" s="5">
        <f>(pima_data!C140-AVERAGE(pima_data!$C$1:$C$768))/_xlfn.STDEV.P(pima_data!$C$1:$C$768)</f>
        <v>0.149640752628208</v>
      </c>
      <c r="D140" s="5">
        <f>(pima_data!D140-AVERAGE(pima_data!$D$1:$D$768))/_xlfn.STDEV.P(pima_data!$D$1:$D$768)</f>
        <v>0.530901558720772</v>
      </c>
      <c r="E140" s="5">
        <f>(pima_data!E140-AVERAGE(pima_data!$E$1:$E$768))/_xlfn.STDEV.P(pima_data!$E$1:$E$768)</f>
        <v>2.12905060260497</v>
      </c>
      <c r="F140" s="5">
        <f>(pima_data!F140-AVERAGE(pima_data!$F$1:$F$768))/_xlfn.STDEV.P(pima_data!$F$1:$F$768)</f>
        <v>0.622846281026266</v>
      </c>
      <c r="G140" s="5">
        <f>(pima_data!G140-AVERAGE(pima_data!$G$1:$G$768))/_xlfn.STDEV.P(pima_data!$G$1:$G$768)</f>
        <v>-0.944923563623948</v>
      </c>
      <c r="H140" s="5">
        <f>(pima_data!H140-AVERAGE(pima_data!$H$1:$H$768))/_xlfn.STDEV.P(pima_data!$H$1:$H$768)</f>
        <v>-0.445935164540591</v>
      </c>
    </row>
    <row r="141" spans="1:8">
      <c r="A141" s="5">
        <f>(pima_data!A141-AVERAGE(pima_data!$A$1:$A$768))/_xlfn.STDEV.P(pima_data!$A$1:$A$768)</f>
        <v>-0.25095212800207</v>
      </c>
      <c r="B141" s="5">
        <f>(pima_data!B141-AVERAGE(pima_data!$B$1:$B$768))/_xlfn.STDEV.P(pima_data!$B$1:$B$768)</f>
        <v>0.222380888085726</v>
      </c>
      <c r="C141" s="5">
        <f>(pima_data!C141-AVERAGE(pima_data!$C$1:$C$768))/_xlfn.STDEV.P(pima_data!$C$1:$C$768)</f>
        <v>0.459827252003279</v>
      </c>
      <c r="D141" s="5">
        <f>(pima_data!D141-AVERAGE(pima_data!$D$1:$D$768))/_xlfn.STDEV.P(pima_data!$D$1:$D$768)</f>
        <v>-1.28821221294523</v>
      </c>
      <c r="E141" s="5">
        <f>(pima_data!E141-AVERAGE(pima_data!$E$1:$E$768))/_xlfn.STDEV.P(pima_data!$E$1:$E$768)</f>
        <v>-0.692890572295466</v>
      </c>
      <c r="F141" s="5">
        <f>(pima_data!F141-AVERAGE(pima_data!$F$1:$F$768))/_xlfn.STDEV.P(pima_data!$F$1:$F$768)</f>
        <v>-1.38247779562344</v>
      </c>
      <c r="G141" s="5">
        <f>(pima_data!G141-AVERAGE(pima_data!$G$1:$G$768))/_xlfn.STDEV.P(pima_data!$G$1:$G$768)</f>
        <v>-0.615730627792145</v>
      </c>
      <c r="H141" s="5">
        <f>(pima_data!H141-AVERAGE(pima_data!$H$1:$H$768))/_xlfn.STDEV.P(pima_data!$H$1:$H$768)</f>
        <v>1.85143417009635</v>
      </c>
    </row>
    <row r="142" spans="1:8">
      <c r="A142" s="5">
        <f>(pima_data!A142-AVERAGE(pima_data!$A$1:$A$768))/_xlfn.STDEV.P(pima_data!$A$1:$A$768)</f>
        <v>0.342980797438884</v>
      </c>
      <c r="B142" s="5">
        <f>(pima_data!B142-AVERAGE(pima_data!$B$1:$B$768))/_xlfn.STDEV.P(pima_data!$B$1:$B$768)</f>
        <v>-0.466156309109882</v>
      </c>
      <c r="C142" s="5">
        <f>(pima_data!C142-AVERAGE(pima_data!$C$1:$C$768))/_xlfn.STDEV.P(pima_data!$C$1:$C$768)</f>
        <v>0.666618251586659</v>
      </c>
      <c r="D142" s="5">
        <f>(pima_data!D142-AVERAGE(pima_data!$D$1:$D$768))/_xlfn.STDEV.P(pima_data!$D$1:$D$768)</f>
        <v>0.593629619812703</v>
      </c>
      <c r="E142" s="5">
        <f>(pima_data!E142-AVERAGE(pima_data!$E$1:$E$768))/_xlfn.STDEV.P(pima_data!$E$1:$E$768)</f>
        <v>-0.692890572295466</v>
      </c>
      <c r="F142" s="5">
        <f>(pima_data!F142-AVERAGE(pima_data!$F$1:$F$768))/_xlfn.STDEV.P(pima_data!$F$1:$F$768)</f>
        <v>0.952836318955965</v>
      </c>
      <c r="G142" s="5">
        <f>(pima_data!G142-AVERAGE(pima_data!$G$1:$G$768))/_xlfn.STDEV.P(pima_data!$G$1:$G$768)</f>
        <v>-0.561368491599737</v>
      </c>
      <c r="H142" s="5">
        <f>(pima_data!H142-AVERAGE(pima_data!$H$1:$H$768))/_xlfn.STDEV.P(pima_data!$H$1:$H$768)</f>
        <v>0.404942366806425</v>
      </c>
    </row>
    <row r="143" spans="1:8">
      <c r="A143" s="5">
        <f>(pima_data!A143-AVERAGE(pima_data!$A$1:$A$768))/_xlfn.STDEV.P(pima_data!$A$1:$A$768)</f>
        <v>-0.547918590722547</v>
      </c>
      <c r="B143" s="5">
        <f>(pima_data!B143-AVERAGE(pima_data!$B$1:$B$768))/_xlfn.STDEV.P(pima_data!$B$1:$B$768)</f>
        <v>-0.403562018455736</v>
      </c>
      <c r="C143" s="5">
        <f>(pima_data!C143-AVERAGE(pima_data!$C$1:$C$768))/_xlfn.STDEV.P(pima_data!$C$1:$C$768)</f>
        <v>-0.884314245288695</v>
      </c>
      <c r="D143" s="5">
        <f>(pima_data!D143-AVERAGE(pima_data!$D$1:$D$768))/_xlfn.STDEV.P(pima_data!$D$1:$D$768)</f>
        <v>0.342717375444978</v>
      </c>
      <c r="E143" s="5">
        <f>(pima_data!E143-AVERAGE(pima_data!$E$1:$E$768))/_xlfn.STDEV.P(pima_data!$E$1:$E$768)</f>
        <v>-0.145868129160919</v>
      </c>
      <c r="F143" s="5">
        <f>(pima_data!F143-AVERAGE(pima_data!$F$1:$F$768))/_xlfn.STDEV.P(pima_data!$F$1:$F$768)</f>
        <v>0.0644016014529295</v>
      </c>
      <c r="G143" s="5">
        <f>(pima_data!G143-AVERAGE(pima_data!$G$1:$G$768))/_xlfn.STDEV.P(pima_data!$G$1:$G$768)</f>
        <v>-0.464724693924345</v>
      </c>
      <c r="H143" s="5">
        <f>(pima_data!H143-AVERAGE(pima_data!$H$1:$H$768))/_xlfn.STDEV.P(pima_data!$H$1:$H$768)</f>
        <v>-0.956461683348801</v>
      </c>
    </row>
    <row r="144" spans="1:8">
      <c r="A144" s="5">
        <f>(pima_data!A144-AVERAGE(pima_data!$A$1:$A$768))/_xlfn.STDEV.P(pima_data!$A$1:$A$768)</f>
        <v>1.82781311104127</v>
      </c>
      <c r="B144" s="5">
        <f>(pima_data!B144-AVERAGE(pima_data!$B$1:$B$768))/_xlfn.STDEV.P(pima_data!$B$1:$B$768)</f>
        <v>-0.403562018455736</v>
      </c>
      <c r="C144" s="5">
        <f>(pima_data!C144-AVERAGE(pima_data!$C$1:$C$768))/_xlfn.STDEV.P(pima_data!$C$1:$C$768)</f>
        <v>-0.160545746746863</v>
      </c>
      <c r="D144" s="5">
        <f>(pima_data!D144-AVERAGE(pima_data!$D$1:$D$768))/_xlfn.STDEV.P(pima_data!$D$1:$D$768)</f>
        <v>-1.28821221294523</v>
      </c>
      <c r="E144" s="5">
        <f>(pima_data!E144-AVERAGE(pima_data!$E$1:$E$768))/_xlfn.STDEV.P(pima_data!$E$1:$E$768)</f>
        <v>-0.692890572295466</v>
      </c>
      <c r="F144" s="5">
        <f>(pima_data!F144-AVERAGE(pima_data!$F$1:$F$768))/_xlfn.STDEV.P(pima_data!$F$1:$F$768)</f>
        <v>0.0517096769171717</v>
      </c>
      <c r="G144" s="5">
        <f>(pima_data!G144-AVERAGE(pima_data!$G$1:$G$768))/_xlfn.STDEV.P(pima_data!$G$1:$G$768)</f>
        <v>-0.603650153082721</v>
      </c>
      <c r="H144" s="5">
        <f>(pima_data!H144-AVERAGE(pima_data!$H$1:$H$768))/_xlfn.STDEV.P(pima_data!$H$1:$H$768)</f>
        <v>0.745293379345232</v>
      </c>
    </row>
    <row r="145" spans="1:8">
      <c r="A145" s="5">
        <f>(pima_data!A145-AVERAGE(pima_data!$A$1:$A$768))/_xlfn.STDEV.P(pima_data!$A$1:$A$768)</f>
        <v>0.0460143347184072</v>
      </c>
      <c r="B145" s="5">
        <f>(pima_data!B145-AVERAGE(pima_data!$B$1:$B$768))/_xlfn.STDEV.P(pima_data!$B$1:$B$768)</f>
        <v>1.03610666658963</v>
      </c>
      <c r="C145" s="5">
        <f>(pima_data!C145-AVERAGE(pima_data!$C$1:$C$768))/_xlfn.STDEV.P(pima_data!$C$1:$C$768)</f>
        <v>-0.367336746330243</v>
      </c>
      <c r="D145" s="5">
        <f>(pima_data!D145-AVERAGE(pima_data!$D$1:$D$768))/_xlfn.STDEV.P(pima_data!$D$1:$D$768)</f>
        <v>0.656357680904634</v>
      </c>
      <c r="E145" s="5">
        <f>(pima_data!E145-AVERAGE(pima_data!$E$1:$E$768))/_xlfn.STDEV.P(pima_data!$E$1:$E$768)</f>
        <v>1.77305186977138</v>
      </c>
      <c r="F145" s="5">
        <f>(pima_data!F145-AVERAGE(pima_data!$F$1:$F$768))/_xlfn.STDEV.P(pima_data!$F$1:$F$768)</f>
        <v>0.102477375060202</v>
      </c>
      <c r="G145" s="5">
        <f>(pima_data!G145-AVERAGE(pima_data!$G$1:$G$768))/_xlfn.STDEV.P(pima_data!$G$1:$G$768)</f>
        <v>-0.709354306790181</v>
      </c>
      <c r="H145" s="5">
        <f>(pima_data!H145-AVERAGE(pima_data!$H$1:$H$768))/_xlfn.STDEV.P(pima_data!$H$1:$H$768)</f>
        <v>-0.871373930214099</v>
      </c>
    </row>
    <row r="146" spans="1:8">
      <c r="A146" s="5">
        <f>(pima_data!A146-AVERAGE(pima_data!$A$1:$A$768))/_xlfn.STDEV.P(pima_data!$A$1:$A$768)</f>
        <v>-1.1418515161635</v>
      </c>
      <c r="B146" s="5">
        <f>(pima_data!B146-AVERAGE(pima_data!$B$1:$B$768))/_xlfn.STDEV.P(pima_data!$B$1:$B$768)</f>
        <v>-0.591344890418174</v>
      </c>
      <c r="C146" s="5">
        <f>(pima_data!C146-AVERAGE(pima_data!$C$1:$C$768))/_xlfn.STDEV.P(pima_data!$C$1:$C$768)</f>
        <v>0.304734002315743</v>
      </c>
      <c r="D146" s="5">
        <f>(pima_data!D146-AVERAGE(pima_data!$D$1:$D$768))/_xlfn.STDEV.P(pima_data!$D$1:$D$768)</f>
        <v>0.154533192169185</v>
      </c>
      <c r="E146" s="5">
        <f>(pima_data!E146-AVERAGE(pima_data!$E$1:$E$768))/_xlfn.STDEV.P(pima_data!$E$1:$E$768)</f>
        <v>-0.692890572295466</v>
      </c>
      <c r="F146" s="5">
        <f>(pima_data!F146-AVERAGE(pima_data!$F$1:$F$768))/_xlfn.STDEV.P(pima_data!$F$1:$F$768)</f>
        <v>-4.06047387266831</v>
      </c>
      <c r="G146" s="5">
        <f>(pima_data!G146-AVERAGE(pima_data!$G$1:$G$768))/_xlfn.STDEV.P(pima_data!$G$1:$G$768)</f>
        <v>0.302385450124076</v>
      </c>
      <c r="H146" s="5">
        <f>(pima_data!H146-AVERAGE(pima_data!$H$1:$H$768))/_xlfn.STDEV.P(pima_data!$H$1:$H$768)</f>
        <v>-1.0415494364835</v>
      </c>
    </row>
    <row r="147" spans="1:8">
      <c r="A147" s="5">
        <f>(pima_data!A147-AVERAGE(pima_data!$A$1:$A$768))/_xlfn.STDEV.P(pima_data!$A$1:$A$768)</f>
        <v>1.53084664832079</v>
      </c>
      <c r="B147" s="5">
        <f>(pima_data!B147-AVERAGE(pima_data!$B$1:$B$768))/_xlfn.STDEV.P(pima_data!$B$1:$B$768)</f>
        <v>-1.99971643013646</v>
      </c>
      <c r="C147" s="5">
        <f>(pima_data!C147-AVERAGE(pima_data!$C$1:$C$768))/_xlfn.STDEV.P(pima_data!$C$1:$C$768)</f>
        <v>0.563222751794969</v>
      </c>
      <c r="D147" s="5">
        <f>(pima_data!D147-AVERAGE(pima_data!$D$1:$D$768))/_xlfn.STDEV.P(pima_data!$D$1:$D$768)</f>
        <v>1.03272604745622</v>
      </c>
      <c r="E147" s="5">
        <f>(pima_data!E147-AVERAGE(pima_data!$E$1:$E$768))/_xlfn.STDEV.P(pima_data!$E$1:$E$768)</f>
        <v>-0.692890572295466</v>
      </c>
      <c r="F147" s="5">
        <f>(pima_data!F147-AVERAGE(pima_data!$F$1:$F$768))/_xlfn.STDEV.P(pima_data!$F$1:$F$768)</f>
        <v>0.102477375060202</v>
      </c>
      <c r="G147" s="5">
        <f>(pima_data!G147-AVERAGE(pima_data!$G$1:$G$768))/_xlfn.STDEV.P(pima_data!$G$1:$G$768)</f>
        <v>-1.13519104029737</v>
      </c>
      <c r="H147" s="5">
        <f>(pima_data!H147-AVERAGE(pima_data!$H$1:$H$768))/_xlfn.STDEV.P(pima_data!$H$1:$H$768)</f>
        <v>0.66020562621053</v>
      </c>
    </row>
    <row r="148" spans="1:8">
      <c r="A148" s="5">
        <f>(pima_data!A148-AVERAGE(pima_data!$A$1:$A$768))/_xlfn.STDEV.P(pima_data!$A$1:$A$768)</f>
        <v>-0.547918590722547</v>
      </c>
      <c r="B148" s="5">
        <f>(pima_data!B148-AVERAGE(pima_data!$B$1:$B$768))/_xlfn.STDEV.P(pima_data!$B$1:$B$768)</f>
        <v>-0.466156309109882</v>
      </c>
      <c r="C148" s="5">
        <f>(pima_data!C148-AVERAGE(pima_data!$C$1:$C$768))/_xlfn.STDEV.P(pima_data!$C$1:$C$768)</f>
        <v>-0.263941246538553</v>
      </c>
      <c r="D148" s="5">
        <f>(pima_data!D148-AVERAGE(pima_data!$D$1:$D$768))/_xlfn.STDEV.P(pima_data!$D$1:$D$768)</f>
        <v>0.907269925272359</v>
      </c>
      <c r="E148" s="5">
        <f>(pima_data!E148-AVERAGE(pima_data!$E$1:$E$768))/_xlfn.STDEV.P(pima_data!$E$1:$E$768)</f>
        <v>0.340374042514233</v>
      </c>
      <c r="F148" s="5">
        <f>(pima_data!F148-AVERAGE(pima_data!$F$1:$F$768))/_xlfn.STDEV.P(pima_data!$F$1:$F$768)</f>
        <v>-0.189436889262224</v>
      </c>
      <c r="G148" s="5">
        <f>(pima_data!G148-AVERAGE(pima_data!$G$1:$G$768))/_xlfn.STDEV.P(pima_data!$G$1:$G$768)</f>
        <v>2.80304371497483</v>
      </c>
      <c r="H148" s="5">
        <f>(pima_data!H148-AVERAGE(pima_data!$H$1:$H$768))/_xlfn.STDEV.P(pima_data!$H$1:$H$768)</f>
        <v>0.0645913542676188</v>
      </c>
    </row>
    <row r="149" spans="1:8">
      <c r="A149" s="5">
        <f>(pima_data!A149-AVERAGE(pima_data!$A$1:$A$768))/_xlfn.STDEV.P(pima_data!$A$1:$A$768)</f>
        <v>0.342980797438884</v>
      </c>
      <c r="B149" s="5">
        <f>(pima_data!B149-AVERAGE(pima_data!$B$1:$B$768))/_xlfn.STDEV.P(pima_data!$B$1:$B$768)</f>
        <v>0.817026649300115</v>
      </c>
      <c r="C149" s="5">
        <f>(pima_data!C149-AVERAGE(pima_data!$C$1:$C$768))/_xlfn.STDEV.P(pima_data!$C$1:$C$768)</f>
        <v>0.459827252003279</v>
      </c>
      <c r="D149" s="5">
        <f>(pima_data!D149-AVERAGE(pima_data!$D$1:$D$768))/_xlfn.STDEV.P(pima_data!$D$1:$D$768)</f>
        <v>-1.28821221294523</v>
      </c>
      <c r="E149" s="5">
        <f>(pima_data!E149-AVERAGE(pima_data!$E$1:$E$768))/_xlfn.STDEV.P(pima_data!$E$1:$E$768)</f>
        <v>-0.692890572295466</v>
      </c>
      <c r="F149" s="5">
        <f>(pima_data!F149-AVERAGE(pima_data!$F$1:$F$768))/_xlfn.STDEV.P(pima_data!$F$1:$F$768)</f>
        <v>0.216704695882022</v>
      </c>
      <c r="G149" s="5">
        <f>(pima_data!G149-AVERAGE(pima_data!$G$1:$G$768))/_xlfn.STDEV.P(pima_data!$G$1:$G$768)</f>
        <v>-0.766736561659944</v>
      </c>
      <c r="H149" s="5">
        <f>(pima_data!H149-AVERAGE(pima_data!$H$1:$H$768))/_xlfn.STDEV.P(pima_data!$H$1:$H$768)</f>
        <v>2.70231170144337</v>
      </c>
    </row>
    <row r="150" spans="1:8">
      <c r="A150" s="5">
        <f>(pima_data!A150-AVERAGE(pima_data!$A$1:$A$768))/_xlfn.STDEV.P(pima_data!$A$1:$A$768)</f>
        <v>-0.547918590722547</v>
      </c>
      <c r="B150" s="5">
        <f>(pima_data!B150-AVERAGE(pima_data!$B$1:$B$768))/_xlfn.STDEV.P(pima_data!$B$1:$B$768)</f>
        <v>-0.966910634343051</v>
      </c>
      <c r="C150" s="5">
        <f>(pima_data!C150-AVERAGE(pima_data!$C$1:$C$768))/_xlfn.STDEV.P(pima_data!$C$1:$C$768)</f>
        <v>0.0462452528365177</v>
      </c>
      <c r="D150" s="5">
        <f>(pima_data!D150-AVERAGE(pima_data!$D$1:$D$768))/_xlfn.STDEV.P(pima_data!$D$1:$D$768)</f>
        <v>-0.221835174382402</v>
      </c>
      <c r="E150" s="5">
        <f>(pima_data!E150-AVERAGE(pima_data!$E$1:$E$768))/_xlfn.STDEV.P(pima_data!$E$1:$E$768)</f>
        <v>-0.692890572295466</v>
      </c>
      <c r="F150" s="5">
        <f>(pima_data!F150-AVERAGE(pima_data!$F$1:$F$768))/_xlfn.STDEV.P(pima_data!$F$1:$F$768)</f>
        <v>-0.595578474406468</v>
      </c>
      <c r="G150" s="5">
        <f>(pima_data!G150-AVERAGE(pima_data!$G$1:$G$768))/_xlfn.STDEV.P(pima_data!$G$1:$G$768)</f>
        <v>-1.16841234574829</v>
      </c>
      <c r="H150" s="5">
        <f>(pima_data!H150-AVERAGE(pima_data!$H$1:$H$768))/_xlfn.STDEV.P(pima_data!$H$1:$H$768)</f>
        <v>-0.956461683348801</v>
      </c>
    </row>
    <row r="151" spans="1:8">
      <c r="A151" s="5">
        <f>(pima_data!A151-AVERAGE(pima_data!$A$1:$A$768))/_xlfn.STDEV.P(pima_data!$A$1:$A$768)</f>
        <v>-0.844885053443025</v>
      </c>
      <c r="B151" s="5">
        <f>(pima_data!B151-AVERAGE(pima_data!$B$1:$B$768))/_xlfn.STDEV.P(pima_data!$B$1:$B$768)</f>
        <v>0.472758050702311</v>
      </c>
      <c r="C151" s="5">
        <f>(pima_data!C151-AVERAGE(pima_data!$C$1:$C$768))/_xlfn.STDEV.P(pima_data!$C$1:$C$768)</f>
        <v>0.253036252419898</v>
      </c>
      <c r="D151" s="5">
        <f>(pima_data!D151-AVERAGE(pima_data!$D$1:$D$768))/_xlfn.STDEV.P(pima_data!$D$1:$D$768)</f>
        <v>1.84819084165133</v>
      </c>
      <c r="E151" s="5">
        <f>(pima_data!E151-AVERAGE(pima_data!$E$1:$E$768))/_xlfn.STDEV.P(pima_data!$E$1:$E$768)</f>
        <v>1.07842019594973</v>
      </c>
      <c r="F151" s="5">
        <f>(pima_data!F151-AVERAGE(pima_data!$F$1:$F$768))/_xlfn.STDEV.P(pima_data!$F$1:$F$768)</f>
        <v>0.686305903705054</v>
      </c>
      <c r="G151" s="5">
        <f>(pima_data!G151-AVERAGE(pima_data!$G$1:$G$768))/_xlfn.STDEV.P(pima_data!$G$1:$G$768)</f>
        <v>-0.22009508105851</v>
      </c>
      <c r="H151" s="5">
        <f>(pima_data!H151-AVERAGE(pima_data!$H$1:$H$768))/_xlfn.STDEV.P(pima_data!$H$1:$H$768)</f>
        <v>-0.786286177079398</v>
      </c>
    </row>
    <row r="152" spans="1:8">
      <c r="A152" s="5">
        <f>(pima_data!A152-AVERAGE(pima_data!$A$1:$A$768))/_xlfn.STDEV.P(pima_data!$A$1:$A$768)</f>
        <v>0.0460143347184072</v>
      </c>
      <c r="B152" s="5">
        <f>(pima_data!B152-AVERAGE(pima_data!$B$1:$B$768))/_xlfn.STDEV.P(pima_data!$B$1:$B$768)</f>
        <v>-0.215779146493297</v>
      </c>
      <c r="C152" s="5">
        <f>(pima_data!C152-AVERAGE(pima_data!$C$1:$C$768))/_xlfn.STDEV.P(pima_data!$C$1:$C$768)</f>
        <v>-0.212243496642708</v>
      </c>
      <c r="D152" s="5">
        <f>(pima_data!D152-AVERAGE(pima_data!$D$1:$D$768))/_xlfn.STDEV.P(pima_data!$D$1:$D$768)</f>
        <v>-1.28821221294523</v>
      </c>
      <c r="E152" s="5">
        <f>(pima_data!E152-AVERAGE(pima_data!$E$1:$E$768))/_xlfn.STDEV.P(pima_data!$E$1:$E$768)</f>
        <v>-0.692890572295466</v>
      </c>
      <c r="F152" s="5">
        <f>(pima_data!F152-AVERAGE(pima_data!$F$1:$F$768))/_xlfn.STDEV.P(pima_data!$F$1:$F$768)</f>
        <v>-1.28094239933738</v>
      </c>
      <c r="G152" s="5">
        <f>(pima_data!G152-AVERAGE(pima_data!$G$1:$G$768))/_xlfn.STDEV.P(pima_data!$G$1:$G$768)</f>
        <v>-0.120431164705763</v>
      </c>
      <c r="H152" s="5">
        <f>(pima_data!H152-AVERAGE(pima_data!$H$1:$H$768))/_xlfn.STDEV.P(pima_data!$H$1:$H$768)</f>
        <v>0.319854613671724</v>
      </c>
    </row>
    <row r="153" spans="1:8">
      <c r="A153" s="5">
        <f>(pima_data!A153-AVERAGE(pima_data!$A$1:$A$768))/_xlfn.STDEV.P(pima_data!$A$1:$A$768)</f>
        <v>1.53084664832079</v>
      </c>
      <c r="B153" s="5">
        <f>(pima_data!B153-AVERAGE(pima_data!$B$1:$B$768))/_xlfn.STDEV.P(pima_data!$B$1:$B$768)</f>
        <v>1.09870095724377</v>
      </c>
      <c r="C153" s="5">
        <f>(pima_data!C153-AVERAGE(pima_data!$C$1:$C$768))/_xlfn.STDEV.P(pima_data!$C$1:$C$768)</f>
        <v>0.87340925117004</v>
      </c>
      <c r="D153" s="5">
        <f>(pima_data!D153-AVERAGE(pima_data!$D$1:$D$768))/_xlfn.STDEV.P(pima_data!$D$1:$D$768)</f>
        <v>0.468173497628841</v>
      </c>
      <c r="E153" s="5">
        <f>(pima_data!E153-AVERAGE(pima_data!$E$1:$E$768))/_xlfn.STDEV.P(pima_data!$E$1:$E$768)</f>
        <v>0.652958295733974</v>
      </c>
      <c r="F153" s="5">
        <f>(pima_data!F153-AVERAGE(pima_data!$F$1:$F$768))/_xlfn.STDEV.P(pima_data!$F$1:$F$768)</f>
        <v>0.292856243096567</v>
      </c>
      <c r="G153" s="5">
        <f>(pima_data!G153-AVERAGE(pima_data!$G$1:$G$768))/_xlfn.STDEV.P(pima_data!$G$1:$G$768)</f>
        <v>2.16579867405272</v>
      </c>
      <c r="H153" s="5">
        <f>(pima_data!H153-AVERAGE(pima_data!$H$1:$H$768))/_xlfn.STDEV.P(pima_data!$H$1:$H$768)</f>
        <v>0.745293379345232</v>
      </c>
    </row>
    <row r="154" spans="1:8">
      <c r="A154" s="5">
        <f>(pima_data!A154-AVERAGE(pima_data!$A$1:$A$768))/_xlfn.STDEV.P(pima_data!$A$1:$A$768)</f>
        <v>-0.844885053443025</v>
      </c>
      <c r="B154" s="5">
        <f>(pima_data!B154-AVERAGE(pima_data!$B$1:$B$768))/_xlfn.STDEV.P(pima_data!$B$1:$B$768)</f>
        <v>1.00480952126255</v>
      </c>
      <c r="C154" s="5">
        <f>(pima_data!C154-AVERAGE(pima_data!$C$1:$C$768))/_xlfn.STDEV.P(pima_data!$C$1:$C$768)</f>
        <v>0.666618251586659</v>
      </c>
      <c r="D154" s="5">
        <f>(pima_data!D154-AVERAGE(pima_data!$D$1:$D$768))/_xlfn.STDEV.P(pima_data!$D$1:$D$768)</f>
        <v>1.34636635291588</v>
      </c>
      <c r="E154" s="5">
        <f>(pima_data!E154-AVERAGE(pima_data!$E$1:$E$768))/_xlfn.STDEV.P(pima_data!$E$1:$E$768)</f>
        <v>3.51831395024827</v>
      </c>
      <c r="F154" s="5">
        <f>(pima_data!F154-AVERAGE(pima_data!$F$1:$F$768))/_xlfn.STDEV.P(pima_data!$F$1:$F$768)</f>
        <v>1.0924474888493</v>
      </c>
      <c r="G154" s="5">
        <f>(pima_data!G154-AVERAGE(pima_data!$G$1:$G$768))/_xlfn.STDEV.P(pima_data!$G$1:$G$768)</f>
        <v>0.649699098020015</v>
      </c>
      <c r="H154" s="5">
        <f>(pima_data!H154-AVERAGE(pima_data!$H$1:$H$768))/_xlfn.STDEV.P(pima_data!$H$1:$H$768)</f>
        <v>-0.871373930214099</v>
      </c>
    </row>
    <row r="155" spans="1:8">
      <c r="A155" s="5">
        <f>(pima_data!A155-AVERAGE(pima_data!$A$1:$A$768))/_xlfn.STDEV.P(pima_data!$A$1:$A$768)</f>
        <v>1.23388018560032</v>
      </c>
      <c r="B155" s="5">
        <f>(pima_data!B155-AVERAGE(pima_data!$B$1:$B$768))/_xlfn.STDEV.P(pima_data!$B$1:$B$768)</f>
        <v>2.10020960771011</v>
      </c>
      <c r="C155" s="5">
        <f>(pima_data!C155-AVERAGE(pima_data!$C$1:$C$768))/_xlfn.STDEV.P(pima_data!$C$1:$C$768)</f>
        <v>0.459827252003279</v>
      </c>
      <c r="D155" s="5">
        <f>(pima_data!D155-AVERAGE(pima_data!$D$1:$D$768))/_xlfn.STDEV.P(pima_data!$D$1:$D$768)</f>
        <v>-1.28821221294523</v>
      </c>
      <c r="E155" s="5">
        <f>(pima_data!E155-AVERAGE(pima_data!$E$1:$E$768))/_xlfn.STDEV.P(pima_data!$E$1:$E$768)</f>
        <v>-0.692890572295466</v>
      </c>
      <c r="F155" s="5">
        <f>(pima_data!F155-AVERAGE(pima_data!$F$1:$F$768))/_xlfn.STDEV.P(pima_data!$F$1:$F$768)</f>
        <v>2.01895797995961</v>
      </c>
      <c r="G155" s="5">
        <f>(pima_data!G155-AVERAGE(pima_data!$G$1:$G$768))/_xlfn.STDEV.P(pima_data!$G$1:$G$768)</f>
        <v>-1.01136617452578</v>
      </c>
      <c r="H155" s="5">
        <f>(pima_data!H155-AVERAGE(pima_data!$H$1:$H$768))/_xlfn.STDEV.P(pima_data!$H$1:$H$768)</f>
        <v>0.830381132479934</v>
      </c>
    </row>
    <row r="156" spans="1:8">
      <c r="A156" s="5">
        <f>(pima_data!A156-AVERAGE(pima_data!$A$1:$A$768))/_xlfn.STDEV.P(pima_data!$A$1:$A$768)</f>
        <v>0.936913722879839</v>
      </c>
      <c r="B156" s="5">
        <f>(pima_data!B156-AVERAGE(pima_data!$B$1:$B$768))/_xlfn.STDEV.P(pima_data!$B$1:$B$768)</f>
        <v>0.973512375935481</v>
      </c>
      <c r="C156" s="5">
        <f>(pima_data!C156-AVERAGE(pima_data!$C$1:$C$768))/_xlfn.STDEV.P(pima_data!$C$1:$C$768)</f>
        <v>0.97680475096173</v>
      </c>
      <c r="D156" s="5">
        <f>(pima_data!D156-AVERAGE(pima_data!$D$1:$D$768))/_xlfn.STDEV.P(pima_data!$D$1:$D$768)</f>
        <v>1.47182247509974</v>
      </c>
      <c r="E156" s="5">
        <f>(pima_data!E156-AVERAGE(pima_data!$E$1:$E$768))/_xlfn.STDEV.P(pima_data!$E$1:$E$768)</f>
        <v>-0.692890572295466</v>
      </c>
      <c r="F156" s="5">
        <f>(pima_data!F156-AVERAGE(pima_data!$F$1:$F$768))/_xlfn.STDEV.P(pima_data!$F$1:$F$768)</f>
        <v>2.28548839521052</v>
      </c>
      <c r="G156" s="5">
        <f>(pima_data!G156-AVERAGE(pima_data!$G$1:$G$768))/_xlfn.STDEV.P(pima_data!$G$1:$G$768)</f>
        <v>-0.407342439054582</v>
      </c>
      <c r="H156" s="5">
        <f>(pima_data!H156-AVERAGE(pima_data!$H$1:$H$768))/_xlfn.STDEV.P(pima_data!$H$1:$H$768)</f>
        <v>0.234766860537022</v>
      </c>
    </row>
    <row r="157" spans="1:8">
      <c r="A157" s="5">
        <f>(pima_data!A157-AVERAGE(pima_data!$A$1:$A$768))/_xlfn.STDEV.P(pima_data!$A$1:$A$768)</f>
        <v>-0.547918590722547</v>
      </c>
      <c r="B157" s="5">
        <f>(pima_data!B157-AVERAGE(pima_data!$B$1:$B$768))/_xlfn.STDEV.P(pima_data!$B$1:$B$768)</f>
        <v>-0.685236326399393</v>
      </c>
      <c r="C157" s="5">
        <f>(pima_data!C157-AVERAGE(pima_data!$C$1:$C$768))/_xlfn.STDEV.P(pima_data!$C$1:$C$768)</f>
        <v>-0.884314245288695</v>
      </c>
      <c r="D157" s="5">
        <f>(pima_data!D157-AVERAGE(pima_data!$D$1:$D$768))/_xlfn.STDEV.P(pima_data!$D$1:$D$768)</f>
        <v>-0.347291296566265</v>
      </c>
      <c r="E157" s="5">
        <f>(pima_data!E157-AVERAGE(pima_data!$E$1:$E$768))/_xlfn.STDEV.P(pima_data!$E$1:$E$768)</f>
        <v>0.123301644444969</v>
      </c>
      <c r="F157" s="5">
        <f>(pima_data!F157-AVERAGE(pima_data!$F$1:$F$768))/_xlfn.STDEV.P(pima_data!$F$1:$F$768)</f>
        <v>-0.938260436871925</v>
      </c>
      <c r="G157" s="5">
        <f>(pima_data!G157-AVERAGE(pima_data!$G$1:$G$768))/_xlfn.STDEV.P(pima_data!$G$1:$G$768)</f>
        <v>0.498693164152215</v>
      </c>
      <c r="H157" s="5">
        <f>(pima_data!H157-AVERAGE(pima_data!$H$1:$H$768))/_xlfn.STDEV.P(pima_data!$H$1:$H$768)</f>
        <v>-1.0415494364835</v>
      </c>
    </row>
    <row r="158" spans="1:8">
      <c r="A158" s="5">
        <f>(pima_data!A158-AVERAGE(pima_data!$A$1:$A$768))/_xlfn.STDEV.P(pima_data!$A$1:$A$768)</f>
        <v>-0.844885053443025</v>
      </c>
      <c r="B158" s="5">
        <f>(pima_data!B158-AVERAGE(pima_data!$B$1:$B$768))/_xlfn.STDEV.P(pima_data!$B$1:$B$768)</f>
        <v>-0.372264873128662</v>
      </c>
      <c r="C158" s="5">
        <f>(pima_data!C158-AVERAGE(pima_data!$C$1:$C$768))/_xlfn.STDEV.P(pima_data!$C$1:$C$768)</f>
        <v>-0.677523245705314</v>
      </c>
      <c r="D158" s="5">
        <f>(pima_data!D158-AVERAGE(pima_data!$D$1:$D$768))/_xlfn.STDEV.P(pima_data!$D$1:$D$768)</f>
        <v>0.0290770699853223</v>
      </c>
      <c r="E158" s="5">
        <f>(pima_data!E158-AVERAGE(pima_data!$E$1:$E$768))/_xlfn.STDEV.P(pima_data!$E$1:$E$768)</f>
        <v>0.479300377278563</v>
      </c>
      <c r="F158" s="5">
        <f>(pima_data!F158-AVERAGE(pima_data!$F$1:$F$768))/_xlfn.STDEV.P(pima_data!$F$1:$F$768)</f>
        <v>-0.862108889657379</v>
      </c>
      <c r="G158" s="5">
        <f>(pima_data!G158-AVERAGE(pima_data!$G$1:$G$768))/_xlfn.STDEV.P(pima_data!$G$1:$G$768)</f>
        <v>1.09063642491399</v>
      </c>
      <c r="H158" s="5">
        <f>(pima_data!H158-AVERAGE(pima_data!$H$1:$H$768))/_xlfn.STDEV.P(pima_data!$H$1:$H$768)</f>
        <v>-0.871373930214099</v>
      </c>
    </row>
    <row r="159" spans="1:8">
      <c r="A159" s="5">
        <f>(pima_data!A159-AVERAGE(pima_data!$A$1:$A$768))/_xlfn.STDEV.P(pima_data!$A$1:$A$768)</f>
        <v>-0.547918590722547</v>
      </c>
      <c r="B159" s="5">
        <f>(pima_data!B159-AVERAGE(pima_data!$B$1:$B$768))/_xlfn.STDEV.P(pima_data!$B$1:$B$768)</f>
        <v>-1.0295049249972</v>
      </c>
      <c r="C159" s="5">
        <f>(pima_data!C159-AVERAGE(pima_data!$C$1:$C$768))/_xlfn.STDEV.P(pima_data!$C$1:$C$768)</f>
        <v>0.253036252419898</v>
      </c>
      <c r="D159" s="5">
        <f>(pima_data!D159-AVERAGE(pima_data!$D$1:$D$768))/_xlfn.STDEV.P(pima_data!$D$1:$D$768)</f>
        <v>-0.09637905219854</v>
      </c>
      <c r="E159" s="5">
        <f>(pima_data!E159-AVERAGE(pima_data!$E$1:$E$768))/_xlfn.STDEV.P(pima_data!$E$1:$E$768)</f>
        <v>-0.232697088388625</v>
      </c>
      <c r="F159" s="5">
        <f>(pima_data!F159-AVERAGE(pima_data!$F$1:$F$768))/_xlfn.STDEV.P(pima_data!$F$1:$F$768)</f>
        <v>-0.379815757298588</v>
      </c>
      <c r="G159" s="5">
        <f>(pima_data!G159-AVERAGE(pima_data!$G$1:$G$768))/_xlfn.STDEV.P(pima_data!$G$1:$G$768)</f>
        <v>-0.733515256209028</v>
      </c>
      <c r="H159" s="5">
        <f>(pima_data!H159-AVERAGE(pima_data!$H$1:$H$768))/_xlfn.STDEV.P(pima_data!$H$1:$H$768)</f>
        <v>-0.956461683348801</v>
      </c>
    </row>
    <row r="160" spans="1:8">
      <c r="A160" s="5">
        <f>(pima_data!A160-AVERAGE(pima_data!$A$1:$A$768))/_xlfn.STDEV.P(pima_data!$A$1:$A$768)</f>
        <v>3.90657835008461</v>
      </c>
      <c r="B160" s="5">
        <f>(pima_data!B160-AVERAGE(pima_data!$B$1:$B$768))/_xlfn.STDEV.P(pima_data!$B$1:$B$768)</f>
        <v>1.31778097453328</v>
      </c>
      <c r="C160" s="5">
        <f>(pima_data!C160-AVERAGE(pima_data!$C$1:$C$768))/_xlfn.STDEV.P(pima_data!$C$1:$C$768)</f>
        <v>0.149640752628208</v>
      </c>
      <c r="D160" s="5">
        <f>(pima_data!D160-AVERAGE(pima_data!$D$1:$D$768))/_xlfn.STDEV.P(pima_data!$D$1:$D$768)</f>
        <v>1.28363829182395</v>
      </c>
      <c r="E160" s="5">
        <f>(pima_data!E160-AVERAGE(pima_data!$E$1:$E$768))/_xlfn.STDEV.P(pima_data!$E$1:$E$768)</f>
        <v>0.29695956290038</v>
      </c>
      <c r="F160" s="5">
        <f>(pima_data!F160-AVERAGE(pima_data!$F$1:$F$768))/_xlfn.STDEV.P(pima_data!$F$1:$F$768)</f>
        <v>1.13052326245657</v>
      </c>
      <c r="G160" s="5">
        <f>(pima_data!G160-AVERAGE(pima_data!$G$1:$G$768))/_xlfn.STDEV.P(pima_data!$G$1:$G$768)</f>
        <v>1.04231452607629</v>
      </c>
      <c r="H160" s="5">
        <f>(pima_data!H160-AVERAGE(pima_data!$H$1:$H$768))/_xlfn.STDEV.P(pima_data!$H$1:$H$768)</f>
        <v>1.17073214501874</v>
      </c>
    </row>
    <row r="161" spans="1:8">
      <c r="A161" s="5">
        <f>(pima_data!A161-AVERAGE(pima_data!$A$1:$A$768))/_xlfn.STDEV.P(pima_data!$A$1:$A$768)</f>
        <v>0.0460143347184072</v>
      </c>
      <c r="B161" s="5">
        <f>(pima_data!B161-AVERAGE(pima_data!$B$1:$B$768))/_xlfn.STDEV.P(pima_data!$B$1:$B$768)</f>
        <v>0.942215230608408</v>
      </c>
      <c r="C161" s="5">
        <f>(pima_data!C161-AVERAGE(pima_data!$C$1:$C$768))/_xlfn.STDEV.P(pima_data!$C$1:$C$768)</f>
        <v>1.08020025075342</v>
      </c>
      <c r="D161" s="5">
        <f>(pima_data!D161-AVERAGE(pima_data!$D$1:$D$768))/_xlfn.STDEV.P(pima_data!$D$1:$D$768)</f>
        <v>1.09545410854815</v>
      </c>
      <c r="E161" s="5">
        <f>(pima_data!E161-AVERAGE(pima_data!$E$1:$E$768))/_xlfn.STDEV.P(pima_data!$E$1:$E$768)</f>
        <v>-0.692890572295466</v>
      </c>
      <c r="F161" s="5">
        <f>(pima_data!F161-AVERAGE(pima_data!$F$1:$F$768))/_xlfn.STDEV.P(pima_data!$F$1:$F$768)</f>
        <v>-0.290972285548285</v>
      </c>
      <c r="G161" s="5">
        <f>(pima_data!G161-AVERAGE(pima_data!$G$1:$G$768))/_xlfn.STDEV.P(pima_data!$G$1:$G$768)</f>
        <v>-0.537207542180889</v>
      </c>
      <c r="H161" s="5">
        <f>(pima_data!H161-AVERAGE(pima_data!$H$1:$H$768))/_xlfn.STDEV.P(pima_data!$H$1:$H$768)</f>
        <v>0.234766860537022</v>
      </c>
    </row>
    <row r="162" spans="1:8">
      <c r="A162" s="5">
        <f>(pima_data!A162-AVERAGE(pima_data!$A$1:$A$768))/_xlfn.STDEV.P(pima_data!$A$1:$A$768)</f>
        <v>0.936913722879839</v>
      </c>
      <c r="B162" s="5">
        <f>(pima_data!B162-AVERAGE(pima_data!$B$1:$B$768))/_xlfn.STDEV.P(pima_data!$B$1:$B$768)</f>
        <v>-0.591344890418174</v>
      </c>
      <c r="C162" s="5">
        <f>(pima_data!C162-AVERAGE(pima_data!$C$1:$C$768))/_xlfn.STDEV.P(pima_data!$C$1:$C$768)</f>
        <v>0.253036252419898</v>
      </c>
      <c r="D162" s="5">
        <f>(pima_data!D162-AVERAGE(pima_data!$D$1:$D$768))/_xlfn.STDEV.P(pima_data!$D$1:$D$768)</f>
        <v>1.22091023073201</v>
      </c>
      <c r="E162" s="5">
        <f>(pima_data!E162-AVERAGE(pima_data!$E$1:$E$768))/_xlfn.STDEV.P(pima_data!$E$1:$E$768)</f>
        <v>0.218813499595445</v>
      </c>
      <c r="F162" s="5">
        <f>(pima_data!F162-AVERAGE(pima_data!$F$1:$F$768))/_xlfn.STDEV.P(pima_data!$F$1:$F$768)</f>
        <v>0.66092205463354</v>
      </c>
      <c r="G162" s="5">
        <f>(pima_data!G162-AVERAGE(pima_data!$G$1:$G$768))/_xlfn.STDEV.P(pima_data!$G$1:$G$768)</f>
        <v>-0.809018223142928</v>
      </c>
      <c r="H162" s="5">
        <f>(pima_data!H162-AVERAGE(pima_data!$H$1:$H$768))/_xlfn.STDEV.P(pima_data!$H$1:$H$768)</f>
        <v>1.00055663874934</v>
      </c>
    </row>
    <row r="163" spans="1:8">
      <c r="A163" s="5">
        <f>(pima_data!A163-AVERAGE(pima_data!$A$1:$A$768))/_xlfn.STDEV.P(pima_data!$A$1:$A$768)</f>
        <v>-1.1418515161635</v>
      </c>
      <c r="B163" s="5">
        <f>(pima_data!B163-AVERAGE(pima_data!$B$1:$B$768))/_xlfn.STDEV.P(pima_data!$B$1:$B$768)</f>
        <v>-0.215779146493297</v>
      </c>
      <c r="C163" s="5">
        <f>(pima_data!C163-AVERAGE(pima_data!$C$1:$C$768))/_xlfn.STDEV.P(pima_data!$C$1:$C$768)</f>
        <v>0.563222751794969</v>
      </c>
      <c r="D163" s="5">
        <f>(pima_data!D163-AVERAGE(pima_data!$D$1:$D$768))/_xlfn.STDEV.P(pima_data!$D$1:$D$768)</f>
        <v>0.844541864180428</v>
      </c>
      <c r="E163" s="5">
        <f>(pima_data!E163-AVERAGE(pima_data!$E$1:$E$768))/_xlfn.STDEV.P(pima_data!$E$1:$E$768)</f>
        <v>1.78173476569415</v>
      </c>
      <c r="F163" s="5">
        <f>(pima_data!F163-AVERAGE(pima_data!$F$1:$F$768))/_xlfn.STDEV.P(pima_data!$F$1:$F$768)</f>
        <v>1.54935677213658</v>
      </c>
      <c r="G163" s="5">
        <f>(pima_data!G163-AVERAGE(pima_data!$G$1:$G$768))/_xlfn.STDEV.P(pima_data!$G$1:$G$768)</f>
        <v>-0.9207626142051</v>
      </c>
      <c r="H163" s="5">
        <f>(pima_data!H163-AVERAGE(pima_data!$H$1:$H$768))/_xlfn.STDEV.P(pima_data!$H$1:$H$768)</f>
        <v>-0.531022917675293</v>
      </c>
    </row>
    <row r="164" spans="1:8">
      <c r="A164" s="5">
        <f>(pima_data!A164-AVERAGE(pima_data!$A$1:$A$768))/_xlfn.STDEV.P(pima_data!$A$1:$A$768)</f>
        <v>-0.547918590722547</v>
      </c>
      <c r="B164" s="5">
        <f>(pima_data!B164-AVERAGE(pima_data!$B$1:$B$768))/_xlfn.STDEV.P(pima_data!$B$1:$B$768)</f>
        <v>-0.65393918107232</v>
      </c>
      <c r="C164" s="5">
        <f>(pima_data!C164-AVERAGE(pima_data!$C$1:$C$768))/_xlfn.STDEV.P(pima_data!$C$1:$C$768)</f>
        <v>-0.263941246538553</v>
      </c>
      <c r="D164" s="5">
        <f>(pima_data!D164-AVERAGE(pima_data!$D$1:$D$768))/_xlfn.STDEV.P(pima_data!$D$1:$D$768)</f>
        <v>0.154533192169185</v>
      </c>
      <c r="E164" s="5">
        <f>(pima_data!E164-AVERAGE(pima_data!$E$1:$E$768))/_xlfn.STDEV.P(pima_data!$E$1:$E$768)</f>
        <v>-0.692890572295466</v>
      </c>
      <c r="F164" s="5">
        <f>(pima_data!F164-AVERAGE(pima_data!$F$1:$F$768))/_xlfn.STDEV.P(pima_data!$F$1:$F$768)</f>
        <v>-0.290972285548285</v>
      </c>
      <c r="G164" s="5">
        <f>(pima_data!G164-AVERAGE(pima_data!$G$1:$G$768))/_xlfn.STDEV.P(pima_data!$G$1:$G$768)</f>
        <v>-0.313718760056546</v>
      </c>
      <c r="H164" s="5">
        <f>(pima_data!H164-AVERAGE(pima_data!$H$1:$H$768))/_xlfn.STDEV.P(pima_data!$H$1:$H$768)</f>
        <v>-1.0415494364835</v>
      </c>
    </row>
    <row r="165" spans="1:8">
      <c r="A165" s="5">
        <f>(pima_data!A165-AVERAGE(pima_data!$A$1:$A$768))/_xlfn.STDEV.P(pima_data!$A$1:$A$768)</f>
        <v>-1.1418515161635</v>
      </c>
      <c r="B165" s="5">
        <f>(pima_data!B165-AVERAGE(pima_data!$B$1:$B$768))/_xlfn.STDEV.P(pima_data!$B$1:$B$768)</f>
        <v>0.316272324066946</v>
      </c>
      <c r="C165" s="5">
        <f>(pima_data!C165-AVERAGE(pima_data!$C$1:$C$768))/_xlfn.STDEV.P(pima_data!$C$1:$C$768)</f>
        <v>0.97680475096173</v>
      </c>
      <c r="D165" s="5">
        <f>(pima_data!D165-AVERAGE(pima_data!$D$1:$D$768))/_xlfn.STDEV.P(pima_data!$D$1:$D$768)</f>
        <v>-1.28821221294523</v>
      </c>
      <c r="E165" s="5">
        <f>(pima_data!E165-AVERAGE(pima_data!$E$1:$E$768))/_xlfn.STDEV.P(pima_data!$E$1:$E$768)</f>
        <v>-0.692890572295466</v>
      </c>
      <c r="F165" s="5">
        <f>(pima_data!F165-AVERAGE(pima_data!$F$1:$F$768))/_xlfn.STDEV.P(pima_data!$F$1:$F$768)</f>
        <v>-0.0498257193688892</v>
      </c>
      <c r="G165" s="5">
        <f>(pima_data!G165-AVERAGE(pima_data!$G$1:$G$768))/_xlfn.STDEV.P(pima_data!$G$1:$G$768)</f>
        <v>0.81882574395195</v>
      </c>
      <c r="H165" s="5">
        <f>(pima_data!H165-AVERAGE(pima_data!$H$1:$H$768))/_xlfn.STDEV.P(pima_data!$H$1:$H$768)</f>
        <v>-0.105584152001785</v>
      </c>
    </row>
    <row r="166" spans="1:8">
      <c r="A166" s="5">
        <f>(pima_data!A166-AVERAGE(pima_data!$A$1:$A$768))/_xlfn.STDEV.P(pima_data!$A$1:$A$768)</f>
        <v>0.639947260159362</v>
      </c>
      <c r="B166" s="5">
        <f>(pima_data!B166-AVERAGE(pima_data!$B$1:$B$768))/_xlfn.STDEV.P(pima_data!$B$1:$B$768)</f>
        <v>-0.528750599764028</v>
      </c>
      <c r="C166" s="5">
        <f>(pima_data!C166-AVERAGE(pima_data!$C$1:$C$768))/_xlfn.STDEV.P(pima_data!$C$1:$C$768)</f>
        <v>0.253036252419898</v>
      </c>
      <c r="D166" s="5">
        <f>(pima_data!D166-AVERAGE(pima_data!$D$1:$D$768))/_xlfn.STDEV.P(pima_data!$D$1:$D$768)</f>
        <v>-0.159107113290471</v>
      </c>
      <c r="E166" s="5">
        <f>(pima_data!E166-AVERAGE(pima_data!$E$1:$E$768))/_xlfn.STDEV.P(pima_data!$E$1:$E$768)</f>
        <v>0.661641191656745</v>
      </c>
      <c r="F166" s="5">
        <f>(pima_data!F166-AVERAGE(pima_data!$F$1:$F$768))/_xlfn.STDEV.P(pima_data!$F$1:$F$768)</f>
        <v>-0.26558843647677</v>
      </c>
      <c r="G166" s="5">
        <f>(pima_data!G166-AVERAGE(pima_data!$G$1:$G$768))/_xlfn.STDEV.P(pima_data!$G$1:$G$768)</f>
        <v>0.755403251727474</v>
      </c>
      <c r="H166" s="5">
        <f>(pima_data!H166-AVERAGE(pima_data!$H$1:$H$768))/_xlfn.STDEV.P(pima_data!$H$1:$H$768)</f>
        <v>0.66020562621053</v>
      </c>
    </row>
    <row r="167" spans="1:8">
      <c r="A167" s="5">
        <f>(pima_data!A167-AVERAGE(pima_data!$A$1:$A$768))/_xlfn.STDEV.P(pima_data!$A$1:$A$768)</f>
        <v>-0.25095212800207</v>
      </c>
      <c r="B167" s="5">
        <f>(pima_data!B167-AVERAGE(pima_data!$B$1:$B$768))/_xlfn.STDEV.P(pima_data!$B$1:$B$768)</f>
        <v>0.848323794627188</v>
      </c>
      <c r="C167" s="5">
        <f>(pima_data!C167-AVERAGE(pima_data!$C$1:$C$768))/_xlfn.STDEV.P(pima_data!$C$1:$C$768)</f>
        <v>-0.160545746746863</v>
      </c>
      <c r="D167" s="5">
        <f>(pima_data!D167-AVERAGE(pima_data!$D$1:$D$768))/_xlfn.STDEV.P(pima_data!$D$1:$D$768)</f>
        <v>0.279989314353047</v>
      </c>
      <c r="E167" s="5">
        <f>(pima_data!E167-AVERAGE(pima_data!$E$1:$E$768))/_xlfn.STDEV.P(pima_data!$E$1:$E$768)</f>
        <v>-0.692890572295466</v>
      </c>
      <c r="F167" s="5">
        <f>(pima_data!F167-AVERAGE(pima_data!$F$1:$F$768))/_xlfn.STDEV.P(pima_data!$F$1:$F$768)</f>
        <v>0.0644016014529295</v>
      </c>
      <c r="G167" s="5">
        <f>(pima_data!G167-AVERAGE(pima_data!$G$1:$G$768))/_xlfn.STDEV.P(pima_data!$G$1:$G$768)</f>
        <v>-0.651972051920417</v>
      </c>
      <c r="H167" s="5">
        <f>(pima_data!H167-AVERAGE(pima_data!$H$1:$H$768))/_xlfn.STDEV.P(pima_data!$H$1:$H$768)</f>
        <v>-0.956461683348801</v>
      </c>
    </row>
    <row r="168" spans="1:8">
      <c r="A168" s="5">
        <f>(pima_data!A168-AVERAGE(pima_data!$A$1:$A$768))/_xlfn.STDEV.P(pima_data!$A$1:$A$768)</f>
        <v>0.0460143347184072</v>
      </c>
      <c r="B168" s="5">
        <f>(pima_data!B168-AVERAGE(pima_data!$B$1:$B$768))/_xlfn.STDEV.P(pima_data!$B$1:$B$768)</f>
        <v>-0.0279962745308584</v>
      </c>
      <c r="C168" s="5">
        <f>(pima_data!C168-AVERAGE(pima_data!$C$1:$C$768))/_xlfn.STDEV.P(pima_data!$C$1:$C$768)</f>
        <v>-0.0571502469551726</v>
      </c>
      <c r="D168" s="5">
        <f>(pima_data!D168-AVERAGE(pima_data!$D$1:$D$768))/_xlfn.STDEV.P(pima_data!$D$1:$D$768)</f>
        <v>-1.28821221294523</v>
      </c>
      <c r="E168" s="5">
        <f>(pima_data!E168-AVERAGE(pima_data!$E$1:$E$768))/_xlfn.STDEV.P(pima_data!$E$1:$E$768)</f>
        <v>-0.692890572295466</v>
      </c>
      <c r="F168" s="5">
        <f>(pima_data!F168-AVERAGE(pima_data!$F$1:$F$768))/_xlfn.STDEV.P(pima_data!$F$1:$F$768)</f>
        <v>-0.303664210084042</v>
      </c>
      <c r="G168" s="5">
        <f>(pima_data!G168-AVERAGE(pima_data!$G$1:$G$768))/_xlfn.STDEV.P(pima_data!$G$1:$G$768)</f>
        <v>0.716141708921846</v>
      </c>
      <c r="H168" s="5">
        <f>(pima_data!H168-AVERAGE(pima_data!$H$1:$H$768))/_xlfn.STDEV.P(pima_data!$H$1:$H$768)</f>
        <v>0.0645913542676188</v>
      </c>
    </row>
    <row r="169" spans="1:8">
      <c r="A169" s="5">
        <f>(pima_data!A169-AVERAGE(pima_data!$A$1:$A$768))/_xlfn.STDEV.P(pima_data!$A$1:$A$768)</f>
        <v>0.0460143347184072</v>
      </c>
      <c r="B169" s="5">
        <f>(pima_data!B169-AVERAGE(pima_data!$B$1:$B$768))/_xlfn.STDEV.P(pima_data!$B$1:$B$768)</f>
        <v>-0.340967727801589</v>
      </c>
      <c r="C169" s="5">
        <f>(pima_data!C169-AVERAGE(pima_data!$C$1:$C$768))/_xlfn.STDEV.P(pima_data!$C$1:$C$768)</f>
        <v>-0.160545746746863</v>
      </c>
      <c r="D169" s="5">
        <f>(pima_data!D169-AVERAGE(pima_data!$D$1:$D$768))/_xlfn.STDEV.P(pima_data!$D$1:$D$768)</f>
        <v>-1.28821221294523</v>
      </c>
      <c r="E169" s="5">
        <f>(pima_data!E169-AVERAGE(pima_data!$E$1:$E$768))/_xlfn.STDEV.P(pima_data!$E$1:$E$768)</f>
        <v>-0.692890572295466</v>
      </c>
      <c r="F169" s="5">
        <f>(pima_data!F169-AVERAGE(pima_data!$F$1:$F$768))/_xlfn.STDEV.P(pima_data!$F$1:$F$768)</f>
        <v>-0.0117499457616166</v>
      </c>
      <c r="G169" s="5">
        <f>(pima_data!G169-AVERAGE(pima_data!$G$1:$G$768))/_xlfn.STDEV.P(pima_data!$G$1:$G$768)</f>
        <v>-0.00264653628887913</v>
      </c>
      <c r="H169" s="5">
        <f>(pima_data!H169-AVERAGE(pima_data!$H$1:$H$768))/_xlfn.STDEV.P(pima_data!$H$1:$H$768)</f>
        <v>-0.360847411405889</v>
      </c>
    </row>
    <row r="170" spans="1:8">
      <c r="A170" s="5">
        <f>(pima_data!A170-AVERAGE(pima_data!$A$1:$A$768))/_xlfn.STDEV.P(pima_data!$A$1:$A$768)</f>
        <v>-0.25095212800207</v>
      </c>
      <c r="B170" s="5">
        <f>(pima_data!B170-AVERAGE(pima_data!$B$1:$B$768))/_xlfn.STDEV.P(pima_data!$B$1:$B$768)</f>
        <v>-0.309670582474516</v>
      </c>
      <c r="C170" s="5">
        <f>(pima_data!C170-AVERAGE(pima_data!$C$1:$C$768))/_xlfn.STDEV.P(pima_data!$C$1:$C$768)</f>
        <v>1.08020025075342</v>
      </c>
      <c r="D170" s="5">
        <f>(pima_data!D170-AVERAGE(pima_data!$D$1:$D$768))/_xlfn.STDEV.P(pima_data!$D$1:$D$768)</f>
        <v>-0.535475479842058</v>
      </c>
      <c r="E170" s="5">
        <f>(pima_data!E170-AVERAGE(pima_data!$E$1:$E$768))/_xlfn.STDEV.P(pima_data!$E$1:$E$768)</f>
        <v>-0.0156246903193607</v>
      </c>
      <c r="F170" s="5">
        <f>(pima_data!F170-AVERAGE(pima_data!$F$1:$F$768))/_xlfn.STDEV.P(pima_data!$F$1:$F$768)</f>
        <v>-0.455967304513134</v>
      </c>
      <c r="G170" s="5">
        <f>(pima_data!G170-AVERAGE(pima_data!$G$1:$G$768))/_xlfn.STDEV.P(pima_data!$G$1:$G$768)</f>
        <v>0.0698363119676647</v>
      </c>
      <c r="H170" s="5">
        <f>(pima_data!H170-AVERAGE(pima_data!$H$1:$H$768))/_xlfn.STDEV.P(pima_data!$H$1:$H$768)</f>
        <v>-0.360847411405889</v>
      </c>
    </row>
    <row r="171" spans="1:8">
      <c r="A171" s="5">
        <f>(pima_data!A171-AVERAGE(pima_data!$A$1:$A$768))/_xlfn.STDEV.P(pima_data!$A$1:$A$768)</f>
        <v>0.639947260159362</v>
      </c>
      <c r="B171" s="5">
        <f>(pima_data!B171-AVERAGE(pima_data!$B$1:$B$768))/_xlfn.STDEV.P(pima_data!$B$1:$B$768)</f>
        <v>-0.591344890418174</v>
      </c>
      <c r="C171" s="5">
        <f>(pima_data!C171-AVERAGE(pima_data!$C$1:$C$768))/_xlfn.STDEV.P(pima_data!$C$1:$C$768)</f>
        <v>0.666618251586659</v>
      </c>
      <c r="D171" s="5">
        <f>(pima_data!D171-AVERAGE(pima_data!$D$1:$D$768))/_xlfn.STDEV.P(pima_data!$D$1:$D$768)</f>
        <v>-1.28821221294523</v>
      </c>
      <c r="E171" s="5">
        <f>(pima_data!E171-AVERAGE(pima_data!$E$1:$E$768))/_xlfn.STDEV.P(pima_data!$E$1:$E$768)</f>
        <v>-0.692890572295466</v>
      </c>
      <c r="F171" s="5">
        <f>(pima_data!F171-AVERAGE(pima_data!$F$1:$F$768))/_xlfn.STDEV.P(pima_data!$F$1:$F$768)</f>
        <v>-0.151361115654951</v>
      </c>
      <c r="G171" s="5">
        <f>(pima_data!G171-AVERAGE(pima_data!$G$1:$G$768))/_xlfn.STDEV.P(pima_data!$G$1:$G$768)</f>
        <v>-0.881501071399472</v>
      </c>
      <c r="H171" s="5">
        <f>(pima_data!H171-AVERAGE(pima_data!$H$1:$H$768))/_xlfn.STDEV.P(pima_data!$H$1:$H$768)</f>
        <v>0.234766860537022</v>
      </c>
    </row>
    <row r="172" spans="1:8">
      <c r="A172" s="5">
        <f>(pima_data!A172-AVERAGE(pima_data!$A$1:$A$768))/_xlfn.STDEV.P(pima_data!$A$1:$A$768)</f>
        <v>0.639947260159362</v>
      </c>
      <c r="B172" s="5">
        <f>(pima_data!B172-AVERAGE(pima_data!$B$1:$B$768))/_xlfn.STDEV.P(pima_data!$B$1:$B$768)</f>
        <v>0.410163760048165</v>
      </c>
      <c r="C172" s="5">
        <f>(pima_data!C172-AVERAGE(pima_data!$C$1:$C$768))/_xlfn.STDEV.P(pima_data!$C$1:$C$768)</f>
        <v>0.0462452528365177</v>
      </c>
      <c r="D172" s="5">
        <f>(pima_data!D172-AVERAGE(pima_data!$D$1:$D$768))/_xlfn.STDEV.P(pima_data!$D$1:$D$768)</f>
        <v>0.154533192169185</v>
      </c>
      <c r="E172" s="5">
        <f>(pima_data!E172-AVERAGE(pima_data!$E$1:$E$768))/_xlfn.STDEV.P(pima_data!$E$1:$E$768)</f>
        <v>0.43588589766471</v>
      </c>
      <c r="F172" s="5">
        <f>(pima_data!F172-AVERAGE(pima_data!$F$1:$F$768))/_xlfn.STDEV.P(pima_data!$F$1:$F$768)</f>
        <v>0.432467412989901</v>
      </c>
      <c r="G172" s="5">
        <f>(pima_data!G172-AVERAGE(pima_data!$G$1:$G$768))/_xlfn.STDEV.P(pima_data!$G$1:$G$768)</f>
        <v>0.211781889803396</v>
      </c>
      <c r="H172" s="5">
        <f>(pima_data!H172-AVERAGE(pima_data!$H$1:$H$768))/_xlfn.STDEV.P(pima_data!$H$1:$H$768)</f>
        <v>-0.360847411405889</v>
      </c>
    </row>
    <row r="173" spans="1:8">
      <c r="A173" s="5">
        <f>(pima_data!A173-AVERAGE(pima_data!$A$1:$A$768))/_xlfn.STDEV.P(pima_data!$A$1:$A$768)</f>
        <v>-0.547918590722547</v>
      </c>
      <c r="B173" s="5">
        <f>(pima_data!B173-AVERAGE(pima_data!$B$1:$B$768))/_xlfn.STDEV.P(pima_data!$B$1:$B$768)</f>
        <v>-1.06080207032427</v>
      </c>
      <c r="C173" s="5">
        <f>(pima_data!C173-AVERAGE(pima_data!$C$1:$C$768))/_xlfn.STDEV.P(pima_data!$C$1:$C$768)</f>
        <v>-3.57259723987264</v>
      </c>
      <c r="D173" s="5">
        <f>(pima_data!D173-AVERAGE(pima_data!$D$1:$D$768))/_xlfn.STDEV.P(pima_data!$D$1:$D$768)</f>
        <v>0.154533192169185</v>
      </c>
      <c r="E173" s="5">
        <f>(pima_data!E173-AVERAGE(pima_data!$E$1:$E$768))/_xlfn.STDEV.P(pima_data!$E$1:$E$768)</f>
        <v>-0.692890572295466</v>
      </c>
      <c r="F173" s="5">
        <f>(pima_data!F173-AVERAGE(pima_data!$F$1:$F$768))/_xlfn.STDEV.P(pima_data!$F$1:$F$768)</f>
        <v>-0.392507681834346</v>
      </c>
      <c r="G173" s="5">
        <f>(pima_data!G173-AVERAGE(pima_data!$G$1:$G$768))/_xlfn.STDEV.P(pima_data!$G$1:$G$768)</f>
        <v>0.90942930427263</v>
      </c>
      <c r="H173" s="5">
        <f>(pima_data!H173-AVERAGE(pima_data!$H$1:$H$768))/_xlfn.STDEV.P(pima_data!$H$1:$H$768)</f>
        <v>-0.701198423944696</v>
      </c>
    </row>
    <row r="174" spans="1:8">
      <c r="A174" s="5">
        <f>(pima_data!A174-AVERAGE(pima_data!$A$1:$A$768))/_xlfn.STDEV.P(pima_data!$A$1:$A$768)</f>
        <v>-0.844885053443025</v>
      </c>
      <c r="B174" s="5">
        <f>(pima_data!B174-AVERAGE(pima_data!$B$1:$B$768))/_xlfn.STDEV.P(pima_data!$B$1:$B$768)</f>
        <v>-1.31117923294086</v>
      </c>
      <c r="C174" s="5">
        <f>(pima_data!C174-AVERAGE(pima_data!$C$1:$C$768))/_xlfn.STDEV.P(pima_data!$C$1:$C$768)</f>
        <v>-0.470732246121934</v>
      </c>
      <c r="D174" s="5">
        <f>(pima_data!D174-AVERAGE(pima_data!$D$1:$D$768))/_xlfn.STDEV.P(pima_data!$D$1:$D$768)</f>
        <v>1.34636635291588</v>
      </c>
      <c r="E174" s="5">
        <f>(pima_data!E174-AVERAGE(pima_data!$E$1:$E$768))/_xlfn.STDEV.P(pima_data!$E$1:$E$768)</f>
        <v>-0.276111568002478</v>
      </c>
      <c r="F174" s="5">
        <f>(pima_data!F174-AVERAGE(pima_data!$F$1:$F$768))/_xlfn.STDEV.P(pima_data!$F$1:$F$768)</f>
        <v>1.46051330038627</v>
      </c>
      <c r="G174" s="5">
        <f>(pima_data!G174-AVERAGE(pima_data!$G$1:$G$768))/_xlfn.STDEV.P(pima_data!$G$1:$G$768)</f>
        <v>0.622518029923811</v>
      </c>
      <c r="H174" s="5">
        <f>(pima_data!H174-AVERAGE(pima_data!$H$1:$H$768))/_xlfn.STDEV.P(pima_data!$H$1:$H$768)</f>
        <v>-0.871373930214099</v>
      </c>
    </row>
    <row r="175" spans="1:8">
      <c r="A175" s="5">
        <f>(pima_data!A175-AVERAGE(pima_data!$A$1:$A$768))/_xlfn.STDEV.P(pima_data!$A$1:$A$768)</f>
        <v>-0.547918590722547</v>
      </c>
      <c r="B175" s="5">
        <f>(pima_data!B175-AVERAGE(pima_data!$B$1:$B$768))/_xlfn.STDEV.P(pima_data!$B$1:$B$768)</f>
        <v>-1.43636781424915</v>
      </c>
      <c r="C175" s="5">
        <f>(pima_data!C175-AVERAGE(pima_data!$C$1:$C$768))/_xlfn.STDEV.P(pima_data!$C$1:$C$768)</f>
        <v>-0.263941246538553</v>
      </c>
      <c r="D175" s="5">
        <f>(pima_data!D175-AVERAGE(pima_data!$D$1:$D$768))/_xlfn.STDEV.P(pima_data!$D$1:$D$768)</f>
        <v>0.217261253261116</v>
      </c>
      <c r="E175" s="5">
        <f>(pima_data!E175-AVERAGE(pima_data!$E$1:$E$768))/_xlfn.STDEV.P(pima_data!$E$1:$E$768)</f>
        <v>-0.215331296543084</v>
      </c>
      <c r="F175" s="5">
        <f>(pima_data!F175-AVERAGE(pima_data!$F$1:$F$768))/_xlfn.STDEV.P(pima_data!$F$1:$F$768)</f>
        <v>-0.290972285548285</v>
      </c>
      <c r="G175" s="5">
        <f>(pima_data!G175-AVERAGE(pima_data!$G$1:$G$768))/_xlfn.STDEV.P(pima_data!$G$1:$G$768)</f>
        <v>-0.307678522701834</v>
      </c>
      <c r="H175" s="5">
        <f>(pima_data!H175-AVERAGE(pima_data!$H$1:$H$768))/_xlfn.STDEV.P(pima_data!$H$1:$H$768)</f>
        <v>-0.0204963988670829</v>
      </c>
    </row>
    <row r="176" spans="1:8">
      <c r="A176" s="5">
        <f>(pima_data!A176-AVERAGE(pima_data!$A$1:$A$768))/_xlfn.STDEV.P(pima_data!$A$1:$A$768)</f>
        <v>1.23388018560032</v>
      </c>
      <c r="B176" s="5">
        <f>(pima_data!B176-AVERAGE(pima_data!$B$1:$B$768))/_xlfn.STDEV.P(pima_data!$B$1:$B$768)</f>
        <v>1.81853529976645</v>
      </c>
      <c r="C176" s="5">
        <f>(pima_data!C176-AVERAGE(pima_data!$C$1:$C$768))/_xlfn.STDEV.P(pima_data!$C$1:$C$768)</f>
        <v>0.149640752628208</v>
      </c>
      <c r="D176" s="5">
        <f>(pima_data!D176-AVERAGE(pima_data!$D$1:$D$768))/_xlfn.STDEV.P(pima_data!$D$1:$D$768)</f>
        <v>1.34636635291588</v>
      </c>
      <c r="E176" s="5">
        <f>(pima_data!E176-AVERAGE(pima_data!$E$1:$E$768))/_xlfn.STDEV.P(pima_data!$E$1:$E$768)</f>
        <v>0.43588589766471</v>
      </c>
      <c r="F176" s="5">
        <f>(pima_data!F176-AVERAGE(pima_data!$F$1:$F$768))/_xlfn.STDEV.P(pima_data!$F$1:$F$768)</f>
        <v>0.0897854505244452</v>
      </c>
      <c r="G176" s="5">
        <f>(pima_data!G176-AVERAGE(pima_data!$G$1:$G$768))/_xlfn.STDEV.P(pima_data!$G$1:$G$768)</f>
        <v>0.746342895695406</v>
      </c>
      <c r="H176" s="5">
        <f>(pima_data!H176-AVERAGE(pima_data!$H$1:$H$768))/_xlfn.STDEV.P(pima_data!$H$1:$H$768)</f>
        <v>0.234766860537022</v>
      </c>
    </row>
    <row r="177" spans="1:8">
      <c r="A177" s="5">
        <f>(pima_data!A177-AVERAGE(pima_data!$A$1:$A$768))/_xlfn.STDEV.P(pima_data!$A$1:$A$768)</f>
        <v>0.639947260159362</v>
      </c>
      <c r="B177" s="5">
        <f>(pima_data!B177-AVERAGE(pima_data!$B$1:$B$768))/_xlfn.STDEV.P(pima_data!$B$1:$B$768)</f>
        <v>-1.12339636097842</v>
      </c>
      <c r="C177" s="5">
        <f>(pima_data!C177-AVERAGE(pima_data!$C$1:$C$768))/_xlfn.STDEV.P(pima_data!$C$1:$C$768)</f>
        <v>0.459827252003279</v>
      </c>
      <c r="D177" s="5">
        <f>(pima_data!D177-AVERAGE(pima_data!$D$1:$D$768))/_xlfn.STDEV.P(pima_data!$D$1:$D$768)</f>
        <v>-1.28821221294523</v>
      </c>
      <c r="E177" s="5">
        <f>(pima_data!E177-AVERAGE(pima_data!$E$1:$E$768))/_xlfn.STDEV.P(pima_data!$E$1:$E$768)</f>
        <v>-0.692890572295466</v>
      </c>
      <c r="F177" s="5">
        <f>(pima_data!F177-AVERAGE(pima_data!$F$1:$F$768))/_xlfn.STDEV.P(pima_data!$F$1:$F$768)</f>
        <v>-0.10059341751192</v>
      </c>
      <c r="G177" s="5">
        <f>(pima_data!G177-AVERAGE(pima_data!$G$1:$G$768))/_xlfn.STDEV.P(pima_data!$G$1:$G$768)</f>
        <v>-0.271437098573562</v>
      </c>
      <c r="H177" s="5">
        <f>(pima_data!H177-AVERAGE(pima_data!$H$1:$H$768))/_xlfn.STDEV.P(pima_data!$H$1:$H$768)</f>
        <v>0.745293379345232</v>
      </c>
    </row>
    <row r="178" spans="1:8">
      <c r="A178" s="5">
        <f>(pima_data!A178-AVERAGE(pima_data!$A$1:$A$768))/_xlfn.STDEV.P(pima_data!$A$1:$A$768)</f>
        <v>-1.1418515161635</v>
      </c>
      <c r="B178" s="5">
        <f>(pima_data!B178-AVERAGE(pima_data!$B$1:$B$768))/_xlfn.STDEV.P(pima_data!$B$1:$B$768)</f>
        <v>0.253678033412799</v>
      </c>
      <c r="C178" s="5">
        <f>(pima_data!C178-AVERAGE(pima_data!$C$1:$C$768))/_xlfn.STDEV.P(pima_data!$C$1:$C$768)</f>
        <v>2.11415524867032</v>
      </c>
      <c r="D178" s="5">
        <f>(pima_data!D178-AVERAGE(pima_data!$D$1:$D$768))/_xlfn.STDEV.P(pima_data!$D$1:$D$768)</f>
        <v>1.5972785972836</v>
      </c>
      <c r="E178" s="5">
        <f>(pima_data!E178-AVERAGE(pima_data!$E$1:$E$768))/_xlfn.STDEV.P(pima_data!$E$1:$E$768)</f>
        <v>0.43588589766471</v>
      </c>
      <c r="F178" s="5">
        <f>(pima_data!F178-AVERAGE(pima_data!$F$1:$F$768))/_xlfn.STDEV.P(pima_data!$F$1:$F$768)</f>
        <v>4.45580749082508</v>
      </c>
      <c r="G178" s="5">
        <f>(pima_data!G178-AVERAGE(pima_data!$G$1:$G$768))/_xlfn.STDEV.P(pima_data!$G$1:$G$768)</f>
        <v>-0.461704575246989</v>
      </c>
      <c r="H178" s="5">
        <f>(pima_data!H178-AVERAGE(pima_data!$H$1:$H$768))/_xlfn.STDEV.P(pima_data!$H$1:$H$768)</f>
        <v>-0.616110670809994</v>
      </c>
    </row>
    <row r="179" spans="1:8">
      <c r="A179" s="5">
        <f>(pima_data!A179-AVERAGE(pima_data!$A$1:$A$768))/_xlfn.STDEV.P(pima_data!$A$1:$A$768)</f>
        <v>0.342980797438884</v>
      </c>
      <c r="B179" s="5">
        <f>(pima_data!B179-AVERAGE(pima_data!$B$1:$B$768))/_xlfn.STDEV.P(pima_data!$B$1:$B$768)</f>
        <v>0.691838067991823</v>
      </c>
      <c r="C179" s="5">
        <f>(pima_data!C179-AVERAGE(pima_data!$C$1:$C$768))/_xlfn.STDEV.P(pima_data!$C$1:$C$768)</f>
        <v>0.459827252003279</v>
      </c>
      <c r="D179" s="5">
        <f>(pima_data!D179-AVERAGE(pima_data!$D$1:$D$768))/_xlfn.STDEV.P(pima_data!$D$1:$D$768)</f>
        <v>-1.28821221294523</v>
      </c>
      <c r="E179" s="5">
        <f>(pima_data!E179-AVERAGE(pima_data!$E$1:$E$768))/_xlfn.STDEV.P(pima_data!$E$1:$E$768)</f>
        <v>-0.692890572295466</v>
      </c>
      <c r="F179" s="5">
        <f>(pima_data!F179-AVERAGE(pima_data!$F$1:$F$768))/_xlfn.STDEV.P(pima_data!$F$1:$F$768)</f>
        <v>1.65089216842264</v>
      </c>
      <c r="G179" s="5">
        <f>(pima_data!G179-AVERAGE(pima_data!$G$1:$G$768))/_xlfn.STDEV.P(pima_data!$G$1:$G$768)</f>
        <v>-0.851299884625912</v>
      </c>
      <c r="H179" s="5">
        <f>(pima_data!H179-AVERAGE(pima_data!$H$1:$H$768))/_xlfn.STDEV.P(pima_data!$H$1:$H$768)</f>
        <v>1.17073214501874</v>
      </c>
    </row>
    <row r="180" spans="1:8">
      <c r="A180" s="5">
        <f>(pima_data!A180-AVERAGE(pima_data!$A$1:$A$768))/_xlfn.STDEV.P(pima_data!$A$1:$A$768)</f>
        <v>0.342980797438884</v>
      </c>
      <c r="B180" s="5">
        <f>(pima_data!B180-AVERAGE(pima_data!$B$1:$B$768))/_xlfn.STDEV.P(pima_data!$B$1:$B$768)</f>
        <v>0.284975178739873</v>
      </c>
      <c r="C180" s="5">
        <f>(pima_data!C180-AVERAGE(pima_data!$C$1:$C$768))/_xlfn.STDEV.P(pima_data!$C$1:$C$768)</f>
        <v>0.666618251586659</v>
      </c>
      <c r="D180" s="5">
        <f>(pima_data!D180-AVERAGE(pima_data!$D$1:$D$768))/_xlfn.STDEV.P(pima_data!$D$1:$D$768)</f>
        <v>-1.28821221294523</v>
      </c>
      <c r="E180" s="5">
        <f>(pima_data!E180-AVERAGE(pima_data!$E$1:$E$768))/_xlfn.STDEV.P(pima_data!$E$1:$E$768)</f>
        <v>-0.692890572295466</v>
      </c>
      <c r="F180" s="5">
        <f>(pima_data!F180-AVERAGE(pima_data!$F$1:$F$768))/_xlfn.STDEV.P(pima_data!$F$1:$F$768)</f>
        <v>0.902068620812935</v>
      </c>
      <c r="G180" s="5">
        <f>(pima_data!G180-AVERAGE(pima_data!$G$1:$G$768))/_xlfn.STDEV.P(pima_data!$G$1:$G$768)</f>
        <v>1.46211102222878</v>
      </c>
      <c r="H180" s="5">
        <f>(pima_data!H180-AVERAGE(pima_data!$H$1:$H$768))/_xlfn.STDEV.P(pima_data!$H$1:$H$768)</f>
        <v>0.319854613671724</v>
      </c>
    </row>
    <row r="181" spans="1:8">
      <c r="A181" s="5">
        <f>(pima_data!A181-AVERAGE(pima_data!$A$1:$A$768))/_xlfn.STDEV.P(pima_data!$A$1:$A$768)</f>
        <v>0.639947260159362</v>
      </c>
      <c r="B181" s="5">
        <f>(pima_data!B181-AVERAGE(pima_data!$B$1:$B$768))/_xlfn.STDEV.P(pima_data!$B$1:$B$768)</f>
        <v>-1.06080207032427</v>
      </c>
      <c r="C181" s="5">
        <f>(pima_data!C181-AVERAGE(pima_data!$C$1:$C$768))/_xlfn.STDEV.P(pima_data!$C$1:$C$768)</f>
        <v>0.563222751794969</v>
      </c>
      <c r="D181" s="5">
        <f>(pima_data!D181-AVERAGE(pima_data!$D$1:$D$768))/_xlfn.STDEV.P(pima_data!$D$1:$D$768)</f>
        <v>-1.28821221294523</v>
      </c>
      <c r="E181" s="5">
        <f>(pima_data!E181-AVERAGE(pima_data!$E$1:$E$768))/_xlfn.STDEV.P(pima_data!$E$1:$E$768)</f>
        <v>-0.692890572295466</v>
      </c>
      <c r="F181" s="5">
        <f>(pima_data!F181-AVERAGE(pima_data!$F$1:$F$768))/_xlfn.STDEV.P(pima_data!$F$1:$F$768)</f>
        <v>-1.11594738037253</v>
      </c>
      <c r="G181" s="5">
        <f>(pima_data!G181-AVERAGE(pima_data!$G$1:$G$768))/_xlfn.STDEV.P(pima_data!$G$1:$G$768)</f>
        <v>-1.17143246442565</v>
      </c>
      <c r="H181" s="5">
        <f>(pima_data!H181-AVERAGE(pima_data!$H$1:$H$768))/_xlfn.STDEV.P(pima_data!$H$1:$H$768)</f>
        <v>-0.105584152001785</v>
      </c>
    </row>
    <row r="182" spans="1:8">
      <c r="A182" s="5">
        <f>(pima_data!A182-AVERAGE(pima_data!$A$1:$A$768))/_xlfn.STDEV.P(pima_data!$A$1:$A$768)</f>
        <v>-1.1418515161635</v>
      </c>
      <c r="B182" s="5">
        <f>(pima_data!B182-AVERAGE(pima_data!$B$1:$B$768))/_xlfn.STDEV.P(pima_data!$B$1:$B$768)</f>
        <v>-0.0592934198579315</v>
      </c>
      <c r="C182" s="5">
        <f>(pima_data!C182-AVERAGE(pima_data!$C$1:$C$768))/_xlfn.STDEV.P(pima_data!$C$1:$C$768)</f>
        <v>-0.263941246538553</v>
      </c>
      <c r="D182" s="5">
        <f>(pima_data!D182-AVERAGE(pima_data!$D$1:$D$768))/_xlfn.STDEV.P(pima_data!$D$1:$D$768)</f>
        <v>-0.159107113290471</v>
      </c>
      <c r="E182" s="5">
        <f>(pima_data!E182-AVERAGE(pima_data!$E$1:$E$768))/_xlfn.STDEV.P(pima_data!$E$1:$E$768)</f>
        <v>0.105935852599428</v>
      </c>
      <c r="F182" s="5">
        <f>(pima_data!F182-AVERAGE(pima_data!$F$1:$F$768))/_xlfn.STDEV.P(pima_data!$F$1:$F$768)</f>
        <v>0.369007790311113</v>
      </c>
      <c r="G182" s="5">
        <f>(pima_data!G182-AVERAGE(pima_data!$G$1:$G$768))/_xlfn.STDEV.P(pima_data!$G$1:$G$768)</f>
        <v>0.764463607759542</v>
      </c>
      <c r="H182" s="5">
        <f>(pima_data!H182-AVERAGE(pima_data!$H$1:$H$768))/_xlfn.STDEV.P(pima_data!$H$1:$H$768)</f>
        <v>-0.871373930214099</v>
      </c>
    </row>
    <row r="183" spans="1:8">
      <c r="A183" s="5">
        <f>(pima_data!A183-AVERAGE(pima_data!$A$1:$A$768))/_xlfn.STDEV.P(pima_data!$A$1:$A$768)</f>
        <v>-0.844885053443025</v>
      </c>
      <c r="B183" s="5">
        <f>(pima_data!B183-AVERAGE(pima_data!$B$1:$B$768))/_xlfn.STDEV.P(pima_data!$B$1:$B$768)</f>
        <v>-3.78365371377963</v>
      </c>
      <c r="C183" s="5">
        <f>(pima_data!C183-AVERAGE(pima_data!$C$1:$C$768))/_xlfn.STDEV.P(pima_data!$C$1:$C$768)</f>
        <v>0.253036252419898</v>
      </c>
      <c r="D183" s="5">
        <f>(pima_data!D183-AVERAGE(pima_data!$D$1:$D$768))/_xlfn.STDEV.P(pima_data!$D$1:$D$768)</f>
        <v>-0.0336509911066088</v>
      </c>
      <c r="E183" s="5">
        <f>(pima_data!E183-AVERAGE(pima_data!$E$1:$E$768))/_xlfn.STDEV.P(pima_data!$E$1:$E$768)</f>
        <v>-0.493183966071743</v>
      </c>
      <c r="F183" s="5">
        <f>(pima_data!F183-AVERAGE(pima_data!$F$1:$F$768))/_xlfn.STDEV.P(pima_data!$F$1:$F$768)</f>
        <v>-0.544810776263438</v>
      </c>
      <c r="G183" s="5">
        <f>(pima_data!G183-AVERAGE(pima_data!$G$1:$G$768))/_xlfn.STDEV.P(pima_data!$G$1:$G$768)</f>
        <v>-0.522106948794109</v>
      </c>
      <c r="H183" s="5">
        <f>(pima_data!H183-AVERAGE(pima_data!$H$1:$H$768))/_xlfn.STDEV.P(pima_data!$H$1:$H$768)</f>
        <v>-1.0415494364835</v>
      </c>
    </row>
    <row r="184" spans="1:8">
      <c r="A184" s="5">
        <f>(pima_data!A184-AVERAGE(pima_data!$A$1:$A$768))/_xlfn.STDEV.P(pima_data!$A$1:$A$768)</f>
        <v>0.342980797438884</v>
      </c>
      <c r="B184" s="5">
        <f>(pima_data!B184-AVERAGE(pima_data!$B$1:$B$768))/_xlfn.STDEV.P(pima_data!$B$1:$B$768)</f>
        <v>-1.49896210490329</v>
      </c>
      <c r="C184" s="5">
        <f>(pima_data!C184-AVERAGE(pima_data!$C$1:$C$768))/_xlfn.STDEV.P(pima_data!$C$1:$C$768)</f>
        <v>-0.470732246121934</v>
      </c>
      <c r="D184" s="5">
        <f>(pima_data!D184-AVERAGE(pima_data!$D$1:$D$768))/_xlfn.STDEV.P(pima_data!$D$1:$D$768)</f>
        <v>-1.28821221294523</v>
      </c>
      <c r="E184" s="5">
        <f>(pima_data!E184-AVERAGE(pima_data!$E$1:$E$768))/_xlfn.STDEV.P(pima_data!$E$1:$E$768)</f>
        <v>-0.692890572295466</v>
      </c>
      <c r="F184" s="5">
        <f>(pima_data!F184-AVERAGE(pima_data!$F$1:$F$768))/_xlfn.STDEV.P(pima_data!$F$1:$F$768)</f>
        <v>-0.659038097085257</v>
      </c>
      <c r="G184" s="5">
        <f>(pima_data!G184-AVERAGE(pima_data!$G$1:$G$768))/_xlfn.STDEV.P(pima_data!$G$1:$G$768)</f>
        <v>-0.615730627792145</v>
      </c>
      <c r="H184" s="5">
        <f>(pima_data!H184-AVERAGE(pima_data!$H$1:$H$768))/_xlfn.STDEV.P(pima_data!$H$1:$H$768)</f>
        <v>-0.531022917675293</v>
      </c>
    </row>
    <row r="185" spans="1:8">
      <c r="A185" s="5">
        <f>(pima_data!A185-AVERAGE(pima_data!$A$1:$A$768))/_xlfn.STDEV.P(pima_data!$A$1:$A$768)</f>
        <v>0.0460143347184072</v>
      </c>
      <c r="B185" s="5">
        <f>(pima_data!B185-AVERAGE(pima_data!$B$1:$B$768))/_xlfn.STDEV.P(pima_data!$B$1:$B$768)</f>
        <v>0.629243777337677</v>
      </c>
      <c r="C185" s="5">
        <f>(pima_data!C185-AVERAGE(pima_data!$C$1:$C$768))/_xlfn.STDEV.P(pima_data!$C$1:$C$768)</f>
        <v>0.253036252419898</v>
      </c>
      <c r="D185" s="5">
        <f>(pima_data!D185-AVERAGE(pima_data!$D$1:$D$768))/_xlfn.STDEV.P(pima_data!$D$1:$D$768)</f>
        <v>-1.28821221294523</v>
      </c>
      <c r="E185" s="5">
        <f>(pima_data!E185-AVERAGE(pima_data!$E$1:$E$768))/_xlfn.STDEV.P(pima_data!$E$1:$E$768)</f>
        <v>-0.692890572295466</v>
      </c>
      <c r="F185" s="5">
        <f>(pima_data!F185-AVERAGE(pima_data!$F$1:$F$768))/_xlfn.STDEV.P(pima_data!$F$1:$F$768)</f>
        <v>-0.557502700799195</v>
      </c>
      <c r="G185" s="5">
        <f>(pima_data!G185-AVERAGE(pima_data!$G$1:$G$768))/_xlfn.STDEV.P(pima_data!$G$1:$G$768)</f>
        <v>-0.688213476048689</v>
      </c>
      <c r="H185" s="5">
        <f>(pima_data!H185-AVERAGE(pima_data!$H$1:$H$768))/_xlfn.STDEV.P(pima_data!$H$1:$H$768)</f>
        <v>0.575117873075829</v>
      </c>
    </row>
    <row r="186" spans="1:8">
      <c r="A186" s="5">
        <f>(pima_data!A186-AVERAGE(pima_data!$A$1:$A$768))/_xlfn.STDEV.P(pima_data!$A$1:$A$768)</f>
        <v>0.936913722879839</v>
      </c>
      <c r="B186" s="5">
        <f>(pima_data!B186-AVERAGE(pima_data!$B$1:$B$768))/_xlfn.STDEV.P(pima_data!$B$1:$B$768)</f>
        <v>2.28799247967255</v>
      </c>
      <c r="C186" s="5">
        <f>(pima_data!C186-AVERAGE(pima_data!$C$1:$C$768))/_xlfn.STDEV.P(pima_data!$C$1:$C$768)</f>
        <v>-0.0571502469551726</v>
      </c>
      <c r="D186" s="5">
        <f>(pima_data!D186-AVERAGE(pima_data!$D$1:$D$768))/_xlfn.STDEV.P(pima_data!$D$1:$D$768)</f>
        <v>0.468173497628841</v>
      </c>
      <c r="E186" s="5">
        <f>(pima_data!E186-AVERAGE(pima_data!$E$1:$E$768))/_xlfn.STDEV.P(pima_data!$E$1:$E$768)</f>
        <v>-0.692890572295466</v>
      </c>
      <c r="F186" s="5">
        <f>(pima_data!F186-AVERAGE(pima_data!$F$1:$F$768))/_xlfn.STDEV.P(pima_data!$F$1:$F$768)</f>
        <v>0.49592703566869</v>
      </c>
      <c r="G186" s="5">
        <f>(pima_data!G186-AVERAGE(pima_data!$G$1:$G$768))/_xlfn.STDEV.P(pima_data!$G$1:$G$768)</f>
        <v>0.824865981306662</v>
      </c>
      <c r="H186" s="5">
        <f>(pima_data!H186-AVERAGE(pima_data!$H$1:$H$768))/_xlfn.STDEV.P(pima_data!$H$1:$H$768)</f>
        <v>0.66020562621053</v>
      </c>
    </row>
    <row r="187" spans="1:8">
      <c r="A187" s="5">
        <f>(pima_data!A187-AVERAGE(pima_data!$A$1:$A$768))/_xlfn.STDEV.P(pima_data!$A$1:$A$768)</f>
        <v>1.23388018560032</v>
      </c>
      <c r="B187" s="5">
        <f>(pima_data!B187-AVERAGE(pima_data!$B$1:$B$768))/_xlfn.STDEV.P(pima_data!$B$1:$B$768)</f>
        <v>1.8811295904206</v>
      </c>
      <c r="C187" s="5">
        <f>(pima_data!C187-AVERAGE(pima_data!$C$1:$C$768))/_xlfn.STDEV.P(pima_data!$C$1:$C$768)</f>
        <v>-0.0571502469551726</v>
      </c>
      <c r="D187" s="5">
        <f>(pima_data!D187-AVERAGE(pima_data!$D$1:$D$768))/_xlfn.STDEV.P(pima_data!$D$1:$D$768)</f>
        <v>0.96999798636429</v>
      </c>
      <c r="E187" s="5">
        <f>(pima_data!E187-AVERAGE(pima_data!$E$1:$E$768))/_xlfn.STDEV.P(pima_data!$E$1:$E$768)</f>
        <v>3.60514290947597</v>
      </c>
      <c r="F187" s="5">
        <f>(pima_data!F187-AVERAGE(pima_data!$F$1:$F$768))/_xlfn.STDEV.P(pima_data!$F$1:$F$768)</f>
        <v>-0.240204587405254</v>
      </c>
      <c r="G187" s="5">
        <f>(pima_data!G187-AVERAGE(pima_data!$G$1:$G$768))/_xlfn.STDEV.P(pima_data!$G$1:$G$768)</f>
        <v>0.432250553250383</v>
      </c>
      <c r="H187" s="5">
        <f>(pima_data!H187-AVERAGE(pima_data!$H$1:$H$768))/_xlfn.STDEV.P(pima_data!$H$1:$H$768)</f>
        <v>2.27687293576986</v>
      </c>
    </row>
    <row r="188" spans="1:8">
      <c r="A188" s="5">
        <f>(pima_data!A188-AVERAGE(pima_data!$A$1:$A$768))/_xlfn.STDEV.P(pima_data!$A$1:$A$768)</f>
        <v>-0.844885053443025</v>
      </c>
      <c r="B188" s="5">
        <f>(pima_data!B188-AVERAGE(pima_data!$B$1:$B$768))/_xlfn.STDEV.P(pima_data!$B$1:$B$768)</f>
        <v>0.222380888085726</v>
      </c>
      <c r="C188" s="5">
        <f>(pima_data!C188-AVERAGE(pima_data!$C$1:$C$768))/_xlfn.STDEV.P(pima_data!$C$1:$C$768)</f>
        <v>1.49378224992018</v>
      </c>
      <c r="D188" s="5">
        <f>(pima_data!D188-AVERAGE(pima_data!$D$1:$D$768))/_xlfn.STDEV.P(pima_data!$D$1:$D$768)</f>
        <v>1.28363829182395</v>
      </c>
      <c r="E188" s="5">
        <f>(pima_data!E188-AVERAGE(pima_data!$E$1:$E$768))/_xlfn.STDEV.P(pima_data!$E$1:$E$768)</f>
        <v>-0.189282608774772</v>
      </c>
      <c r="F188" s="5">
        <f>(pima_data!F188-AVERAGE(pima_data!$F$1:$F$768))/_xlfn.STDEV.P(pima_data!$F$1:$F$768)</f>
        <v>0.000941978774141239</v>
      </c>
      <c r="G188" s="5">
        <f>(pima_data!G188-AVERAGE(pima_data!$G$1:$G$768))/_xlfn.STDEV.P(pima_data!$G$1:$G$768)</f>
        <v>2.56445433946371</v>
      </c>
      <c r="H188" s="5">
        <f>(pima_data!H188-AVERAGE(pima_data!$H$1:$H$768))/_xlfn.STDEV.P(pima_data!$H$1:$H$768)</f>
        <v>-0.0204963988670829</v>
      </c>
    </row>
    <row r="189" spans="1:8">
      <c r="A189" s="5">
        <f>(pima_data!A189-AVERAGE(pima_data!$A$1:$A$768))/_xlfn.STDEV.P(pima_data!$A$1:$A$768)</f>
        <v>1.23388018560032</v>
      </c>
      <c r="B189" s="5">
        <f>(pima_data!B189-AVERAGE(pima_data!$B$1:$B$768))/_xlfn.STDEV.P(pima_data!$B$1:$B$768)</f>
        <v>-0.372264873128662</v>
      </c>
      <c r="C189" s="5">
        <f>(pima_data!C189-AVERAGE(pima_data!$C$1:$C$768))/_xlfn.STDEV.P(pima_data!$C$1:$C$768)</f>
        <v>0.356431752211589</v>
      </c>
      <c r="D189" s="5">
        <f>(pima_data!D189-AVERAGE(pima_data!$D$1:$D$768))/_xlfn.STDEV.P(pima_data!$D$1:$D$768)</f>
        <v>1.15818216964008</v>
      </c>
      <c r="E189" s="5">
        <f>(pima_data!E189-AVERAGE(pima_data!$E$1:$E$768))/_xlfn.STDEV.P(pima_data!$E$1:$E$768)</f>
        <v>0.29695956290038</v>
      </c>
      <c r="F189" s="5">
        <f>(pima_data!F189-AVERAGE(pima_data!$F$1:$F$768))/_xlfn.STDEV.P(pima_data!$F$1:$F$768)</f>
        <v>-0.519426927191923</v>
      </c>
      <c r="G189" s="5">
        <f>(pima_data!G189-AVERAGE(pima_data!$G$1:$G$768))/_xlfn.STDEV.P(pima_data!$G$1:$G$768)</f>
        <v>0.507753520184283</v>
      </c>
      <c r="H189" s="5">
        <f>(pima_data!H189-AVERAGE(pima_data!$H$1:$H$768))/_xlfn.STDEV.P(pima_data!$H$1:$H$768)</f>
        <v>-0.190671905136486</v>
      </c>
    </row>
    <row r="190" spans="1:8">
      <c r="A190" s="5">
        <f>(pima_data!A190-AVERAGE(pima_data!$A$1:$A$768))/_xlfn.STDEV.P(pima_data!$A$1:$A$768)</f>
        <v>0.342980797438884</v>
      </c>
      <c r="B190" s="5">
        <f>(pima_data!B190-AVERAGE(pima_data!$B$1:$B$768))/_xlfn.STDEV.P(pima_data!$B$1:$B$768)</f>
        <v>0.56664948668353</v>
      </c>
      <c r="C190" s="5">
        <f>(pima_data!C190-AVERAGE(pima_data!$C$1:$C$768))/_xlfn.STDEV.P(pima_data!$C$1:$C$768)</f>
        <v>0.563222751794969</v>
      </c>
      <c r="D190" s="5">
        <f>(pima_data!D190-AVERAGE(pima_data!$D$1:$D$768))/_xlfn.STDEV.P(pima_data!$D$1:$D$768)</f>
        <v>0.907269925272359</v>
      </c>
      <c r="E190" s="5">
        <f>(pima_data!E190-AVERAGE(pima_data!$E$1:$E$768))/_xlfn.STDEV.P(pima_data!$E$1:$E$768)</f>
        <v>0.696372775347827</v>
      </c>
      <c r="F190" s="5">
        <f>(pima_data!F190-AVERAGE(pima_data!$F$1:$F$768))/_xlfn.STDEV.P(pima_data!$F$1:$F$768)</f>
        <v>-0.0498257193688892</v>
      </c>
      <c r="G190" s="5">
        <f>(pima_data!G190-AVERAGE(pima_data!$G$1:$G$768))/_xlfn.STDEV.P(pima_data!$G$1:$G$768)</f>
        <v>-0.334859590798038</v>
      </c>
      <c r="H190" s="5">
        <f>(pima_data!H190-AVERAGE(pima_data!$H$1:$H$768))/_xlfn.STDEV.P(pima_data!$H$1:$H$768)</f>
        <v>-0.701198423944696</v>
      </c>
    </row>
    <row r="191" spans="1:8">
      <c r="A191" s="5">
        <f>(pima_data!A191-AVERAGE(pima_data!$A$1:$A$768))/_xlfn.STDEV.P(pima_data!$A$1:$A$768)</f>
        <v>-0.25095212800207</v>
      </c>
      <c r="B191" s="5">
        <f>(pima_data!B191-AVERAGE(pima_data!$B$1:$B$768))/_xlfn.STDEV.P(pima_data!$B$1:$B$768)</f>
        <v>-0.309670582474516</v>
      </c>
      <c r="C191" s="5">
        <f>(pima_data!C191-AVERAGE(pima_data!$C$1:$C$768))/_xlfn.STDEV.P(pima_data!$C$1:$C$768)</f>
        <v>-0.367336746330243</v>
      </c>
      <c r="D191" s="5">
        <f>(pima_data!D191-AVERAGE(pima_data!$D$1:$D$768))/_xlfn.STDEV.P(pima_data!$D$1:$D$768)</f>
        <v>-1.28821221294523</v>
      </c>
      <c r="E191" s="5">
        <f>(pima_data!E191-AVERAGE(pima_data!$E$1:$E$768))/_xlfn.STDEV.P(pima_data!$E$1:$E$768)</f>
        <v>-0.692890572295466</v>
      </c>
      <c r="F191" s="5">
        <f>(pima_data!F191-AVERAGE(pima_data!$F$1:$F$768))/_xlfn.STDEV.P(pima_data!$F$1:$F$768)</f>
        <v>-1.19209892758708</v>
      </c>
      <c r="G191" s="5">
        <f>(pima_data!G191-AVERAGE(pima_data!$G$1:$G$768))/_xlfn.STDEV.P(pima_data!$G$1:$G$768)</f>
        <v>-0.996265581139</v>
      </c>
      <c r="H191" s="5">
        <f>(pima_data!H191-AVERAGE(pima_data!$H$1:$H$768))/_xlfn.STDEV.P(pima_data!$H$1:$H$768)</f>
        <v>-1.0415494364835</v>
      </c>
    </row>
    <row r="192" spans="1:8">
      <c r="A192" s="5">
        <f>(pima_data!A192-AVERAGE(pima_data!$A$1:$A$768))/_xlfn.STDEV.P(pima_data!$A$1:$A$768)</f>
        <v>1.53084664832079</v>
      </c>
      <c r="B192" s="5">
        <f>(pima_data!B192-AVERAGE(pima_data!$B$1:$B$768))/_xlfn.STDEV.P(pima_data!$B$1:$B$768)</f>
        <v>0.0658951614503609</v>
      </c>
      <c r="C192" s="5">
        <f>(pima_data!C192-AVERAGE(pima_data!$C$1:$C$768))/_xlfn.STDEV.P(pima_data!$C$1:$C$768)</f>
        <v>0.0462452528365177</v>
      </c>
      <c r="D192" s="5">
        <f>(pima_data!D192-AVERAGE(pima_data!$D$1:$D$768))/_xlfn.STDEV.P(pima_data!$D$1:$D$768)</f>
        <v>1.47182247509974</v>
      </c>
      <c r="E192" s="5">
        <f>(pima_data!E192-AVERAGE(pima_data!$E$1:$E$768))/_xlfn.STDEV.P(pima_data!$E$1:$E$768)</f>
        <v>0.123301644444969</v>
      </c>
      <c r="F192" s="5">
        <f>(pima_data!F192-AVERAGE(pima_data!$F$1:$F$768))/_xlfn.STDEV.P(pima_data!$F$1:$F$768)</f>
        <v>0.140553148667476</v>
      </c>
      <c r="G192" s="5">
        <f>(pima_data!G192-AVERAGE(pima_data!$G$1:$G$768))/_xlfn.STDEV.P(pima_data!$G$1:$G$768)</f>
        <v>-0.29559804799241</v>
      </c>
      <c r="H192" s="5">
        <f>(pima_data!H192-AVERAGE(pima_data!$H$1:$H$768))/_xlfn.STDEV.P(pima_data!$H$1:$H$768)</f>
        <v>0.575117873075829</v>
      </c>
    </row>
    <row r="193" spans="1:8">
      <c r="A193" s="5">
        <f>(pima_data!A193-AVERAGE(pima_data!$A$1:$A$768))/_xlfn.STDEV.P(pima_data!$A$1:$A$768)</f>
        <v>0.936913722879839</v>
      </c>
      <c r="B193" s="5">
        <f>(pima_data!B193-AVERAGE(pima_data!$B$1:$B$768))/_xlfn.STDEV.P(pima_data!$B$1:$B$768)</f>
        <v>1.19259239322499</v>
      </c>
      <c r="C193" s="5">
        <f>(pima_data!C193-AVERAGE(pima_data!$C$1:$C$768))/_xlfn.STDEV.P(pima_data!$C$1:$C$768)</f>
        <v>-0.160545746746863</v>
      </c>
      <c r="D193" s="5">
        <f>(pima_data!D193-AVERAGE(pima_data!$D$1:$D$768))/_xlfn.STDEV.P(pima_data!$D$1:$D$768)</f>
        <v>-1.28821221294523</v>
      </c>
      <c r="E193" s="5">
        <f>(pima_data!E193-AVERAGE(pima_data!$E$1:$E$768))/_xlfn.STDEV.P(pima_data!$E$1:$E$768)</f>
        <v>-0.692890572295466</v>
      </c>
      <c r="F193" s="5">
        <f>(pima_data!F193-AVERAGE(pima_data!$F$1:$F$768))/_xlfn.STDEV.P(pima_data!$F$1:$F$768)</f>
        <v>-0.202128813797981</v>
      </c>
      <c r="G193" s="5">
        <f>(pima_data!G193-AVERAGE(pima_data!$G$1:$G$768))/_xlfn.STDEV.P(pima_data!$G$1:$G$768)</f>
        <v>-0.268416979896206</v>
      </c>
      <c r="H193" s="5">
        <f>(pima_data!H193-AVERAGE(pima_data!$H$1:$H$768))/_xlfn.STDEV.P(pima_data!$H$1:$H$768)</f>
        <v>0.234766860537022</v>
      </c>
    </row>
    <row r="194" spans="1:8">
      <c r="A194" s="5">
        <f>(pima_data!A194-AVERAGE(pima_data!$A$1:$A$768))/_xlfn.STDEV.P(pima_data!$A$1:$A$768)</f>
        <v>2.12477957376175</v>
      </c>
      <c r="B194" s="5">
        <f>(pima_data!B194-AVERAGE(pima_data!$B$1:$B$768))/_xlfn.STDEV.P(pima_data!$B$1:$B$768)</f>
        <v>0.441460905375238</v>
      </c>
      <c r="C194" s="5">
        <f>(pima_data!C194-AVERAGE(pima_data!$C$1:$C$768))/_xlfn.STDEV.P(pima_data!$C$1:$C$768)</f>
        <v>-3.57259723987264</v>
      </c>
      <c r="D194" s="5">
        <f>(pima_data!D194-AVERAGE(pima_data!$D$1:$D$768))/_xlfn.STDEV.P(pima_data!$D$1:$D$768)</f>
        <v>-1.28821221294523</v>
      </c>
      <c r="E194" s="5">
        <f>(pima_data!E194-AVERAGE(pima_data!$E$1:$E$768))/_xlfn.STDEV.P(pima_data!$E$1:$E$768)</f>
        <v>-0.692890572295466</v>
      </c>
      <c r="F194" s="5">
        <f>(pima_data!F194-AVERAGE(pima_data!$F$1:$F$768))/_xlfn.STDEV.P(pima_data!$F$1:$F$768)</f>
        <v>2.57740265953294</v>
      </c>
      <c r="G194" s="5">
        <f>(pima_data!G194-AVERAGE(pima_data!$G$1:$G$768))/_xlfn.STDEV.P(pima_data!$G$1:$G$768)</f>
        <v>0.320506162188212</v>
      </c>
      <c r="H194" s="5">
        <f>(pima_data!H194-AVERAGE(pima_data!$H$1:$H$768))/_xlfn.STDEV.P(pima_data!$H$1:$H$768)</f>
        <v>0.575117873075829</v>
      </c>
    </row>
    <row r="195" spans="1:8">
      <c r="A195" s="5">
        <f>(pima_data!A195-AVERAGE(pima_data!$A$1:$A$768))/_xlfn.STDEV.P(pima_data!$A$1:$A$768)</f>
        <v>1.23388018560032</v>
      </c>
      <c r="B195" s="5">
        <f>(pima_data!B195-AVERAGE(pima_data!$B$1:$B$768))/_xlfn.STDEV.P(pima_data!$B$1:$B$768)</f>
        <v>-1.12339636097842</v>
      </c>
      <c r="C195" s="5">
        <f>(pima_data!C195-AVERAGE(pima_data!$C$1:$C$768))/_xlfn.STDEV.P(pima_data!$C$1:$C$768)</f>
        <v>-0.729220995601159</v>
      </c>
      <c r="D195" s="5">
        <f>(pima_data!D195-AVERAGE(pima_data!$D$1:$D$768))/_xlfn.STDEV.P(pima_data!$D$1:$D$768)</f>
        <v>-0.0336509911066088</v>
      </c>
      <c r="E195" s="5">
        <f>(pima_data!E195-AVERAGE(pima_data!$E$1:$E$768))/_xlfn.STDEV.P(pima_data!$E$1:$E$768)</f>
        <v>-0.692890572295466</v>
      </c>
      <c r="F195" s="5">
        <f>(pima_data!F195-AVERAGE(pima_data!$F$1:$F$768))/_xlfn.STDEV.P(pima_data!$F$1:$F$768)</f>
        <v>-0.963644285943441</v>
      </c>
      <c r="G195" s="5">
        <f>(pima_data!G195-AVERAGE(pima_data!$G$1:$G$768))/_xlfn.STDEV.P(pima_data!$G$1:$G$768)</f>
        <v>-1.01438629320314</v>
      </c>
      <c r="H195" s="5">
        <f>(pima_data!H195-AVERAGE(pima_data!$H$1:$H$768))/_xlfn.STDEV.P(pima_data!$H$1:$H$768)</f>
        <v>0.745293379345232</v>
      </c>
    </row>
    <row r="196" spans="1:8">
      <c r="A196" s="5">
        <f>(pima_data!A196-AVERAGE(pima_data!$A$1:$A$768))/_xlfn.STDEV.P(pima_data!$A$1:$A$768)</f>
        <v>0.342980797438884</v>
      </c>
      <c r="B196" s="5">
        <f>(pima_data!B196-AVERAGE(pima_data!$B$1:$B$768))/_xlfn.STDEV.P(pima_data!$B$1:$B$768)</f>
        <v>1.16129524789792</v>
      </c>
      <c r="C196" s="5">
        <f>(pima_data!C196-AVERAGE(pima_data!$C$1:$C$768))/_xlfn.STDEV.P(pima_data!$C$1:$C$768)</f>
        <v>0.77001375137835</v>
      </c>
      <c r="D196" s="5">
        <f>(pima_data!D196-AVERAGE(pima_data!$D$1:$D$768))/_xlfn.STDEV.P(pima_data!$D$1:$D$768)</f>
        <v>1.28363829182395</v>
      </c>
      <c r="E196" s="5">
        <f>(pima_data!E196-AVERAGE(pima_data!$E$1:$E$768))/_xlfn.STDEV.P(pima_data!$E$1:$E$768)</f>
        <v>1.13051757148636</v>
      </c>
      <c r="F196" s="5">
        <f>(pima_data!F196-AVERAGE(pima_data!$F$1:$F$768))/_xlfn.STDEV.P(pima_data!$F$1:$F$768)</f>
        <v>0.940144394420207</v>
      </c>
      <c r="G196" s="5">
        <f>(pima_data!G196-AVERAGE(pima_data!$G$1:$G$768))/_xlfn.STDEV.P(pima_data!$G$1:$G$768)</f>
        <v>-0.232175555767934</v>
      </c>
      <c r="H196" s="5">
        <f>(pima_data!H196-AVERAGE(pima_data!$H$1:$H$768))/_xlfn.STDEV.P(pima_data!$H$1:$H$768)</f>
        <v>-0.360847411405889</v>
      </c>
    </row>
    <row r="197" spans="1:8">
      <c r="A197" s="5">
        <f>(pima_data!A197-AVERAGE(pima_data!$A$1:$A$768))/_xlfn.STDEV.P(pima_data!$A$1:$A$768)</f>
        <v>-0.844885053443025</v>
      </c>
      <c r="B197" s="5">
        <f>(pima_data!B197-AVERAGE(pima_data!$B$1:$B$768))/_xlfn.STDEV.P(pima_data!$B$1:$B$768)</f>
        <v>-0.497453454436955</v>
      </c>
      <c r="C197" s="5">
        <f>(pima_data!C197-AVERAGE(pima_data!$C$1:$C$768))/_xlfn.STDEV.P(pima_data!$C$1:$C$768)</f>
        <v>-0.574127745913624</v>
      </c>
      <c r="D197" s="5">
        <f>(pima_data!D197-AVERAGE(pima_data!$D$1:$D$768))/_xlfn.STDEV.P(pima_data!$D$1:$D$768)</f>
        <v>-1.28821221294523</v>
      </c>
      <c r="E197" s="5">
        <f>(pima_data!E197-AVERAGE(pima_data!$E$1:$E$768))/_xlfn.STDEV.P(pima_data!$E$1:$E$768)</f>
        <v>-0.692890572295466</v>
      </c>
      <c r="F197" s="5">
        <f>(pima_data!F197-AVERAGE(pima_data!$F$1:$F$768))/_xlfn.STDEV.P(pima_data!$F$1:$F$768)</f>
        <v>-0.976336210479198</v>
      </c>
      <c r="G197" s="5">
        <f>(pima_data!G197-AVERAGE(pima_data!$G$1:$G$768))/_xlfn.STDEV.P(pima_data!$G$1:$G$768)</f>
        <v>-0.86036024065798</v>
      </c>
      <c r="H197" s="5">
        <f>(pima_data!H197-AVERAGE(pima_data!$H$1:$H$768))/_xlfn.STDEV.P(pima_data!$H$1:$H$768)</f>
        <v>-1.0415494364835</v>
      </c>
    </row>
    <row r="198" spans="1:8">
      <c r="A198" s="5">
        <f>(pima_data!A198-AVERAGE(pima_data!$A$1:$A$768))/_xlfn.STDEV.P(pima_data!$A$1:$A$768)</f>
        <v>-0.25095212800207</v>
      </c>
      <c r="B198" s="5">
        <f>(pima_data!B198-AVERAGE(pima_data!$B$1:$B$768))/_xlfn.STDEV.P(pima_data!$B$1:$B$768)</f>
        <v>-0.434859163782809</v>
      </c>
      <c r="C198" s="5">
        <f>(pima_data!C198-AVERAGE(pima_data!$C$1:$C$768))/_xlfn.STDEV.P(pima_data!$C$1:$C$768)</f>
        <v>-0.367336746330243</v>
      </c>
      <c r="D198" s="5">
        <f>(pima_data!D198-AVERAGE(pima_data!$D$1:$D$768))/_xlfn.STDEV.P(pima_data!$D$1:$D$768)</f>
        <v>-0.472747418750127</v>
      </c>
      <c r="E198" s="5">
        <f>(pima_data!E198-AVERAGE(pima_data!$E$1:$E$768))/_xlfn.STDEV.P(pima_data!$E$1:$E$768)</f>
        <v>-0.276111568002478</v>
      </c>
      <c r="F198" s="5">
        <f>(pima_data!F198-AVERAGE(pima_data!$F$1:$F$768))/_xlfn.STDEV.P(pima_data!$F$1:$F$768)</f>
        <v>-1.15402315397981</v>
      </c>
      <c r="G198" s="5">
        <f>(pima_data!G198-AVERAGE(pima_data!$G$1:$G$768))/_xlfn.STDEV.P(pima_data!$G$1:$G$768)</f>
        <v>0.622518029923811</v>
      </c>
      <c r="H198" s="5">
        <f>(pima_data!H198-AVERAGE(pima_data!$H$1:$H$768))/_xlfn.STDEV.P(pima_data!$H$1:$H$768)</f>
        <v>-0.871373930214099</v>
      </c>
    </row>
    <row r="199" spans="1:8">
      <c r="A199" s="5">
        <f>(pima_data!A199-AVERAGE(pima_data!$A$1:$A$768))/_xlfn.STDEV.P(pima_data!$A$1:$A$768)</f>
        <v>0.0460143347184072</v>
      </c>
      <c r="B199" s="5">
        <f>(pima_data!B199-AVERAGE(pima_data!$B$1:$B$768))/_xlfn.STDEV.P(pima_data!$B$1:$B$768)</f>
        <v>-0.372264873128662</v>
      </c>
      <c r="C199" s="5">
        <f>(pima_data!C199-AVERAGE(pima_data!$C$1:$C$768))/_xlfn.STDEV.P(pima_data!$C$1:$C$768)</f>
        <v>-0.263941246538553</v>
      </c>
      <c r="D199" s="5">
        <f>(pima_data!D199-AVERAGE(pima_data!$D$1:$D$768))/_xlfn.STDEV.P(pima_data!$D$1:$D$768)</f>
        <v>1.47182247509974</v>
      </c>
      <c r="E199" s="5">
        <f>(pima_data!E199-AVERAGE(pima_data!$E$1:$E$768))/_xlfn.STDEV.P(pima_data!$E$1:$E$768)</f>
        <v>0.166716124058822</v>
      </c>
      <c r="F199" s="5">
        <f>(pima_data!F199-AVERAGE(pima_data!$F$1:$F$768))/_xlfn.STDEV.P(pima_data!$F$1:$F$768)</f>
        <v>0.356315865775355</v>
      </c>
      <c r="G199" s="5">
        <f>(pima_data!G199-AVERAGE(pima_data!$G$1:$G$768))/_xlfn.STDEV.P(pima_data!$G$1:$G$768)</f>
        <v>1.30808496968362</v>
      </c>
      <c r="H199" s="5">
        <f>(pima_data!H199-AVERAGE(pima_data!$H$1:$H$768))/_xlfn.STDEV.P(pima_data!$H$1:$H$768)</f>
        <v>-0.616110670809994</v>
      </c>
    </row>
    <row r="200" spans="1:8">
      <c r="A200" s="5">
        <f>(pima_data!A200-AVERAGE(pima_data!$A$1:$A$768))/_xlfn.STDEV.P(pima_data!$A$1:$A$768)</f>
        <v>0.0460143347184072</v>
      </c>
      <c r="B200" s="5">
        <f>(pima_data!B200-AVERAGE(pima_data!$B$1:$B$768))/_xlfn.STDEV.P(pima_data!$B$1:$B$768)</f>
        <v>0.848323794627188</v>
      </c>
      <c r="C200" s="5">
        <f>(pima_data!C200-AVERAGE(pima_data!$C$1:$C$768))/_xlfn.STDEV.P(pima_data!$C$1:$C$768)</f>
        <v>-0.470732246121934</v>
      </c>
      <c r="D200" s="5">
        <f>(pima_data!D200-AVERAGE(pima_data!$D$1:$D$768))/_xlfn.STDEV.P(pima_data!$D$1:$D$768)</f>
        <v>0.40544543653691</v>
      </c>
      <c r="E200" s="5">
        <f>(pima_data!E200-AVERAGE(pima_data!$E$1:$E$768))/_xlfn.STDEV.P(pima_data!$E$1:$E$768)</f>
        <v>2.06827033114558</v>
      </c>
      <c r="F200" s="5">
        <f>(pima_data!F200-AVERAGE(pima_data!$F$1:$F$768))/_xlfn.STDEV.P(pima_data!$F$1:$F$768)</f>
        <v>-0.138669191119193</v>
      </c>
      <c r="G200" s="5">
        <f>(pima_data!G200-AVERAGE(pima_data!$G$1:$G$768))/_xlfn.STDEV.P(pima_data!$G$1:$G$768)</f>
        <v>-0.972104631720152</v>
      </c>
      <c r="H200" s="5">
        <f>(pima_data!H200-AVERAGE(pima_data!$H$1:$H$768))/_xlfn.STDEV.P(pima_data!$H$1:$H$768)</f>
        <v>-0.360847411405889</v>
      </c>
    </row>
    <row r="201" spans="1:8">
      <c r="A201" s="5">
        <f>(pima_data!A201-AVERAGE(pima_data!$A$1:$A$768))/_xlfn.STDEV.P(pima_data!$A$1:$A$768)</f>
        <v>-1.1418515161635</v>
      </c>
      <c r="B201" s="5">
        <f>(pima_data!B201-AVERAGE(pima_data!$B$1:$B$768))/_xlfn.STDEV.P(pima_data!$B$1:$B$768)</f>
        <v>-0.24707629182037</v>
      </c>
      <c r="C201" s="5">
        <f>(pima_data!C201-AVERAGE(pima_data!$C$1:$C$768))/_xlfn.STDEV.P(pima_data!$C$1:$C$768)</f>
        <v>0.563222751794969</v>
      </c>
      <c r="D201" s="5">
        <f>(pima_data!D201-AVERAGE(pima_data!$D$1:$D$768))/_xlfn.STDEV.P(pima_data!$D$1:$D$768)</f>
        <v>-0.284563235474334</v>
      </c>
      <c r="E201" s="5">
        <f>(pima_data!E201-AVERAGE(pima_data!$E$1:$E$768))/_xlfn.STDEV.P(pima_data!$E$1:$E$768)</f>
        <v>-0.692890572295466</v>
      </c>
      <c r="F201" s="5">
        <f>(pima_data!F201-AVERAGE(pima_data!$F$1:$F$768))/_xlfn.STDEV.P(pima_data!$F$1:$F$768)</f>
        <v>-0.125977266583435</v>
      </c>
      <c r="G201" s="5">
        <f>(pima_data!G201-AVERAGE(pima_data!$G$1:$G$768))/_xlfn.STDEV.P(pima_data!$G$1:$G$768)</f>
        <v>1.21446129068558</v>
      </c>
      <c r="H201" s="5">
        <f>(pima_data!H201-AVERAGE(pima_data!$H$1:$H$768))/_xlfn.STDEV.P(pima_data!$H$1:$H$768)</f>
        <v>-1.0415494364835</v>
      </c>
    </row>
    <row r="202" spans="1:8">
      <c r="A202" s="5">
        <f>(pima_data!A202-AVERAGE(pima_data!$A$1:$A$768))/_xlfn.STDEV.P(pima_data!$A$1:$A$768)</f>
        <v>-0.844885053443025</v>
      </c>
      <c r="B202" s="5">
        <f>(pima_data!B202-AVERAGE(pima_data!$B$1:$B$768))/_xlfn.STDEV.P(pima_data!$B$1:$B$768)</f>
        <v>0.535352341356457</v>
      </c>
      <c r="C202" s="5">
        <f>(pima_data!C202-AVERAGE(pima_data!$C$1:$C$768))/_xlfn.STDEV.P(pima_data!$C$1:$C$768)</f>
        <v>0.666618251586659</v>
      </c>
      <c r="D202" s="5">
        <f>(pima_data!D202-AVERAGE(pima_data!$D$1:$D$768))/_xlfn.STDEV.P(pima_data!$D$1:$D$768)</f>
        <v>-1.28821221294523</v>
      </c>
      <c r="E202" s="5">
        <f>(pima_data!E202-AVERAGE(pima_data!$E$1:$E$768))/_xlfn.STDEV.P(pima_data!$E$1:$E$768)</f>
        <v>-0.692890572295466</v>
      </c>
      <c r="F202" s="5">
        <f>(pima_data!F202-AVERAGE(pima_data!$F$1:$F$768))/_xlfn.STDEV.P(pima_data!$F$1:$F$768)</f>
        <v>1.02898786617051</v>
      </c>
      <c r="G202" s="5">
        <f>(pima_data!G202-AVERAGE(pima_data!$G$1:$G$768))/_xlfn.STDEV.P(pima_data!$G$1:$G$768)</f>
        <v>-0.712374425467536</v>
      </c>
      <c r="H202" s="5">
        <f>(pima_data!H202-AVERAGE(pima_data!$H$1:$H$768))/_xlfn.STDEV.P(pima_data!$H$1:$H$768)</f>
        <v>-0.445935164540591</v>
      </c>
    </row>
    <row r="203" spans="1:8">
      <c r="A203" s="5">
        <f>(pima_data!A203-AVERAGE(pima_data!$A$1:$A$768))/_xlfn.STDEV.P(pima_data!$A$1:$A$768)</f>
        <v>-1.1418515161635</v>
      </c>
      <c r="B203" s="5">
        <f>(pima_data!B203-AVERAGE(pima_data!$B$1:$B$768))/_xlfn.STDEV.P(pima_data!$B$1:$B$768)</f>
        <v>-0.403562018455736</v>
      </c>
      <c r="C203" s="5">
        <f>(pima_data!C203-AVERAGE(pima_data!$C$1:$C$768))/_xlfn.STDEV.P(pima_data!$C$1:$C$768)</f>
        <v>-0.0571502469551726</v>
      </c>
      <c r="D203" s="5">
        <f>(pima_data!D203-AVERAGE(pima_data!$D$1:$D$768))/_xlfn.STDEV.P(pima_data!$D$1:$D$768)</f>
        <v>-0.0336509911066088</v>
      </c>
      <c r="E203" s="5">
        <f>(pima_data!E203-AVERAGE(pima_data!$E$1:$E$768))/_xlfn.STDEV.P(pima_data!$E$1:$E$768)</f>
        <v>-0.692890572295466</v>
      </c>
      <c r="F203" s="5">
        <f>(pima_data!F203-AVERAGE(pima_data!$F$1:$F$768))/_xlfn.STDEV.P(pima_data!$F$1:$F$768)</f>
        <v>-0.595578474406468</v>
      </c>
      <c r="G203" s="5">
        <f>(pima_data!G203-AVERAGE(pima_data!$G$1:$G$768))/_xlfn.STDEV.P(pima_data!$G$1:$G$768)</f>
        <v>0.951710965755614</v>
      </c>
      <c r="H203" s="5">
        <f>(pima_data!H203-AVERAGE(pima_data!$H$1:$H$768))/_xlfn.STDEV.P(pima_data!$H$1:$H$768)</f>
        <v>-0.105584152001785</v>
      </c>
    </row>
    <row r="204" spans="1:8">
      <c r="A204" s="5">
        <f>(pima_data!A204-AVERAGE(pima_data!$A$1:$A$768))/_xlfn.STDEV.P(pima_data!$A$1:$A$768)</f>
        <v>-0.547918590722547</v>
      </c>
      <c r="B204" s="5">
        <f>(pima_data!B204-AVERAGE(pima_data!$B$1:$B$768))/_xlfn.STDEV.P(pima_data!$B$1:$B$768)</f>
        <v>-0.685236326399393</v>
      </c>
      <c r="C204" s="5">
        <f>(pima_data!C204-AVERAGE(pima_data!$C$1:$C$768))/_xlfn.STDEV.P(pima_data!$C$1:$C$768)</f>
        <v>0.0462452528365177</v>
      </c>
      <c r="D204" s="5">
        <f>(pima_data!D204-AVERAGE(pima_data!$D$1:$D$768))/_xlfn.STDEV.P(pima_data!$D$1:$D$768)</f>
        <v>-0.284563235474334</v>
      </c>
      <c r="E204" s="5">
        <f>(pima_data!E204-AVERAGE(pima_data!$E$1:$E$768))/_xlfn.STDEV.P(pima_data!$E$1:$E$768)</f>
        <v>-0.310843151693561</v>
      </c>
      <c r="F204" s="5">
        <f>(pima_data!F204-AVERAGE(pima_data!$F$1:$F$768))/_xlfn.STDEV.P(pima_data!$F$1:$F$768)</f>
        <v>-1.47132126737375</v>
      </c>
      <c r="G204" s="5">
        <f>(pima_data!G204-AVERAGE(pima_data!$G$1:$G$768))/_xlfn.STDEV.P(pima_data!$G$1:$G$768)</f>
        <v>-0.715394544144892</v>
      </c>
      <c r="H204" s="5">
        <f>(pima_data!H204-AVERAGE(pima_data!$H$1:$H$768))/_xlfn.STDEV.P(pima_data!$H$1:$H$768)</f>
        <v>-0.531022917675293</v>
      </c>
    </row>
    <row r="205" spans="1:8">
      <c r="A205" s="5">
        <f>(pima_data!A205-AVERAGE(pima_data!$A$1:$A$768))/_xlfn.STDEV.P(pima_data!$A$1:$A$768)</f>
        <v>0.639947260159362</v>
      </c>
      <c r="B205" s="5">
        <f>(pima_data!B205-AVERAGE(pima_data!$B$1:$B$768))/_xlfn.STDEV.P(pima_data!$B$1:$B$768)</f>
        <v>-0.560047745091101</v>
      </c>
      <c r="C205" s="5">
        <f>(pima_data!C205-AVERAGE(pima_data!$C$1:$C$768))/_xlfn.STDEV.P(pima_data!$C$1:$C$768)</f>
        <v>0.149640752628208</v>
      </c>
      <c r="D205" s="5">
        <f>(pima_data!D205-AVERAGE(pima_data!$D$1:$D$768))/_xlfn.STDEV.P(pima_data!$D$1:$D$768)</f>
        <v>0.719085741996565</v>
      </c>
      <c r="E205" s="5">
        <f>(pima_data!E205-AVERAGE(pima_data!$E$1:$E$768))/_xlfn.STDEV.P(pima_data!$E$1:$E$768)</f>
        <v>0.956859653030945</v>
      </c>
      <c r="F205" s="5">
        <f>(pima_data!F205-AVERAGE(pima_data!$F$1:$F$768))/_xlfn.STDEV.P(pima_data!$F$1:$F$768)</f>
        <v>0.724381677312328</v>
      </c>
      <c r="G205" s="5">
        <f>(pima_data!G205-AVERAGE(pima_data!$G$1:$G$768))/_xlfn.STDEV.P(pima_data!$G$1:$G$768)</f>
        <v>-0.446603981860209</v>
      </c>
      <c r="H205" s="5">
        <f>(pima_data!H205-AVERAGE(pima_data!$H$1:$H$768))/_xlfn.STDEV.P(pima_data!$H$1:$H$768)</f>
        <v>1.85143417009635</v>
      </c>
    </row>
    <row r="206" spans="1:8">
      <c r="A206" s="5">
        <f>(pima_data!A206-AVERAGE(pima_data!$A$1:$A$768))/_xlfn.STDEV.P(pima_data!$A$1:$A$768)</f>
        <v>0.342980797438884</v>
      </c>
      <c r="B206" s="5">
        <f>(pima_data!B206-AVERAGE(pima_data!$B$1:$B$768))/_xlfn.STDEV.P(pima_data!$B$1:$B$768)</f>
        <v>-0.309670582474516</v>
      </c>
      <c r="C206" s="5">
        <f>(pima_data!C206-AVERAGE(pima_data!$C$1:$C$768))/_xlfn.STDEV.P(pima_data!$C$1:$C$768)</f>
        <v>0.149640752628208</v>
      </c>
      <c r="D206" s="5">
        <f>(pima_data!D206-AVERAGE(pima_data!$D$1:$D$768))/_xlfn.STDEV.P(pima_data!$D$1:$D$768)</f>
        <v>0.468173497628841</v>
      </c>
      <c r="E206" s="5">
        <f>(pima_data!E206-AVERAGE(pima_data!$E$1:$E$768))/_xlfn.STDEV.P(pima_data!$E$1:$E$768)</f>
        <v>-0.692890572295466</v>
      </c>
      <c r="F206" s="5">
        <f>(pima_data!F206-AVERAGE(pima_data!$F$1:$F$768))/_xlfn.STDEV.P(pima_data!$F$1:$F$768)</f>
        <v>-1.02710390862223</v>
      </c>
      <c r="G206" s="5">
        <f>(pima_data!G206-AVERAGE(pima_data!$G$1:$G$768))/_xlfn.STDEV.P(pima_data!$G$1:$G$768)</f>
        <v>-0.195934131639662</v>
      </c>
      <c r="H206" s="5">
        <f>(pima_data!H206-AVERAGE(pima_data!$H$1:$H$768))/_xlfn.STDEV.P(pima_data!$H$1:$H$768)</f>
        <v>-0.531022917675293</v>
      </c>
    </row>
    <row r="207" spans="1:8">
      <c r="A207" s="5">
        <f>(pima_data!A207-AVERAGE(pima_data!$A$1:$A$768))/_xlfn.STDEV.P(pima_data!$A$1:$A$768)</f>
        <v>1.23388018560032</v>
      </c>
      <c r="B207" s="5">
        <f>(pima_data!B207-AVERAGE(pima_data!$B$1:$B$768))/_xlfn.STDEV.P(pima_data!$B$1:$B$768)</f>
        <v>2.3505867703267</v>
      </c>
      <c r="C207" s="5">
        <f>(pima_data!C207-AVERAGE(pima_data!$C$1:$C$768))/_xlfn.STDEV.P(pima_data!$C$1:$C$768)</f>
        <v>0.356431752211589</v>
      </c>
      <c r="D207" s="5">
        <f>(pima_data!D207-AVERAGE(pima_data!$D$1:$D$768))/_xlfn.STDEV.P(pima_data!$D$1:$D$768)</f>
        <v>0.530901558720772</v>
      </c>
      <c r="E207" s="5">
        <f>(pima_data!E207-AVERAGE(pima_data!$E$1:$E$768))/_xlfn.STDEV.P(pima_data!$E$1:$E$768)</f>
        <v>1.7383202860803</v>
      </c>
      <c r="F207" s="5">
        <f>(pima_data!F207-AVERAGE(pima_data!$F$1:$F$768))/_xlfn.STDEV.P(pima_data!$F$1:$F$768)</f>
        <v>0.698997828240812</v>
      </c>
      <c r="G207" s="5">
        <f>(pima_data!G207-AVERAGE(pima_data!$G$1:$G$768))/_xlfn.STDEV.P(pima_data!$G$1:$G$768)</f>
        <v>0.402049366476823</v>
      </c>
      <c r="H207" s="5">
        <f>(pima_data!H207-AVERAGE(pima_data!$H$1:$H$768))/_xlfn.STDEV.P(pima_data!$H$1:$H$768)</f>
        <v>2.02160967636576</v>
      </c>
    </row>
    <row r="208" spans="1:8">
      <c r="A208" s="5">
        <f>(pima_data!A208-AVERAGE(pima_data!$A$1:$A$768))/_xlfn.STDEV.P(pima_data!$A$1:$A$768)</f>
        <v>0.342980797438884</v>
      </c>
      <c r="B208" s="5">
        <f>(pima_data!B208-AVERAGE(pima_data!$B$1:$B$768))/_xlfn.STDEV.P(pima_data!$B$1:$B$768)</f>
        <v>1.28648382920621</v>
      </c>
      <c r="C208" s="5">
        <f>(pima_data!C208-AVERAGE(pima_data!$C$1:$C$768))/_xlfn.STDEV.P(pima_data!$C$1:$C$768)</f>
        <v>1.80396874929525</v>
      </c>
      <c r="D208" s="5">
        <f>(pima_data!D208-AVERAGE(pima_data!$D$1:$D$768))/_xlfn.STDEV.P(pima_data!$D$1:$D$768)</f>
        <v>-1.28821221294523</v>
      </c>
      <c r="E208" s="5">
        <f>(pima_data!E208-AVERAGE(pima_data!$E$1:$E$768))/_xlfn.STDEV.P(pima_data!$E$1:$E$768)</f>
        <v>-0.692890572295466</v>
      </c>
      <c r="F208" s="5">
        <f>(pima_data!F208-AVERAGE(pima_data!$F$1:$F$768))/_xlfn.STDEV.P(pima_data!$F$1:$F$768)</f>
        <v>0.724381677312328</v>
      </c>
      <c r="G208" s="5">
        <f>(pima_data!G208-AVERAGE(pima_data!$G$1:$G$768))/_xlfn.STDEV.P(pima_data!$G$1:$G$768)</f>
        <v>-0.969084513042796</v>
      </c>
      <c r="H208" s="5">
        <f>(pima_data!H208-AVERAGE(pima_data!$H$1:$H$768))/_xlfn.STDEV.P(pima_data!$H$1:$H$768)</f>
        <v>1.59617091069225</v>
      </c>
    </row>
    <row r="209" spans="1:8">
      <c r="A209" s="5">
        <f>(pima_data!A209-AVERAGE(pima_data!$A$1:$A$768))/_xlfn.STDEV.P(pima_data!$A$1:$A$768)</f>
        <v>-0.844885053443025</v>
      </c>
      <c r="B209" s="5">
        <f>(pima_data!B209-AVERAGE(pima_data!$B$1:$B$768))/_xlfn.STDEV.P(pima_data!$B$1:$B$768)</f>
        <v>-0.779127762380613</v>
      </c>
      <c r="C209" s="5">
        <f>(pima_data!C209-AVERAGE(pima_data!$C$1:$C$768))/_xlfn.STDEV.P(pima_data!$C$1:$C$768)</f>
        <v>-0.263941246538553</v>
      </c>
      <c r="D209" s="5">
        <f>(pima_data!D209-AVERAGE(pima_data!$D$1:$D$768))/_xlfn.STDEV.P(pima_data!$D$1:$D$768)</f>
        <v>0.40544543653691</v>
      </c>
      <c r="E209" s="5">
        <f>(pima_data!E209-AVERAGE(pima_data!$E$1:$E$768))/_xlfn.STDEV.P(pima_data!$E$1:$E$768)</f>
        <v>0.0625213729855746</v>
      </c>
      <c r="F209" s="5">
        <f>(pima_data!F209-AVERAGE(pima_data!$F$1:$F$768))/_xlfn.STDEV.P(pima_data!$F$1:$F$768)</f>
        <v>0.153245073203233</v>
      </c>
      <c r="G209" s="5">
        <f>(pima_data!G209-AVERAGE(pima_data!$G$1:$G$768))/_xlfn.STDEV.P(pima_data!$G$1:$G$768)</f>
        <v>-0.552308135567669</v>
      </c>
      <c r="H209" s="5">
        <f>(pima_data!H209-AVERAGE(pima_data!$H$1:$H$768))/_xlfn.STDEV.P(pima_data!$H$1:$H$768)</f>
        <v>-1.0415494364835</v>
      </c>
    </row>
    <row r="210" spans="1:8">
      <c r="A210" s="5">
        <f>(pima_data!A210-AVERAGE(pima_data!$A$1:$A$768))/_xlfn.STDEV.P(pima_data!$A$1:$A$768)</f>
        <v>0.936913722879839</v>
      </c>
      <c r="B210" s="5">
        <f>(pima_data!B210-AVERAGE(pima_data!$B$1:$B$768))/_xlfn.STDEV.P(pima_data!$B$1:$B$768)</f>
        <v>1.97502102640182</v>
      </c>
      <c r="C210" s="5">
        <f>(pima_data!C210-AVERAGE(pima_data!$C$1:$C$768))/_xlfn.STDEV.P(pima_data!$C$1:$C$768)</f>
        <v>0.77001375137835</v>
      </c>
      <c r="D210" s="5">
        <f>(pima_data!D210-AVERAGE(pima_data!$D$1:$D$768))/_xlfn.STDEV.P(pima_data!$D$1:$D$768)</f>
        <v>0.781813803088497</v>
      </c>
      <c r="E210" s="5">
        <f>(pima_data!E210-AVERAGE(pima_data!$E$1:$E$768))/_xlfn.STDEV.P(pima_data!$E$1:$E$768)</f>
        <v>-0.692890572295466</v>
      </c>
      <c r="F210" s="5">
        <f>(pima_data!F210-AVERAGE(pima_data!$F$1:$F$768))/_xlfn.STDEV.P(pima_data!$F$1:$F$768)</f>
        <v>0.445159337525659</v>
      </c>
      <c r="G210" s="5">
        <f>(pima_data!G210-AVERAGE(pima_data!$G$1:$G$768))/_xlfn.STDEV.P(pima_data!$G$1:$G$768)</f>
        <v>-0.352980302862174</v>
      </c>
      <c r="H210" s="5">
        <f>(pima_data!H210-AVERAGE(pima_data!$H$1:$H$768))/_xlfn.STDEV.P(pima_data!$H$1:$H$768)</f>
        <v>0.66020562621053</v>
      </c>
    </row>
    <row r="211" spans="1:8">
      <c r="A211" s="5">
        <f>(pima_data!A211-AVERAGE(pima_data!$A$1:$A$768))/_xlfn.STDEV.P(pima_data!$A$1:$A$768)</f>
        <v>-0.547918590722547</v>
      </c>
      <c r="B211" s="5">
        <f>(pima_data!B211-AVERAGE(pima_data!$B$1:$B$768))/_xlfn.STDEV.P(pima_data!$B$1:$B$768)</f>
        <v>-1.24858494228671</v>
      </c>
      <c r="C211" s="5">
        <f>(pima_data!C211-AVERAGE(pima_data!$C$1:$C$768))/_xlfn.STDEV.P(pima_data!$C$1:$C$768)</f>
        <v>-0.470732246121934</v>
      </c>
      <c r="D211" s="5">
        <f>(pima_data!D211-AVERAGE(pima_data!$D$1:$D$768))/_xlfn.STDEV.P(pima_data!$D$1:$D$768)</f>
        <v>0.0918051310772535</v>
      </c>
      <c r="E211" s="5">
        <f>(pima_data!E211-AVERAGE(pima_data!$E$1:$E$768))/_xlfn.STDEV.P(pima_data!$E$1:$E$768)</f>
        <v>-0.692890572295466</v>
      </c>
      <c r="F211" s="5">
        <f>(pima_data!F211-AVERAGE(pima_data!$F$1:$F$768))/_xlfn.STDEV.P(pima_data!$F$1:$F$768)</f>
        <v>-0.544810776263438</v>
      </c>
      <c r="G211" s="5">
        <f>(pima_data!G211-AVERAGE(pima_data!$G$1:$G$768))/_xlfn.STDEV.P(pima_data!$G$1:$G$768)</f>
        <v>-0.549288016890313</v>
      </c>
      <c r="H211" s="5">
        <f>(pima_data!H211-AVERAGE(pima_data!$H$1:$H$768))/_xlfn.STDEV.P(pima_data!$H$1:$H$768)</f>
        <v>-0.701198423944696</v>
      </c>
    </row>
    <row r="212" spans="1:8">
      <c r="A212" s="5">
        <f>(pima_data!A212-AVERAGE(pima_data!$A$1:$A$768))/_xlfn.STDEV.P(pima_data!$A$1:$A$768)</f>
        <v>-1.1418515161635</v>
      </c>
      <c r="B212" s="5">
        <f>(pima_data!B212-AVERAGE(pima_data!$B$1:$B$768))/_xlfn.STDEV.P(pima_data!$B$1:$B$768)</f>
        <v>0.817026649300115</v>
      </c>
      <c r="C212" s="5">
        <f>(pima_data!C212-AVERAGE(pima_data!$C$1:$C$768))/_xlfn.STDEV.P(pima_data!$C$1:$C$768)</f>
        <v>0.821711501274195</v>
      </c>
      <c r="D212" s="5">
        <f>(pima_data!D212-AVERAGE(pima_data!$D$1:$D$768))/_xlfn.STDEV.P(pima_data!$D$1:$D$768)</f>
        <v>2.09910308601905</v>
      </c>
      <c r="E212" s="5">
        <f>(pima_data!E212-AVERAGE(pima_data!$E$1:$E$768))/_xlfn.STDEV.P(pima_data!$E$1:$E$768)</f>
        <v>-0.692890572295466</v>
      </c>
      <c r="F212" s="5">
        <f>(pima_data!F212-AVERAGE(pima_data!$F$1:$F$768))/_xlfn.STDEV.P(pima_data!$F$1:$F$768)</f>
        <v>1.37166982863597</v>
      </c>
      <c r="G212" s="5">
        <f>(pima_data!G212-AVERAGE(pima_data!$G$1:$G$768))/_xlfn.STDEV.P(pima_data!$G$1:$G$768)</f>
        <v>-0.292577929315054</v>
      </c>
      <c r="H212" s="5">
        <f>(pima_data!H212-AVERAGE(pima_data!$H$1:$H$768))/_xlfn.STDEV.P(pima_data!$H$1:$H$768)</f>
        <v>-0.786286177079398</v>
      </c>
    </row>
    <row r="213" spans="1:8">
      <c r="A213" s="5">
        <f>(pima_data!A213-AVERAGE(pima_data!$A$1:$A$768))/_xlfn.STDEV.P(pima_data!$A$1:$A$768)</f>
        <v>0.936913722879839</v>
      </c>
      <c r="B213" s="5">
        <f>(pima_data!B213-AVERAGE(pima_data!$B$1:$B$768))/_xlfn.STDEV.P(pima_data!$B$1:$B$768)</f>
        <v>1.81853529976645</v>
      </c>
      <c r="C213" s="5">
        <f>(pima_data!C213-AVERAGE(pima_data!$C$1:$C$768))/_xlfn.STDEV.P(pima_data!$C$1:$C$768)</f>
        <v>1.33868900023265</v>
      </c>
      <c r="D213" s="5">
        <f>(pima_data!D213-AVERAGE(pima_data!$D$1:$D$768))/_xlfn.STDEV.P(pima_data!$D$1:$D$768)</f>
        <v>0.656357680904634</v>
      </c>
      <c r="E213" s="5">
        <f>(pima_data!E213-AVERAGE(pima_data!$E$1:$E$768))/_xlfn.STDEV.P(pima_data!$E$1:$E$768)</f>
        <v>-0.692890572295466</v>
      </c>
      <c r="F213" s="5">
        <f>(pima_data!F213-AVERAGE(pima_data!$F$1:$F$768))/_xlfn.STDEV.P(pima_data!$F$1:$F$768)</f>
        <v>0.28016431856081</v>
      </c>
      <c r="G213" s="5">
        <f>(pima_data!G213-AVERAGE(pima_data!$G$1:$G$768))/_xlfn.STDEV.P(pima_data!$G$1:$G$768)</f>
        <v>-0.929822970237168</v>
      </c>
      <c r="H213" s="5">
        <f>(pima_data!H213-AVERAGE(pima_data!$H$1:$H$768))/_xlfn.STDEV.P(pima_data!$H$1:$H$768)</f>
        <v>2.27687293576986</v>
      </c>
    </row>
    <row r="214" spans="1:8">
      <c r="A214" s="5">
        <f>(pima_data!A214-AVERAGE(pima_data!$A$1:$A$768))/_xlfn.STDEV.P(pima_data!$A$1:$A$768)</f>
        <v>-1.1418515161635</v>
      </c>
      <c r="B214" s="5">
        <f>(pima_data!B214-AVERAGE(pima_data!$B$1:$B$768))/_xlfn.STDEV.P(pima_data!$B$1:$B$768)</f>
        <v>0.597946632010604</v>
      </c>
      <c r="C214" s="5">
        <f>(pima_data!C214-AVERAGE(pima_data!$C$1:$C$768))/_xlfn.STDEV.P(pima_data!$C$1:$C$768)</f>
        <v>-0.212243496642708</v>
      </c>
      <c r="D214" s="5">
        <f>(pima_data!D214-AVERAGE(pima_data!$D$1:$D$768))/_xlfn.STDEV.P(pima_data!$D$1:$D$768)</f>
        <v>0.342717375444978</v>
      </c>
      <c r="E214" s="5">
        <f>(pima_data!E214-AVERAGE(pima_data!$E$1:$E$768))/_xlfn.STDEV.P(pima_data!$E$1:$E$768)</f>
        <v>0.43588589766471</v>
      </c>
      <c r="F214" s="5">
        <f>(pima_data!F214-AVERAGE(pima_data!$F$1:$F$768))/_xlfn.STDEV.P(pima_data!$F$1:$F$768)</f>
        <v>1.34628597956445</v>
      </c>
      <c r="G214" s="5">
        <f>(pima_data!G214-AVERAGE(pima_data!$G$1:$G$768))/_xlfn.STDEV.P(pima_data!$G$1:$G$768)</f>
        <v>-0.123451283383119</v>
      </c>
      <c r="H214" s="5">
        <f>(pima_data!H214-AVERAGE(pima_data!$H$1:$H$768))/_xlfn.STDEV.P(pima_data!$H$1:$H$768)</f>
        <v>-0.786286177079398</v>
      </c>
    </row>
    <row r="215" spans="1:8">
      <c r="A215" s="5">
        <f>(pima_data!A215-AVERAGE(pima_data!$A$1:$A$768))/_xlfn.STDEV.P(pima_data!$A$1:$A$768)</f>
        <v>1.53084664832079</v>
      </c>
      <c r="B215" s="5">
        <f>(pima_data!B215-AVERAGE(pima_data!$B$1:$B$768))/_xlfn.STDEV.P(pima_data!$B$1:$B$768)</f>
        <v>-0.278373437147443</v>
      </c>
      <c r="C215" s="5">
        <f>(pima_data!C215-AVERAGE(pima_data!$C$1:$C$768))/_xlfn.STDEV.P(pima_data!$C$1:$C$768)</f>
        <v>0.666618251586659</v>
      </c>
      <c r="D215" s="5">
        <f>(pima_data!D215-AVERAGE(pima_data!$D$1:$D$768))/_xlfn.STDEV.P(pima_data!$D$1:$D$768)</f>
        <v>0.719085741996565</v>
      </c>
      <c r="E215" s="5">
        <f>(pima_data!E215-AVERAGE(pima_data!$E$1:$E$768))/_xlfn.STDEV.P(pima_data!$E$1:$E$768)</f>
        <v>0.826616214189386</v>
      </c>
      <c r="F215" s="5">
        <f>(pima_data!F215-AVERAGE(pima_data!$F$1:$F$768))/_xlfn.STDEV.P(pima_data!$F$1:$F$768)</f>
        <v>0.28016431856081</v>
      </c>
      <c r="G215" s="5">
        <f>(pima_data!G215-AVERAGE(pima_data!$G$1:$G$768))/_xlfn.STDEV.P(pima_data!$G$1:$G$768)</f>
        <v>-0.639891577210993</v>
      </c>
      <c r="H215" s="5">
        <f>(pima_data!H215-AVERAGE(pima_data!$H$1:$H$768))/_xlfn.STDEV.P(pima_data!$H$1:$H$768)</f>
        <v>0.234766860537022</v>
      </c>
    </row>
    <row r="216" spans="1:8">
      <c r="A216" s="5">
        <f>(pima_data!A216-AVERAGE(pima_data!$A$1:$A$768))/_xlfn.STDEV.P(pima_data!$A$1:$A$768)</f>
        <v>2.42174603648223</v>
      </c>
      <c r="B216" s="5">
        <f>(pima_data!B216-AVERAGE(pima_data!$B$1:$B$768))/_xlfn.STDEV.P(pima_data!$B$1:$B$768)</f>
        <v>0.942215230608408</v>
      </c>
      <c r="C216" s="5">
        <f>(pima_data!C216-AVERAGE(pima_data!$C$1:$C$768))/_xlfn.STDEV.P(pima_data!$C$1:$C$768)</f>
        <v>0.0462452528365177</v>
      </c>
      <c r="D216" s="5">
        <f>(pima_data!D216-AVERAGE(pima_data!$D$1:$D$768))/_xlfn.STDEV.P(pima_data!$D$1:$D$768)</f>
        <v>1.22091023073201</v>
      </c>
      <c r="E216" s="5">
        <f>(pima_data!E216-AVERAGE(pima_data!$E$1:$E$768))/_xlfn.STDEV.P(pima_data!$E$1:$E$768)</f>
        <v>1.66017422277536</v>
      </c>
      <c r="F216" s="5">
        <f>(pima_data!F216-AVERAGE(pima_data!$F$1:$F$768))/_xlfn.STDEV.P(pima_data!$F$1:$F$768)</f>
        <v>1.24475058327839</v>
      </c>
      <c r="G216" s="5">
        <f>(pima_data!G216-AVERAGE(pima_data!$G$1:$G$768))/_xlfn.STDEV.P(pima_data!$G$1:$G$768)</f>
        <v>0.815805625274594</v>
      </c>
      <c r="H216" s="5">
        <f>(pima_data!H216-AVERAGE(pima_data!$H$1:$H$768))/_xlfn.STDEV.P(pima_data!$H$1:$H$768)</f>
        <v>0.404942366806425</v>
      </c>
    </row>
    <row r="217" spans="1:8">
      <c r="A217" s="5">
        <f>(pima_data!A217-AVERAGE(pima_data!$A$1:$A$768))/_xlfn.STDEV.P(pima_data!$A$1:$A$768)</f>
        <v>0.342980797438884</v>
      </c>
      <c r="B217" s="5">
        <f>(pima_data!B217-AVERAGE(pima_data!$B$1:$B$768))/_xlfn.STDEV.P(pima_data!$B$1:$B$768)</f>
        <v>-0.372264873128662</v>
      </c>
      <c r="C217" s="5">
        <f>(pima_data!C217-AVERAGE(pima_data!$C$1:$C$768))/_xlfn.STDEV.P(pima_data!$C$1:$C$768)</f>
        <v>-0.367336746330243</v>
      </c>
      <c r="D217" s="5">
        <f>(pima_data!D217-AVERAGE(pima_data!$D$1:$D$768))/_xlfn.STDEV.P(pima_data!$D$1:$D$768)</f>
        <v>1.28363829182395</v>
      </c>
      <c r="E217" s="5">
        <f>(pima_data!E217-AVERAGE(pima_data!$E$1:$E$768))/_xlfn.STDEV.P(pima_data!$E$1:$E$768)</f>
        <v>0.427203001741939</v>
      </c>
      <c r="F217" s="5">
        <f>(pima_data!F217-AVERAGE(pima_data!$F$1:$F$768))/_xlfn.STDEV.P(pima_data!$F$1:$F$768)</f>
        <v>0.483235111132932</v>
      </c>
      <c r="G217" s="5">
        <f>(pima_data!G217-AVERAGE(pima_data!$G$1:$G$768))/_xlfn.STDEV.P(pima_data!$G$1:$G$768)</f>
        <v>0.127218566837429</v>
      </c>
      <c r="H217" s="5">
        <f>(pima_data!H217-AVERAGE(pima_data!$H$1:$H$768))/_xlfn.STDEV.P(pima_data!$H$1:$H$768)</f>
        <v>-0.701198423944696</v>
      </c>
    </row>
    <row r="218" spans="1:8">
      <c r="A218" s="5">
        <f>(pima_data!A218-AVERAGE(pima_data!$A$1:$A$768))/_xlfn.STDEV.P(pima_data!$A$1:$A$768)</f>
        <v>0.639947260159362</v>
      </c>
      <c r="B218" s="5">
        <f>(pima_data!B218-AVERAGE(pima_data!$B$1:$B$768))/_xlfn.STDEV.P(pima_data!$B$1:$B$768)</f>
        <v>0.128489452104507</v>
      </c>
      <c r="C218" s="5">
        <f>(pima_data!C218-AVERAGE(pima_data!$C$1:$C$768))/_xlfn.STDEV.P(pima_data!$C$1:$C$768)</f>
        <v>-0.0571502469551726</v>
      </c>
      <c r="D218" s="5">
        <f>(pima_data!D218-AVERAGE(pima_data!$D$1:$D$768))/_xlfn.STDEV.P(pima_data!$D$1:$D$768)</f>
        <v>0.593629619812703</v>
      </c>
      <c r="E218" s="5">
        <f>(pima_data!E218-AVERAGE(pima_data!$E$1:$E$768))/_xlfn.STDEV.P(pima_data!$E$1:$E$768)</f>
        <v>0.349056938437004</v>
      </c>
      <c r="F218" s="5">
        <f>(pima_data!F218-AVERAGE(pima_data!$F$1:$F$768))/_xlfn.STDEV.P(pima_data!$F$1:$F$768)</f>
        <v>-0.252896511941012</v>
      </c>
      <c r="G218" s="5">
        <f>(pima_data!G218-AVERAGE(pima_data!$G$1:$G$768))/_xlfn.STDEV.P(pima_data!$G$1:$G$768)</f>
        <v>-0.0237873670303709</v>
      </c>
      <c r="H218" s="5">
        <f>(pima_data!H218-AVERAGE(pima_data!$H$1:$H$768))/_xlfn.STDEV.P(pima_data!$H$1:$H$768)</f>
        <v>-0.105584152001785</v>
      </c>
    </row>
    <row r="219" spans="1:8">
      <c r="A219" s="5">
        <f>(pima_data!A219-AVERAGE(pima_data!$A$1:$A$768))/_xlfn.STDEV.P(pima_data!$A$1:$A$768)</f>
        <v>0.342980797438884</v>
      </c>
      <c r="B219" s="5">
        <f>(pima_data!B219-AVERAGE(pima_data!$B$1:$B$768))/_xlfn.STDEV.P(pima_data!$B$1:$B$768)</f>
        <v>-1.12339636097842</v>
      </c>
      <c r="C219" s="5">
        <f>(pima_data!C219-AVERAGE(pima_data!$C$1:$C$768))/_xlfn.STDEV.P(pima_data!$C$1:$C$768)</f>
        <v>0.253036252419898</v>
      </c>
      <c r="D219" s="5">
        <f>(pima_data!D219-AVERAGE(pima_data!$D$1:$D$768))/_xlfn.STDEV.P(pima_data!$D$1:$D$768)</f>
        <v>0.0918051310772535</v>
      </c>
      <c r="E219" s="5">
        <f>(pima_data!E219-AVERAGE(pima_data!$E$1:$E$768))/_xlfn.STDEV.P(pima_data!$E$1:$E$768)</f>
        <v>-0.692890572295466</v>
      </c>
      <c r="F219" s="5">
        <f>(pima_data!F219-AVERAGE(pima_data!$F$1:$F$768))/_xlfn.STDEV.P(pima_data!$F$1:$F$768)</f>
        <v>-0.379815757298588</v>
      </c>
      <c r="G219" s="5">
        <f>(pima_data!G219-AVERAGE(pima_data!$G$1:$G$768))/_xlfn.STDEV.P(pima_data!$G$1:$G$768)</f>
        <v>2.27150282776018</v>
      </c>
      <c r="H219" s="5">
        <f>(pima_data!H219-AVERAGE(pima_data!$H$1:$H$768))/_xlfn.STDEV.P(pima_data!$H$1:$H$768)</f>
        <v>-0.105584152001785</v>
      </c>
    </row>
    <row r="220" spans="1:8">
      <c r="A220" s="5">
        <f>(pima_data!A220-AVERAGE(pima_data!$A$1:$A$768))/_xlfn.STDEV.P(pima_data!$A$1:$A$768)</f>
        <v>0.342980797438884</v>
      </c>
      <c r="B220" s="5">
        <f>(pima_data!B220-AVERAGE(pima_data!$B$1:$B$768))/_xlfn.STDEV.P(pima_data!$B$1:$B$768)</f>
        <v>-0.278373437147443</v>
      </c>
      <c r="C220" s="5">
        <f>(pima_data!C220-AVERAGE(pima_data!$C$1:$C$768))/_xlfn.STDEV.P(pima_data!$C$1:$C$768)</f>
        <v>-0.160545746746863</v>
      </c>
      <c r="D220" s="5">
        <f>(pima_data!D220-AVERAGE(pima_data!$D$1:$D$768))/_xlfn.STDEV.P(pima_data!$D$1:$D$768)</f>
        <v>-1.28821221294523</v>
      </c>
      <c r="E220" s="5">
        <f>(pima_data!E220-AVERAGE(pima_data!$E$1:$E$768))/_xlfn.STDEV.P(pima_data!$E$1:$E$768)</f>
        <v>-0.692890572295466</v>
      </c>
      <c r="F220" s="5">
        <f>(pima_data!F220-AVERAGE(pima_data!$F$1:$F$768))/_xlfn.STDEV.P(pima_data!$F$1:$F$768)</f>
        <v>0.737073601848085</v>
      </c>
      <c r="G220" s="5">
        <f>(pima_data!G220-AVERAGE(pima_data!$G$1:$G$768))/_xlfn.STDEV.P(pima_data!$G$1:$G$768)</f>
        <v>-0.636871458533637</v>
      </c>
      <c r="H220" s="5">
        <f>(pima_data!H220-AVERAGE(pima_data!$H$1:$H$768))/_xlfn.STDEV.P(pima_data!$H$1:$H$768)</f>
        <v>0.66020562621053</v>
      </c>
    </row>
    <row r="221" spans="1:8">
      <c r="A221" s="5">
        <f>(pima_data!A221-AVERAGE(pima_data!$A$1:$A$768))/_xlfn.STDEV.P(pima_data!$A$1:$A$768)</f>
        <v>-1.1418515161635</v>
      </c>
      <c r="B221" s="5">
        <f>(pima_data!B221-AVERAGE(pima_data!$B$1:$B$768))/_xlfn.STDEV.P(pima_data!$B$1:$B$768)</f>
        <v>1.75594100911231</v>
      </c>
      <c r="C221" s="5">
        <f>(pima_data!C221-AVERAGE(pima_data!$C$1:$C$768))/_xlfn.STDEV.P(pima_data!$C$1:$C$768)</f>
        <v>-0.470732246121934</v>
      </c>
      <c r="D221" s="5">
        <f>(pima_data!D221-AVERAGE(pima_data!$D$1:$D$768))/_xlfn.STDEV.P(pima_data!$D$1:$D$768)</f>
        <v>0.530901558720772</v>
      </c>
      <c r="E221" s="5">
        <f>(pima_data!E221-AVERAGE(pima_data!$E$1:$E$768))/_xlfn.STDEV.P(pima_data!$E$1:$E$768)</f>
        <v>3.45753367878887</v>
      </c>
      <c r="F221" s="5">
        <f>(pima_data!F221-AVERAGE(pima_data!$F$1:$F$768))/_xlfn.STDEV.P(pima_data!$F$1:$F$768)</f>
        <v>0.33093201670384</v>
      </c>
      <c r="G221" s="5">
        <f>(pima_data!G221-AVERAGE(pima_data!$G$1:$G$768))/_xlfn.STDEV.P(pima_data!$G$1:$G$768)</f>
        <v>1.81244478880207</v>
      </c>
      <c r="H221" s="5">
        <f>(pima_data!H221-AVERAGE(pima_data!$H$1:$H$768))/_xlfn.STDEV.P(pima_data!$H$1:$H$768)</f>
        <v>-1.0415494364835</v>
      </c>
    </row>
    <row r="222" spans="1:8">
      <c r="A222" s="5">
        <f>(pima_data!A222-AVERAGE(pima_data!$A$1:$A$768))/_xlfn.STDEV.P(pima_data!$A$1:$A$768)</f>
        <v>-0.547918590722547</v>
      </c>
      <c r="B222" s="5">
        <f>(pima_data!B222-AVERAGE(pima_data!$B$1:$B$768))/_xlfn.STDEV.P(pima_data!$B$1:$B$768)</f>
        <v>1.16129524789792</v>
      </c>
      <c r="C222" s="5">
        <f>(pima_data!C222-AVERAGE(pima_data!$C$1:$C$768))/_xlfn.STDEV.P(pima_data!$C$1:$C$768)</f>
        <v>1.08020025075342</v>
      </c>
      <c r="D222" s="5">
        <f>(pima_data!D222-AVERAGE(pima_data!$D$1:$D$768))/_xlfn.STDEV.P(pima_data!$D$1:$D$768)</f>
        <v>-1.28821221294523</v>
      </c>
      <c r="E222" s="5">
        <f>(pima_data!E222-AVERAGE(pima_data!$E$1:$E$768))/_xlfn.STDEV.P(pima_data!$E$1:$E$768)</f>
        <v>-0.692890572295466</v>
      </c>
      <c r="F222" s="5">
        <f>(pima_data!F222-AVERAGE(pima_data!$F$1:$F$768))/_xlfn.STDEV.P(pima_data!$F$1:$F$768)</f>
        <v>-0.0498257193688892</v>
      </c>
      <c r="G222" s="5">
        <f>(pima_data!G222-AVERAGE(pima_data!$G$1:$G$768))/_xlfn.STDEV.P(pima_data!$G$1:$G$768)</f>
        <v>1.00607310194802</v>
      </c>
      <c r="H222" s="5">
        <f>(pima_data!H222-AVERAGE(pima_data!$H$1:$H$768))/_xlfn.STDEV.P(pima_data!$H$1:$H$768)</f>
        <v>2.78739945457807</v>
      </c>
    </row>
    <row r="223" spans="1:8">
      <c r="A223" s="5">
        <f>(pima_data!A223-AVERAGE(pima_data!$A$1:$A$768))/_xlfn.STDEV.P(pima_data!$A$1:$A$768)</f>
        <v>0.936913722879839</v>
      </c>
      <c r="B223" s="5">
        <f>(pima_data!B223-AVERAGE(pima_data!$B$1:$B$768))/_xlfn.STDEV.P(pima_data!$B$1:$B$768)</f>
        <v>-0.0592934198579315</v>
      </c>
      <c r="C223" s="5">
        <f>(pima_data!C223-AVERAGE(pima_data!$C$1:$C$768))/_xlfn.STDEV.P(pima_data!$C$1:$C$768)</f>
        <v>-3.57259723987264</v>
      </c>
      <c r="D223" s="5">
        <f>(pima_data!D223-AVERAGE(pima_data!$D$1:$D$768))/_xlfn.STDEV.P(pima_data!$D$1:$D$768)</f>
        <v>-1.28821221294523</v>
      </c>
      <c r="E223" s="5">
        <f>(pima_data!E223-AVERAGE(pima_data!$E$1:$E$768))/_xlfn.STDEV.P(pima_data!$E$1:$E$768)</f>
        <v>-0.692890572295466</v>
      </c>
      <c r="F223" s="5">
        <f>(pima_data!F223-AVERAGE(pima_data!$F$1:$F$768))/_xlfn.STDEV.P(pima_data!$F$1:$F$768)</f>
        <v>-0.862108889657379</v>
      </c>
      <c r="G223" s="5">
        <f>(pima_data!G223-AVERAGE(pima_data!$G$1:$G$768))/_xlfn.STDEV.P(pima_data!$G$1:$G$768)</f>
        <v>-0.793917629756148</v>
      </c>
      <c r="H223" s="5">
        <f>(pima_data!H223-AVERAGE(pima_data!$H$1:$H$768))/_xlfn.STDEV.P(pima_data!$H$1:$H$768)</f>
        <v>0.319854613671724</v>
      </c>
    </row>
    <row r="224" spans="1:8">
      <c r="A224" s="5">
        <f>(pima_data!A224-AVERAGE(pima_data!$A$1:$A$768))/_xlfn.STDEV.P(pima_data!$A$1:$A$768)</f>
        <v>0.936913722879839</v>
      </c>
      <c r="B224" s="5">
        <f>(pima_data!B224-AVERAGE(pima_data!$B$1:$B$768))/_xlfn.STDEV.P(pima_data!$B$1:$B$768)</f>
        <v>0.66054092266475</v>
      </c>
      <c r="C224" s="5">
        <f>(pima_data!C224-AVERAGE(pima_data!$C$1:$C$768))/_xlfn.STDEV.P(pima_data!$C$1:$C$768)</f>
        <v>-0.470732246121934</v>
      </c>
      <c r="D224" s="5">
        <f>(pima_data!D224-AVERAGE(pima_data!$D$1:$D$768))/_xlfn.STDEV.P(pima_data!$D$1:$D$768)</f>
        <v>0.781813803088497</v>
      </c>
      <c r="E224" s="5">
        <f>(pima_data!E224-AVERAGE(pima_data!$E$1:$E$768))/_xlfn.STDEV.P(pima_data!$E$1:$E$768)</f>
        <v>0.956859653030945</v>
      </c>
      <c r="F224" s="5">
        <f>(pima_data!F224-AVERAGE(pima_data!$F$1:$F$768))/_xlfn.STDEV.P(pima_data!$F$1:$F$768)</f>
        <v>-0.405199606370104</v>
      </c>
      <c r="G224" s="5">
        <f>(pima_data!G224-AVERAGE(pima_data!$G$1:$G$768))/_xlfn.STDEV.P(pima_data!$G$1:$G$768)</f>
        <v>0.649699098020015</v>
      </c>
      <c r="H224" s="5">
        <f>(pima_data!H224-AVERAGE(pima_data!$H$1:$H$768))/_xlfn.STDEV.P(pima_data!$H$1:$H$768)</f>
        <v>2.36196068890456</v>
      </c>
    </row>
    <row r="225" spans="1:8">
      <c r="A225" s="5">
        <f>(pima_data!A225-AVERAGE(pima_data!$A$1:$A$768))/_xlfn.STDEV.P(pima_data!$A$1:$A$768)</f>
        <v>-0.844885053443025</v>
      </c>
      <c r="B225" s="5">
        <f>(pima_data!B225-AVERAGE(pima_data!$B$1:$B$768))/_xlfn.STDEV.P(pima_data!$B$1:$B$768)</f>
        <v>-0.65393918107232</v>
      </c>
      <c r="C225" s="5">
        <f>(pima_data!C225-AVERAGE(pima_data!$C$1:$C$768))/_xlfn.STDEV.P(pima_data!$C$1:$C$768)</f>
        <v>-0.160545746746863</v>
      </c>
      <c r="D225" s="5">
        <f>(pima_data!D225-AVERAGE(pima_data!$D$1:$D$768))/_xlfn.STDEV.P(pima_data!$D$1:$D$768)</f>
        <v>-0.347291296566265</v>
      </c>
      <c r="E225" s="5">
        <f>(pima_data!E225-AVERAGE(pima_data!$E$1:$E$768))/_xlfn.STDEV.P(pima_data!$E$1:$E$768)</f>
        <v>-0.206648400620314</v>
      </c>
      <c r="F225" s="5">
        <f>(pima_data!F225-AVERAGE(pima_data!$F$1:$F$768))/_xlfn.STDEV.P(pima_data!$F$1:$F$768)</f>
        <v>-1.0651796822295</v>
      </c>
      <c r="G225" s="5">
        <f>(pima_data!G225-AVERAGE(pima_data!$G$1:$G$768))/_xlfn.STDEV.P(pima_data!$G$1:$G$768)</f>
        <v>0.586276605795539</v>
      </c>
      <c r="H225" s="5">
        <f>(pima_data!H225-AVERAGE(pima_data!$H$1:$H$768))/_xlfn.STDEV.P(pima_data!$H$1:$H$768)</f>
        <v>-0.616110670809994</v>
      </c>
    </row>
    <row r="226" spans="1:8">
      <c r="A226" s="5">
        <f>(pima_data!A226-AVERAGE(pima_data!$A$1:$A$768))/_xlfn.STDEV.P(pima_data!$A$1:$A$768)</f>
        <v>-0.844885053443025</v>
      </c>
      <c r="B226" s="5">
        <f>(pima_data!B226-AVERAGE(pima_data!$B$1:$B$768))/_xlfn.STDEV.P(pima_data!$B$1:$B$768)</f>
        <v>-1.06080207032427</v>
      </c>
      <c r="C226" s="5">
        <f>(pima_data!C226-AVERAGE(pima_data!$C$1:$C$768))/_xlfn.STDEV.P(pima_data!$C$1:$C$768)</f>
        <v>0.459827252003279</v>
      </c>
      <c r="D226" s="5">
        <f>(pima_data!D226-AVERAGE(pima_data!$D$1:$D$768))/_xlfn.STDEV.P(pima_data!$D$1:$D$768)</f>
        <v>0.40544543653691</v>
      </c>
      <c r="E226" s="5">
        <f>(pima_data!E226-AVERAGE(pima_data!$E$1:$E$768))/_xlfn.STDEV.P(pima_data!$E$1:$E$768)</f>
        <v>-0.415037902766808</v>
      </c>
      <c r="F226" s="5">
        <f>(pima_data!F226-AVERAGE(pima_data!$F$1:$F$768))/_xlfn.STDEV.P(pima_data!$F$1:$F$768)</f>
        <v>0.33093201670384</v>
      </c>
      <c r="G226" s="5">
        <f>(pima_data!G226-AVERAGE(pima_data!$G$1:$G$768))/_xlfn.STDEV.P(pima_data!$G$1:$G$768)</f>
        <v>-1.12009044691059</v>
      </c>
      <c r="H226" s="5">
        <f>(pima_data!H226-AVERAGE(pima_data!$H$1:$H$768))/_xlfn.STDEV.P(pima_data!$H$1:$H$768)</f>
        <v>-0.956461683348801</v>
      </c>
    </row>
    <row r="227" spans="1:8">
      <c r="A227" s="5">
        <f>(pima_data!A227-AVERAGE(pima_data!$A$1:$A$768))/_xlfn.STDEV.P(pima_data!$A$1:$A$768)</f>
        <v>-1.1418515161635</v>
      </c>
      <c r="B227" s="5">
        <f>(pima_data!B227-AVERAGE(pima_data!$B$1:$B$768))/_xlfn.STDEV.P(pima_data!$B$1:$B$768)</f>
        <v>-0.622642035745247</v>
      </c>
      <c r="C227" s="5">
        <f>(pima_data!C227-AVERAGE(pima_data!$C$1:$C$768))/_xlfn.STDEV.P(pima_data!$C$1:$C$768)</f>
        <v>0.356431752211589</v>
      </c>
      <c r="D227" s="5">
        <f>(pima_data!D227-AVERAGE(pima_data!$D$1:$D$768))/_xlfn.STDEV.P(pima_data!$D$1:$D$768)</f>
        <v>-1.28821221294523</v>
      </c>
      <c r="E227" s="5">
        <f>(pima_data!E227-AVERAGE(pima_data!$E$1:$E$768))/_xlfn.STDEV.P(pima_data!$E$1:$E$768)</f>
        <v>-0.692890572295466</v>
      </c>
      <c r="F227" s="5">
        <f>(pima_data!F227-AVERAGE(pima_data!$F$1:$F$768))/_xlfn.STDEV.P(pima_data!$F$1:$F$768)</f>
        <v>0.470543186597175</v>
      </c>
      <c r="G227" s="5">
        <f>(pima_data!G227-AVERAGE(pima_data!$G$1:$G$768))/_xlfn.STDEV.P(pima_data!$G$1:$G$768)</f>
        <v>-0.827138935207064</v>
      </c>
      <c r="H227" s="5">
        <f>(pima_data!H227-AVERAGE(pima_data!$H$1:$H$768))/_xlfn.STDEV.P(pima_data!$H$1:$H$768)</f>
        <v>-0.616110670809994</v>
      </c>
    </row>
    <row r="228" spans="1:8">
      <c r="A228" s="5">
        <f>(pima_data!A228-AVERAGE(pima_data!$A$1:$A$768))/_xlfn.STDEV.P(pima_data!$A$1:$A$768)</f>
        <v>-0.25095212800207</v>
      </c>
      <c r="B228" s="5">
        <f>(pima_data!B228-AVERAGE(pima_data!$B$1:$B$768))/_xlfn.STDEV.P(pima_data!$B$1:$B$768)</f>
        <v>1.28648382920621</v>
      </c>
      <c r="C228" s="5">
        <f>(pima_data!C228-AVERAGE(pima_data!$C$1:$C$768))/_xlfn.STDEV.P(pima_data!$C$1:$C$768)</f>
        <v>-0.884314245288695</v>
      </c>
      <c r="D228" s="5">
        <f>(pima_data!D228-AVERAGE(pima_data!$D$1:$D$768))/_xlfn.STDEV.P(pima_data!$D$1:$D$768)</f>
        <v>1.09545410854815</v>
      </c>
      <c r="E228" s="5">
        <f>(pima_data!E228-AVERAGE(pima_data!$E$1:$E$768))/_xlfn.STDEV.P(pima_data!$E$1:$E$768)</f>
        <v>-0.692890572295466</v>
      </c>
      <c r="F228" s="5">
        <f>(pima_data!F228-AVERAGE(pima_data!$F$1:$F$768))/_xlfn.STDEV.P(pima_data!$F$1:$F$768)</f>
        <v>0.66092205463354</v>
      </c>
      <c r="G228" s="5">
        <f>(pima_data!G228-AVERAGE(pima_data!$G$1:$G$768))/_xlfn.STDEV.P(pima_data!$G$1:$G$768)</f>
        <v>0.543994944312555</v>
      </c>
      <c r="H228" s="5">
        <f>(pima_data!H228-AVERAGE(pima_data!$H$1:$H$768))/_xlfn.STDEV.P(pima_data!$H$1:$H$768)</f>
        <v>-0.786286177079398</v>
      </c>
    </row>
    <row r="229" spans="1:8">
      <c r="A229" s="5">
        <f>(pima_data!A229-AVERAGE(pima_data!$A$1:$A$768))/_xlfn.STDEV.P(pima_data!$A$1:$A$768)</f>
        <v>0.0460143347184072</v>
      </c>
      <c r="B229" s="5">
        <f>(pima_data!B229-AVERAGE(pima_data!$B$1:$B$768))/_xlfn.STDEV.P(pima_data!$B$1:$B$768)</f>
        <v>2.38188391565377</v>
      </c>
      <c r="C229" s="5">
        <f>(pima_data!C229-AVERAGE(pima_data!$C$1:$C$768))/_xlfn.STDEV.P(pima_data!$C$1:$C$768)</f>
        <v>0.0462452528365177</v>
      </c>
      <c r="D229" s="5">
        <f>(pima_data!D229-AVERAGE(pima_data!$D$1:$D$768))/_xlfn.STDEV.P(pima_data!$D$1:$D$768)</f>
        <v>1.15818216964008</v>
      </c>
      <c r="E229" s="5">
        <f>(pima_data!E229-AVERAGE(pima_data!$E$1:$E$768))/_xlfn.STDEV.P(pima_data!$E$1:$E$768)</f>
        <v>5.76718399424585</v>
      </c>
      <c r="F229" s="5">
        <f>(pima_data!F229-AVERAGE(pima_data!$F$1:$F$768))/_xlfn.STDEV.P(pima_data!$F$1:$F$768)</f>
        <v>0.597462431954751</v>
      </c>
      <c r="G229" s="5">
        <f>(pima_data!G229-AVERAGE(pima_data!$G$1:$G$768))/_xlfn.STDEV.P(pima_data!$G$1:$G$768)</f>
        <v>5.60873396623855</v>
      </c>
      <c r="H229" s="5">
        <f>(pima_data!H229-AVERAGE(pima_data!$H$1:$H$768))/_xlfn.STDEV.P(pima_data!$H$1:$H$768)</f>
        <v>-0.190671905136486</v>
      </c>
    </row>
    <row r="230" spans="1:8">
      <c r="A230" s="5">
        <f>(pima_data!A230-AVERAGE(pima_data!$A$1:$A$768))/_xlfn.STDEV.P(pima_data!$A$1:$A$768)</f>
        <v>-1.1418515161635</v>
      </c>
      <c r="B230" s="5">
        <f>(pima_data!B230-AVERAGE(pima_data!$B$1:$B$768))/_xlfn.STDEV.P(pima_data!$B$1:$B$768)</f>
        <v>-0.121887710512078</v>
      </c>
      <c r="C230" s="5">
        <f>(pima_data!C230-AVERAGE(pima_data!$C$1:$C$768))/_xlfn.STDEV.P(pima_data!$C$1:$C$768)</f>
        <v>0.563222751794969</v>
      </c>
      <c r="D230" s="5">
        <f>(pima_data!D230-AVERAGE(pima_data!$D$1:$D$768))/_xlfn.STDEV.P(pima_data!$D$1:$D$768)</f>
        <v>0.656357680904634</v>
      </c>
      <c r="E230" s="5">
        <f>(pima_data!E230-AVERAGE(pima_data!$E$1:$E$768))/_xlfn.STDEV.P(pima_data!$E$1:$E$768)</f>
        <v>-0.232697088388625</v>
      </c>
      <c r="F230" s="5">
        <f>(pima_data!F230-AVERAGE(pima_data!$F$1:$F$768))/_xlfn.STDEV.P(pima_data!$F$1:$F$768)</f>
        <v>1.67627601749415</v>
      </c>
      <c r="G230" s="5">
        <f>(pima_data!G230-AVERAGE(pima_data!$G$1:$G$768))/_xlfn.STDEV.P(pima_data!$G$1:$G$768)</f>
        <v>-1.15633187103887</v>
      </c>
      <c r="H230" s="5">
        <f>(pima_data!H230-AVERAGE(pima_data!$H$1:$H$768))/_xlfn.STDEV.P(pima_data!$H$1:$H$768)</f>
        <v>-0.786286177079398</v>
      </c>
    </row>
    <row r="231" spans="1:8">
      <c r="A231" s="5">
        <f>(pima_data!A231-AVERAGE(pima_data!$A$1:$A$768))/_xlfn.STDEV.P(pima_data!$A$1:$A$768)</f>
        <v>0.0460143347184072</v>
      </c>
      <c r="B231" s="5">
        <f>(pima_data!B231-AVERAGE(pima_data!$B$1:$B$768))/_xlfn.STDEV.P(pima_data!$B$1:$B$768)</f>
        <v>0.66054092266475</v>
      </c>
      <c r="C231" s="5">
        <f>(pima_data!C231-AVERAGE(pima_data!$C$1:$C$768))/_xlfn.STDEV.P(pima_data!$C$1:$C$768)</f>
        <v>0.87340925117004</v>
      </c>
      <c r="D231" s="5">
        <f>(pima_data!D231-AVERAGE(pima_data!$D$1:$D$768))/_xlfn.STDEV.P(pima_data!$D$1:$D$768)</f>
        <v>-1.28821221294523</v>
      </c>
      <c r="E231" s="5">
        <f>(pima_data!E231-AVERAGE(pima_data!$E$1:$E$768))/_xlfn.STDEV.P(pima_data!$E$1:$E$768)</f>
        <v>-0.692890572295466</v>
      </c>
      <c r="F231" s="5">
        <f>(pima_data!F231-AVERAGE(pima_data!$F$1:$F$768))/_xlfn.STDEV.P(pima_data!$F$1:$F$768)</f>
        <v>1.52397292306506</v>
      </c>
      <c r="G231" s="5">
        <f>(pima_data!G231-AVERAGE(pima_data!$G$1:$G$768))/_xlfn.STDEV.P(pima_data!$G$1:$G$768)</f>
        <v>0.522854113571063</v>
      </c>
      <c r="H231" s="5">
        <f>(pima_data!H231-AVERAGE(pima_data!$H$1:$H$768))/_xlfn.STDEV.P(pima_data!$H$1:$H$768)</f>
        <v>-0.956461683348801</v>
      </c>
    </row>
    <row r="232" spans="1:8">
      <c r="A232" s="5">
        <f>(pima_data!A232-AVERAGE(pima_data!$A$1:$A$768))/_xlfn.STDEV.P(pima_data!$A$1:$A$768)</f>
        <v>0.639947260159362</v>
      </c>
      <c r="B232" s="5">
        <f>(pima_data!B232-AVERAGE(pima_data!$B$1:$B$768))/_xlfn.STDEV.P(pima_data!$B$1:$B$768)</f>
        <v>0.410163760048165</v>
      </c>
      <c r="C232" s="5">
        <f>(pima_data!C232-AVERAGE(pima_data!$C$1:$C$768))/_xlfn.STDEV.P(pima_data!$C$1:$C$768)</f>
        <v>0.563222751794969</v>
      </c>
      <c r="D232" s="5">
        <f>(pima_data!D232-AVERAGE(pima_data!$D$1:$D$768))/_xlfn.STDEV.P(pima_data!$D$1:$D$768)</f>
        <v>1.03272604745622</v>
      </c>
      <c r="E232" s="5">
        <f>(pima_data!E232-AVERAGE(pima_data!$E$1:$E$768))/_xlfn.STDEV.P(pima_data!$E$1:$E$768)</f>
        <v>2.51978091912965</v>
      </c>
      <c r="F232" s="5">
        <f>(pima_data!F232-AVERAGE(pima_data!$F$1:$F$768))/_xlfn.STDEV.P(pima_data!$F$1:$F$768)</f>
        <v>1.80319526285173</v>
      </c>
      <c r="G232" s="5">
        <f>(pima_data!G232-AVERAGE(pima_data!$G$1:$G$768))/_xlfn.STDEV.P(pima_data!$G$1:$G$768)</f>
        <v>-0.706334188112825</v>
      </c>
      <c r="H232" s="5">
        <f>(pima_data!H232-AVERAGE(pima_data!$H$1:$H$768))/_xlfn.STDEV.P(pima_data!$H$1:$H$768)</f>
        <v>1.08564439188404</v>
      </c>
    </row>
    <row r="233" spans="1:8">
      <c r="A233" s="5">
        <f>(pima_data!A233-AVERAGE(pima_data!$A$1:$A$768))/_xlfn.STDEV.P(pima_data!$A$1:$A$768)</f>
        <v>-0.844885053443025</v>
      </c>
      <c r="B233" s="5">
        <f>(pima_data!B233-AVERAGE(pima_data!$B$1:$B$768))/_xlfn.STDEV.P(pima_data!$B$1:$B$768)</f>
        <v>-1.31117923294086</v>
      </c>
      <c r="C233" s="5">
        <f>(pima_data!C233-AVERAGE(pima_data!$C$1:$C$768))/_xlfn.STDEV.P(pima_data!$C$1:$C$768)</f>
        <v>0.563222751794969</v>
      </c>
      <c r="D233" s="5">
        <f>(pima_data!D233-AVERAGE(pima_data!$D$1:$D$768))/_xlfn.STDEV.P(pima_data!$D$1:$D$768)</f>
        <v>0.279989314353047</v>
      </c>
      <c r="E233" s="5">
        <f>(pima_data!E233-AVERAGE(pima_data!$E$1:$E$768))/_xlfn.STDEV.P(pima_data!$E$1:$E$768)</f>
        <v>-0.371623423152955</v>
      </c>
      <c r="F233" s="5">
        <f>(pima_data!F233-AVERAGE(pima_data!$F$1:$F$768))/_xlfn.STDEV.P(pima_data!$F$1:$F$768)</f>
        <v>-0.836725040585864</v>
      </c>
      <c r="G233" s="5">
        <f>(pima_data!G233-AVERAGE(pima_data!$G$1:$G$768))/_xlfn.STDEV.P(pima_data!$G$1:$G$768)</f>
        <v>0.335606755574992</v>
      </c>
      <c r="H233" s="5">
        <f>(pima_data!H233-AVERAGE(pima_data!$H$1:$H$768))/_xlfn.STDEV.P(pima_data!$H$1:$H$768)</f>
        <v>-0.956461683348801</v>
      </c>
    </row>
    <row r="234" spans="1:8">
      <c r="A234" s="5">
        <f>(pima_data!A234-AVERAGE(pima_data!$A$1:$A$768))/_xlfn.STDEV.P(pima_data!$A$1:$A$768)</f>
        <v>0.0460143347184072</v>
      </c>
      <c r="B234" s="5">
        <f>(pima_data!B234-AVERAGE(pima_data!$B$1:$B$768))/_xlfn.STDEV.P(pima_data!$B$1:$B$768)</f>
        <v>0.0345980161232878</v>
      </c>
      <c r="C234" s="5">
        <f>(pima_data!C234-AVERAGE(pima_data!$C$1:$C$768))/_xlfn.STDEV.P(pima_data!$C$1:$C$768)</f>
        <v>-0.0571502469551726</v>
      </c>
      <c r="D234" s="5">
        <f>(pima_data!D234-AVERAGE(pima_data!$D$1:$D$768))/_xlfn.STDEV.P(pima_data!$D$1:$D$768)</f>
        <v>-1.28821221294523</v>
      </c>
      <c r="E234" s="5">
        <f>(pima_data!E234-AVERAGE(pima_data!$E$1:$E$768))/_xlfn.STDEV.P(pima_data!$E$1:$E$768)</f>
        <v>-0.692890572295466</v>
      </c>
      <c r="F234" s="5">
        <f>(pima_data!F234-AVERAGE(pima_data!$F$1:$F$768))/_xlfn.STDEV.P(pima_data!$F$1:$F$768)</f>
        <v>0.381699714846871</v>
      </c>
      <c r="G234" s="5">
        <f>(pima_data!G234-AVERAGE(pima_data!$G$1:$G$768))/_xlfn.STDEV.P(pima_data!$G$1:$G$768)</f>
        <v>-0.23519567444529</v>
      </c>
      <c r="H234" s="5">
        <f>(pima_data!H234-AVERAGE(pima_data!$H$1:$H$768))/_xlfn.STDEV.P(pima_data!$H$1:$H$768)</f>
        <v>-0.360847411405889</v>
      </c>
    </row>
    <row r="235" spans="1:8">
      <c r="A235" s="5">
        <f>(pima_data!A235-AVERAGE(pima_data!$A$1:$A$768))/_xlfn.STDEV.P(pima_data!$A$1:$A$768)</f>
        <v>-0.25095212800207</v>
      </c>
      <c r="B235" s="5">
        <f>(pima_data!B235-AVERAGE(pima_data!$B$1:$B$768))/_xlfn.STDEV.P(pima_data!$B$1:$B$768)</f>
        <v>-1.46766495957622</v>
      </c>
      <c r="C235" s="5">
        <f>(pima_data!C235-AVERAGE(pima_data!$C$1:$C$768))/_xlfn.STDEV.P(pima_data!$C$1:$C$768)</f>
        <v>-0.0571502469551726</v>
      </c>
      <c r="D235" s="5">
        <f>(pima_data!D235-AVERAGE(pima_data!$D$1:$D$768))/_xlfn.STDEV.P(pima_data!$D$1:$D$768)</f>
        <v>0.468173497628841</v>
      </c>
      <c r="E235" s="5">
        <f>(pima_data!E235-AVERAGE(pima_data!$E$1:$E$768))/_xlfn.STDEV.P(pima_data!$E$1:$E$768)</f>
        <v>-0.30216025577079</v>
      </c>
      <c r="F235" s="5">
        <f>(pima_data!F235-AVERAGE(pima_data!$F$1:$F$768))/_xlfn.STDEV.P(pima_data!$F$1:$F$768)</f>
        <v>-0.290972285548285</v>
      </c>
      <c r="G235" s="5">
        <f>(pima_data!G235-AVERAGE(pima_data!$G$1:$G$768))/_xlfn.STDEV.P(pima_data!$G$1:$G$768)</f>
        <v>-0.540227660858245</v>
      </c>
      <c r="H235" s="5">
        <f>(pima_data!H235-AVERAGE(pima_data!$H$1:$H$768))/_xlfn.STDEV.P(pima_data!$H$1:$H$768)</f>
        <v>-0.871373930214099</v>
      </c>
    </row>
    <row r="236" spans="1:8">
      <c r="A236" s="5">
        <f>(pima_data!A236-AVERAGE(pima_data!$A$1:$A$768))/_xlfn.STDEV.P(pima_data!$A$1:$A$768)</f>
        <v>0.0460143347184072</v>
      </c>
      <c r="B236" s="5">
        <f>(pima_data!B236-AVERAGE(pima_data!$B$1:$B$768))/_xlfn.STDEV.P(pima_data!$B$1:$B$768)</f>
        <v>1.56815813714987</v>
      </c>
      <c r="C236" s="5">
        <f>(pima_data!C236-AVERAGE(pima_data!$C$1:$C$768))/_xlfn.STDEV.P(pima_data!$C$1:$C$768)</f>
        <v>0.149640752628208</v>
      </c>
      <c r="D236" s="5">
        <f>(pima_data!D236-AVERAGE(pima_data!$D$1:$D$768))/_xlfn.STDEV.P(pima_data!$D$1:$D$768)</f>
        <v>-1.28821221294523</v>
      </c>
      <c r="E236" s="5">
        <f>(pima_data!E236-AVERAGE(pima_data!$E$1:$E$768))/_xlfn.STDEV.P(pima_data!$E$1:$E$768)</f>
        <v>-0.692890572295466</v>
      </c>
      <c r="F236" s="5">
        <f>(pima_data!F236-AVERAGE(pima_data!$F$1:$F$768))/_xlfn.STDEV.P(pima_data!$F$1:$F$768)</f>
        <v>1.47320522492203</v>
      </c>
      <c r="G236" s="5">
        <f>(pima_data!G236-AVERAGE(pima_data!$G$1:$G$768))/_xlfn.STDEV.P(pima_data!$G$1:$G$768)</f>
        <v>0.0215144131299688</v>
      </c>
      <c r="H236" s="5">
        <f>(pima_data!H236-AVERAGE(pima_data!$H$1:$H$768))/_xlfn.STDEV.P(pima_data!$H$1:$H$768)</f>
        <v>-0.616110670809994</v>
      </c>
    </row>
    <row r="237" spans="1:8">
      <c r="A237" s="5">
        <f>(pima_data!A237-AVERAGE(pima_data!$A$1:$A$768))/_xlfn.STDEV.P(pima_data!$A$1:$A$768)</f>
        <v>0.936913722879839</v>
      </c>
      <c r="B237" s="5">
        <f>(pima_data!B237-AVERAGE(pima_data!$B$1:$B$768))/_xlfn.STDEV.P(pima_data!$B$1:$B$768)</f>
        <v>1.8811295904206</v>
      </c>
      <c r="C237" s="5">
        <f>(pima_data!C237-AVERAGE(pima_data!$C$1:$C$768))/_xlfn.STDEV.P(pima_data!$C$1:$C$768)</f>
        <v>0.77001375137835</v>
      </c>
      <c r="D237" s="5">
        <f>(pima_data!D237-AVERAGE(pima_data!$D$1:$D$768))/_xlfn.STDEV.P(pima_data!$D$1:$D$768)</f>
        <v>0.0290770699853223</v>
      </c>
      <c r="E237" s="5">
        <f>(pima_data!E237-AVERAGE(pima_data!$E$1:$E$768))/_xlfn.STDEV.P(pima_data!$E$1:$E$768)</f>
        <v>0.974225444876486</v>
      </c>
      <c r="F237" s="5">
        <f>(pima_data!F237-AVERAGE(pima_data!$F$1:$F$768))/_xlfn.STDEV.P(pima_data!$F$1:$F$768)</f>
        <v>0.49592703566869</v>
      </c>
      <c r="G237" s="5">
        <f>(pima_data!G237-AVERAGE(pima_data!$G$1:$G$768))/_xlfn.STDEV.P(pima_data!$G$1:$G$768)</f>
        <v>0.34466711160706</v>
      </c>
      <c r="H237" s="5">
        <f>(pima_data!H237-AVERAGE(pima_data!$H$1:$H$768))/_xlfn.STDEV.P(pima_data!$H$1:$H$768)</f>
        <v>1.51108315755755</v>
      </c>
    </row>
    <row r="238" spans="1:8">
      <c r="A238" s="5">
        <f>(pima_data!A238-AVERAGE(pima_data!$A$1:$A$768))/_xlfn.STDEV.P(pima_data!$A$1:$A$768)</f>
        <v>-1.1418515161635</v>
      </c>
      <c r="B238" s="5">
        <f>(pima_data!B238-AVERAGE(pima_data!$B$1:$B$768))/_xlfn.STDEV.P(pima_data!$B$1:$B$768)</f>
        <v>1.81853529976645</v>
      </c>
      <c r="C238" s="5">
        <f>(pima_data!C238-AVERAGE(pima_data!$C$1:$C$768))/_xlfn.STDEV.P(pima_data!$C$1:$C$768)</f>
        <v>1.08020025075342</v>
      </c>
      <c r="D238" s="5">
        <f>(pima_data!D238-AVERAGE(pima_data!$D$1:$D$768))/_xlfn.STDEV.P(pima_data!$D$1:$D$768)</f>
        <v>0.40544543653691</v>
      </c>
      <c r="E238" s="5">
        <f>(pima_data!E238-AVERAGE(pima_data!$E$1:$E$768))/_xlfn.STDEV.P(pima_data!$E$1:$E$768)</f>
        <v>-0.692890572295466</v>
      </c>
      <c r="F238" s="5">
        <f>(pima_data!F238-AVERAGE(pima_data!$F$1:$F$768))/_xlfn.STDEV.P(pima_data!$F$1:$F$768)</f>
        <v>1.53666484760082</v>
      </c>
      <c r="G238" s="5">
        <f>(pima_data!G238-AVERAGE(pima_data!$G$1:$G$768))/_xlfn.STDEV.P(pima_data!$G$1:$G$768)</f>
        <v>0.646678979342659</v>
      </c>
      <c r="H238" s="5">
        <f>(pima_data!H238-AVERAGE(pima_data!$H$1:$H$768))/_xlfn.STDEV.P(pima_data!$H$1:$H$768)</f>
        <v>-0.871373930214099</v>
      </c>
    </row>
    <row r="239" spans="1:8">
      <c r="A239" s="5">
        <f>(pima_data!A239-AVERAGE(pima_data!$A$1:$A$768))/_xlfn.STDEV.P(pima_data!$A$1:$A$768)</f>
        <v>1.53084664832079</v>
      </c>
      <c r="B239" s="5">
        <f>(pima_data!B239-AVERAGE(pima_data!$B$1:$B$768))/_xlfn.STDEV.P(pima_data!$B$1:$B$768)</f>
        <v>1.34907811986036</v>
      </c>
      <c r="C239" s="5">
        <f>(pima_data!C239-AVERAGE(pima_data!$C$1:$C$768))/_xlfn.STDEV.P(pima_data!$C$1:$C$768)</f>
        <v>0.77001375137835</v>
      </c>
      <c r="D239" s="5">
        <f>(pima_data!D239-AVERAGE(pima_data!$D$1:$D$768))/_xlfn.STDEV.P(pima_data!$D$1:$D$768)</f>
        <v>0.0290770699853223</v>
      </c>
      <c r="E239" s="5">
        <f>(pima_data!E239-AVERAGE(pima_data!$E$1:$E$768))/_xlfn.STDEV.P(pima_data!$E$1:$E$768)</f>
        <v>-0.692890572295466</v>
      </c>
      <c r="F239" s="5">
        <f>(pima_data!F239-AVERAGE(pima_data!$F$1:$F$768))/_xlfn.STDEV.P(pima_data!$F$1:$F$768)</f>
        <v>-0.151361115654951</v>
      </c>
      <c r="G239" s="5">
        <f>(pima_data!G239-AVERAGE(pima_data!$G$1:$G$768))/_xlfn.STDEV.P(pima_data!$G$1:$G$768)</f>
        <v>1.08459618755928</v>
      </c>
      <c r="H239" s="5">
        <f>(pima_data!H239-AVERAGE(pima_data!$H$1:$H$768))/_xlfn.STDEV.P(pima_data!$H$1:$H$768)</f>
        <v>-0.105584152001785</v>
      </c>
    </row>
    <row r="240" spans="1:8">
      <c r="A240" s="5">
        <f>(pima_data!A240-AVERAGE(pima_data!$A$1:$A$768))/_xlfn.STDEV.P(pima_data!$A$1:$A$768)</f>
        <v>-1.1418515161635</v>
      </c>
      <c r="B240" s="5">
        <f>(pima_data!B240-AVERAGE(pima_data!$B$1:$B$768))/_xlfn.STDEV.P(pima_data!$B$1:$B$768)</f>
        <v>-0.528750599764028</v>
      </c>
      <c r="C240" s="5">
        <f>(pima_data!C240-AVERAGE(pima_data!$C$1:$C$768))/_xlfn.STDEV.P(pima_data!$C$1:$C$768)</f>
        <v>0.356431752211589</v>
      </c>
      <c r="D240" s="5">
        <f>(pima_data!D240-AVERAGE(pima_data!$D$1:$D$768))/_xlfn.STDEV.P(pima_data!$D$1:$D$768)</f>
        <v>-1.28821221294523</v>
      </c>
      <c r="E240" s="5">
        <f>(pima_data!E240-AVERAGE(pima_data!$E$1:$E$768))/_xlfn.STDEV.P(pima_data!$E$1:$E$768)</f>
        <v>-0.692890572295466</v>
      </c>
      <c r="F240" s="5">
        <f>(pima_data!F240-AVERAGE(pima_data!$F$1:$F$768))/_xlfn.STDEV.P(pima_data!$F$1:$F$768)</f>
        <v>-1.7251597580889</v>
      </c>
      <c r="G240" s="5">
        <f>(pima_data!G240-AVERAGE(pima_data!$G$1:$G$768))/_xlfn.STDEV.P(pima_data!$G$1:$G$768)</f>
        <v>0.332586636897636</v>
      </c>
      <c r="H240" s="5">
        <f>(pima_data!H240-AVERAGE(pima_data!$H$1:$H$768))/_xlfn.STDEV.P(pima_data!$H$1:$H$768)</f>
        <v>-0.531022917675293</v>
      </c>
    </row>
    <row r="241" spans="1:8">
      <c r="A241" s="5">
        <f>(pima_data!A241-AVERAGE(pima_data!$A$1:$A$768))/_xlfn.STDEV.P(pima_data!$A$1:$A$768)</f>
        <v>-0.844885053443025</v>
      </c>
      <c r="B241" s="5">
        <f>(pima_data!B241-AVERAGE(pima_data!$B$1:$B$768))/_xlfn.STDEV.P(pima_data!$B$1:$B$768)</f>
        <v>-0.935613489015978</v>
      </c>
      <c r="C241" s="5">
        <f>(pima_data!C241-AVERAGE(pima_data!$C$1:$C$768))/_xlfn.STDEV.P(pima_data!$C$1:$C$768)</f>
        <v>-0.263941246538553</v>
      </c>
      <c r="D241" s="5">
        <f>(pima_data!D241-AVERAGE(pima_data!$D$1:$D$768))/_xlfn.STDEV.P(pima_data!$D$1:$D$768)</f>
        <v>0.217261253261116</v>
      </c>
      <c r="E241" s="5">
        <f>(pima_data!E241-AVERAGE(pima_data!$E$1:$E$768))/_xlfn.STDEV.P(pima_data!$E$1:$E$768)</f>
        <v>-0.692890572295466</v>
      </c>
      <c r="F241" s="5">
        <f>(pima_data!F241-AVERAGE(pima_data!$F$1:$F$768))/_xlfn.STDEV.P(pima_data!$F$1:$F$768)</f>
        <v>-0.354431908227073</v>
      </c>
      <c r="G241" s="5">
        <f>(pima_data!G241-AVERAGE(pima_data!$G$1:$G$768))/_xlfn.STDEV.P(pima_data!$G$1:$G$768)</f>
        <v>-0.8452596472712</v>
      </c>
      <c r="H241" s="5">
        <f>(pima_data!H241-AVERAGE(pima_data!$H$1:$H$768))/_xlfn.STDEV.P(pima_data!$H$1:$H$768)</f>
        <v>-1.0415494364835</v>
      </c>
    </row>
    <row r="242" spans="1:8">
      <c r="A242" s="5">
        <f>(pima_data!A242-AVERAGE(pima_data!$A$1:$A$768))/_xlfn.STDEV.P(pima_data!$A$1:$A$768)</f>
        <v>0.0460143347184072</v>
      </c>
      <c r="B242" s="5">
        <f>(pima_data!B242-AVERAGE(pima_data!$B$1:$B$768))/_xlfn.STDEV.P(pima_data!$B$1:$B$768)</f>
        <v>-0.935613489015978</v>
      </c>
      <c r="C242" s="5">
        <f>(pima_data!C242-AVERAGE(pima_data!$C$1:$C$768))/_xlfn.STDEV.P(pima_data!$C$1:$C$768)</f>
        <v>0.0462452528365177</v>
      </c>
      <c r="D242" s="5">
        <f>(pima_data!D242-AVERAGE(pima_data!$D$1:$D$768))/_xlfn.STDEV.P(pima_data!$D$1:$D$768)</f>
        <v>0.719085741996565</v>
      </c>
      <c r="E242" s="5">
        <f>(pima_data!E242-AVERAGE(pima_data!$E$1:$E$768))/_xlfn.STDEV.P(pima_data!$E$1:$E$768)</f>
        <v>0.0712042689083452</v>
      </c>
      <c r="F242" s="5">
        <f>(pima_data!F242-AVERAGE(pima_data!$F$1:$F$768))/_xlfn.STDEV.P(pima_data!$F$1:$F$768)</f>
        <v>0.140553148667476</v>
      </c>
      <c r="G242" s="5">
        <f>(pima_data!G242-AVERAGE(pima_data!$G$1:$G$768))/_xlfn.STDEV.P(pima_data!$G$1:$G$768)</f>
        <v>-0.0781495032227787</v>
      </c>
      <c r="H242" s="5">
        <f>(pima_data!H242-AVERAGE(pima_data!$H$1:$H$768))/_xlfn.STDEV.P(pima_data!$H$1:$H$768)</f>
        <v>-0.956461683348801</v>
      </c>
    </row>
    <row r="243" spans="1:8">
      <c r="A243" s="5">
        <f>(pima_data!A243-AVERAGE(pima_data!$A$1:$A$768))/_xlfn.STDEV.P(pima_data!$A$1:$A$768)</f>
        <v>-0.25095212800207</v>
      </c>
      <c r="B243" s="5">
        <f>(pima_data!B243-AVERAGE(pima_data!$B$1:$B$768))/_xlfn.STDEV.P(pima_data!$B$1:$B$768)</f>
        <v>0.56664948668353</v>
      </c>
      <c r="C243" s="5">
        <f>(pima_data!C243-AVERAGE(pima_data!$C$1:$C$768))/_xlfn.STDEV.P(pima_data!$C$1:$C$768)</f>
        <v>-0.780918745497004</v>
      </c>
      <c r="D243" s="5">
        <f>(pima_data!D243-AVERAGE(pima_data!$D$1:$D$768))/_xlfn.STDEV.P(pima_data!$D$1:$D$768)</f>
        <v>-1.28821221294523</v>
      </c>
      <c r="E243" s="5">
        <f>(pima_data!E243-AVERAGE(pima_data!$E$1:$E$768))/_xlfn.STDEV.P(pima_data!$E$1:$E$768)</f>
        <v>-0.692890572295466</v>
      </c>
      <c r="F243" s="5">
        <f>(pima_data!F243-AVERAGE(pima_data!$F$1:$F$768))/_xlfn.STDEV.P(pima_data!$F$1:$F$768)</f>
        <v>-0.811341191514348</v>
      </c>
      <c r="G243" s="5">
        <f>(pima_data!G243-AVERAGE(pima_data!$G$1:$G$768))/_xlfn.STDEV.P(pima_data!$G$1:$G$768)</f>
        <v>-0.211034725026442</v>
      </c>
      <c r="H243" s="5">
        <f>(pima_data!H243-AVERAGE(pima_data!$H$1:$H$768))/_xlfn.STDEV.P(pima_data!$H$1:$H$768)</f>
        <v>-0.956461683348801</v>
      </c>
    </row>
    <row r="244" spans="1:8">
      <c r="A244" s="5">
        <f>(pima_data!A244-AVERAGE(pima_data!$A$1:$A$768))/_xlfn.STDEV.P(pima_data!$A$1:$A$768)</f>
        <v>0.639947260159362</v>
      </c>
      <c r="B244" s="5">
        <f>(pima_data!B244-AVERAGE(pima_data!$B$1:$B$768))/_xlfn.STDEV.P(pima_data!$B$1:$B$768)</f>
        <v>-0.0592934198579315</v>
      </c>
      <c r="C244" s="5">
        <f>(pima_data!C244-AVERAGE(pima_data!$C$1:$C$768))/_xlfn.STDEV.P(pima_data!$C$1:$C$768)</f>
        <v>-0.987709745080385</v>
      </c>
      <c r="D244" s="5">
        <f>(pima_data!D244-AVERAGE(pima_data!$D$1:$D$768))/_xlfn.STDEV.P(pima_data!$D$1:$D$768)</f>
        <v>0.0918051310772535</v>
      </c>
      <c r="E244" s="5">
        <f>(pima_data!E244-AVERAGE(pima_data!$E$1:$E$768))/_xlfn.STDEV.P(pima_data!$E$1:$E$768)</f>
        <v>0.835299110112157</v>
      </c>
      <c r="F244" s="5">
        <f>(pima_data!F244-AVERAGE(pima_data!$F$1:$F$768))/_xlfn.STDEV.P(pima_data!$F$1:$F$768)</f>
        <v>-0.620962323477984</v>
      </c>
      <c r="G244" s="5">
        <f>(pima_data!G244-AVERAGE(pima_data!$G$1:$G$768))/_xlfn.STDEV.P(pima_data!$G$1:$G$768)</f>
        <v>2.55539398343164</v>
      </c>
      <c r="H244" s="5">
        <f>(pima_data!H244-AVERAGE(pima_data!$H$1:$H$768))/_xlfn.STDEV.P(pima_data!$H$1:$H$768)</f>
        <v>-0.0204963988670829</v>
      </c>
    </row>
    <row r="245" spans="1:8">
      <c r="A245" s="5">
        <f>(pima_data!A245-AVERAGE(pima_data!$A$1:$A$768))/_xlfn.STDEV.P(pima_data!$A$1:$A$768)</f>
        <v>-0.547918590722547</v>
      </c>
      <c r="B245" s="5">
        <f>(pima_data!B245-AVERAGE(pima_data!$B$1:$B$768))/_xlfn.STDEV.P(pima_data!$B$1:$B$768)</f>
        <v>0.785729503973042</v>
      </c>
      <c r="C245" s="5">
        <f>(pima_data!C245-AVERAGE(pima_data!$C$1:$C$768))/_xlfn.STDEV.P(pima_data!$C$1:$C$768)</f>
        <v>0.356431752211589</v>
      </c>
      <c r="D245" s="5">
        <f>(pima_data!D245-AVERAGE(pima_data!$D$1:$D$768))/_xlfn.STDEV.P(pima_data!$D$1:$D$768)</f>
        <v>0.907269925272359</v>
      </c>
      <c r="E245" s="5">
        <f>(pima_data!E245-AVERAGE(pima_data!$E$1:$E$768))/_xlfn.STDEV.P(pima_data!$E$1:$E$768)</f>
        <v>0.991591236722027</v>
      </c>
      <c r="F245" s="5">
        <f>(pima_data!F245-AVERAGE(pima_data!$F$1:$F$768))/_xlfn.STDEV.P(pima_data!$F$1:$F$768)</f>
        <v>0.787841299991116</v>
      </c>
      <c r="G245" s="5">
        <f>(pima_data!G245-AVERAGE(pima_data!$G$1:$G$768))/_xlfn.STDEV.P(pima_data!$G$1:$G$768)</f>
        <v>-0.431503388473429</v>
      </c>
      <c r="H245" s="5">
        <f>(pima_data!H245-AVERAGE(pima_data!$H$1:$H$768))/_xlfn.STDEV.P(pima_data!$H$1:$H$768)</f>
        <v>-0.360847411405889</v>
      </c>
    </row>
    <row r="246" spans="1:8">
      <c r="A246" s="5">
        <f>(pima_data!A246-AVERAGE(pima_data!$A$1:$A$768))/_xlfn.STDEV.P(pima_data!$A$1:$A$768)</f>
        <v>1.53084664832079</v>
      </c>
      <c r="B246" s="5">
        <f>(pima_data!B246-AVERAGE(pima_data!$B$1:$B$768))/_xlfn.STDEV.P(pima_data!$B$1:$B$768)</f>
        <v>1.97502102640182</v>
      </c>
      <c r="C246" s="5">
        <f>(pima_data!C246-AVERAGE(pima_data!$C$1:$C$768))/_xlfn.STDEV.P(pima_data!$C$1:$C$768)</f>
        <v>0.821711501274195</v>
      </c>
      <c r="D246" s="5">
        <f>(pima_data!D246-AVERAGE(pima_data!$D$1:$D$768))/_xlfn.STDEV.P(pima_data!$D$1:$D$768)</f>
        <v>-0.347291296566265</v>
      </c>
      <c r="E246" s="5">
        <f>(pima_data!E246-AVERAGE(pima_data!$E$1:$E$768))/_xlfn.STDEV.P(pima_data!$E$1:$E$768)</f>
        <v>-0.692890572295466</v>
      </c>
      <c r="F246" s="5">
        <f>(pima_data!F246-AVERAGE(pima_data!$F$1:$F$768))/_xlfn.STDEV.P(pima_data!$F$1:$F$768)</f>
        <v>-0.252896511941012</v>
      </c>
      <c r="G246" s="5">
        <f>(pima_data!G246-AVERAGE(pima_data!$G$1:$G$768))/_xlfn.STDEV.P(pima_data!$G$1:$G$768)</f>
        <v>2.23828152230926</v>
      </c>
      <c r="H246" s="5">
        <f>(pima_data!H246-AVERAGE(pima_data!$H$1:$H$768))/_xlfn.STDEV.P(pima_data!$H$1:$H$768)</f>
        <v>1.34090765128814</v>
      </c>
    </row>
    <row r="247" spans="1:8">
      <c r="A247" s="5">
        <f>(pima_data!A247-AVERAGE(pima_data!$A$1:$A$768))/_xlfn.STDEV.P(pima_data!$A$1:$A$768)</f>
        <v>1.82781311104127</v>
      </c>
      <c r="B247" s="5">
        <f>(pima_data!B247-AVERAGE(pima_data!$B$1:$B$768))/_xlfn.STDEV.P(pima_data!$B$1:$B$768)</f>
        <v>0.0345980161232878</v>
      </c>
      <c r="C247" s="5">
        <f>(pima_data!C247-AVERAGE(pima_data!$C$1:$C$768))/_xlfn.STDEV.P(pima_data!$C$1:$C$768)</f>
        <v>-0.0571502469551726</v>
      </c>
      <c r="D247" s="5">
        <f>(pima_data!D247-AVERAGE(pima_data!$D$1:$D$768))/_xlfn.STDEV.P(pima_data!$D$1:$D$768)</f>
        <v>-1.28821221294523</v>
      </c>
      <c r="E247" s="5">
        <f>(pima_data!E247-AVERAGE(pima_data!$E$1:$E$768))/_xlfn.STDEV.P(pima_data!$E$1:$E$768)</f>
        <v>-0.692890572295466</v>
      </c>
      <c r="F247" s="5">
        <f>(pima_data!F247-AVERAGE(pima_data!$F$1:$F$768))/_xlfn.STDEV.P(pima_data!$F$1:$F$768)</f>
        <v>-0.10059341751192</v>
      </c>
      <c r="G247" s="5">
        <f>(pima_data!G247-AVERAGE(pima_data!$G$1:$G$768))/_xlfn.STDEV.P(pima_data!$G$1:$G$768)</f>
        <v>-0.645931814565705</v>
      </c>
      <c r="H247" s="5">
        <f>(pima_data!H247-AVERAGE(pima_data!$H$1:$H$768))/_xlfn.STDEV.P(pima_data!$H$1:$H$768)</f>
        <v>0.66020562621053</v>
      </c>
    </row>
    <row r="248" spans="1:8">
      <c r="A248" s="5">
        <f>(pima_data!A248-AVERAGE(pima_data!$A$1:$A$768))/_xlfn.STDEV.P(pima_data!$A$1:$A$768)</f>
        <v>-1.1418515161635</v>
      </c>
      <c r="B248" s="5">
        <f>(pima_data!B248-AVERAGE(pima_data!$B$1:$B$768))/_xlfn.STDEV.P(pima_data!$B$1:$B$768)</f>
        <v>1.38037526518743</v>
      </c>
      <c r="C248" s="5">
        <f>(pima_data!C248-AVERAGE(pima_data!$C$1:$C$768))/_xlfn.STDEV.P(pima_data!$C$1:$C$768)</f>
        <v>1.08020025075342</v>
      </c>
      <c r="D248" s="5">
        <f>(pima_data!D248-AVERAGE(pima_data!$D$1:$D$768))/_xlfn.STDEV.P(pima_data!$D$1:$D$768)</f>
        <v>0.781813803088497</v>
      </c>
      <c r="E248" s="5">
        <f>(pima_data!E248-AVERAGE(pima_data!$E$1:$E$768))/_xlfn.STDEV.P(pima_data!$E$1:$E$768)</f>
        <v>5.21147865518853</v>
      </c>
      <c r="F248" s="5">
        <f>(pima_data!F248-AVERAGE(pima_data!$F$1:$F$768))/_xlfn.STDEV.P(pima_data!$F$1:$F$768)</f>
        <v>2.57740265953294</v>
      </c>
      <c r="G248" s="5">
        <f>(pima_data!G248-AVERAGE(pima_data!$G$1:$G$768))/_xlfn.STDEV.P(pima_data!$G$1:$G$768)</f>
        <v>-0.135531758092543</v>
      </c>
      <c r="H248" s="5">
        <f>(pima_data!H248-AVERAGE(pima_data!$H$1:$H$768))/_xlfn.STDEV.P(pima_data!$H$1:$H$768)</f>
        <v>-0.871373930214099</v>
      </c>
    </row>
    <row r="249" spans="1:8">
      <c r="A249" s="5">
        <f>(pima_data!A249-AVERAGE(pima_data!$A$1:$A$768))/_xlfn.STDEV.P(pima_data!$A$1:$A$768)</f>
        <v>1.53084664832079</v>
      </c>
      <c r="B249" s="5">
        <f>(pima_data!B249-AVERAGE(pima_data!$B$1:$B$768))/_xlfn.STDEV.P(pima_data!$B$1:$B$768)</f>
        <v>0.097192306777434</v>
      </c>
      <c r="C249" s="5">
        <f>(pima_data!C249-AVERAGE(pima_data!$C$1:$C$768))/_xlfn.STDEV.P(pima_data!$C$1:$C$768)</f>
        <v>0.0462452528365177</v>
      </c>
      <c r="D249" s="5">
        <f>(pima_data!D249-AVERAGE(pima_data!$D$1:$D$768))/_xlfn.STDEV.P(pima_data!$D$1:$D$768)</f>
        <v>0.781813803088497</v>
      </c>
      <c r="E249" s="5">
        <f>(pima_data!E249-AVERAGE(pima_data!$E$1:$E$768))/_xlfn.STDEV.P(pima_data!$E$1:$E$768)</f>
        <v>2.79763358865831</v>
      </c>
      <c r="F249" s="5">
        <f>(pima_data!F249-AVERAGE(pima_data!$F$1:$F$768))/_xlfn.STDEV.P(pima_data!$F$1:$F$768)</f>
        <v>0.432467412989901</v>
      </c>
      <c r="G249" s="5">
        <f>(pima_data!G249-AVERAGE(pima_data!$G$1:$G$768))/_xlfn.STDEV.P(pima_data!$G$1:$G$768)</f>
        <v>-0.573448966309161</v>
      </c>
      <c r="H249" s="5">
        <f>(pima_data!H249-AVERAGE(pima_data!$H$1:$H$768))/_xlfn.STDEV.P(pima_data!$H$1:$H$768)</f>
        <v>0.0645913542676188</v>
      </c>
    </row>
    <row r="250" spans="1:8">
      <c r="A250" s="5">
        <f>(pima_data!A250-AVERAGE(pima_data!$A$1:$A$768))/_xlfn.STDEV.P(pima_data!$A$1:$A$768)</f>
        <v>-0.844885053443025</v>
      </c>
      <c r="B250" s="5">
        <f>(pima_data!B250-AVERAGE(pima_data!$B$1:$B$768))/_xlfn.STDEV.P(pima_data!$B$1:$B$768)</f>
        <v>-0.309670582474516</v>
      </c>
      <c r="C250" s="5">
        <f>(pima_data!C250-AVERAGE(pima_data!$C$1:$C$768))/_xlfn.STDEV.P(pima_data!$C$1:$C$768)</f>
        <v>0.87340925117004</v>
      </c>
      <c r="D250" s="5">
        <f>(pima_data!D250-AVERAGE(pima_data!$D$1:$D$768))/_xlfn.STDEV.P(pima_data!$D$1:$D$768)</f>
        <v>-0.09637905219854</v>
      </c>
      <c r="E250" s="5">
        <f>(pima_data!E250-AVERAGE(pima_data!$E$1:$E$768))/_xlfn.STDEV.P(pima_data!$E$1:$E$768)</f>
        <v>-0.692890572295466</v>
      </c>
      <c r="F250" s="5">
        <f>(pima_data!F250-AVERAGE(pima_data!$F$1:$F$768))/_xlfn.STDEV.P(pima_data!$F$1:$F$768)</f>
        <v>-0.240204587405254</v>
      </c>
      <c r="G250" s="5">
        <f>(pima_data!G250-AVERAGE(pima_data!$G$1:$G$768))/_xlfn.STDEV.P(pima_data!$G$1:$G$768)</f>
        <v>-0.993245462461644</v>
      </c>
      <c r="H250" s="5">
        <f>(pima_data!H250-AVERAGE(pima_data!$H$1:$H$768))/_xlfn.STDEV.P(pima_data!$H$1:$H$768)</f>
        <v>-0.871373930214099</v>
      </c>
    </row>
    <row r="251" spans="1:8">
      <c r="A251" s="5">
        <f>(pima_data!A251-AVERAGE(pima_data!$A$1:$A$768))/_xlfn.STDEV.P(pima_data!$A$1:$A$768)</f>
        <v>1.53084664832079</v>
      </c>
      <c r="B251" s="5">
        <f>(pima_data!B251-AVERAGE(pima_data!$B$1:$B$768))/_xlfn.STDEV.P(pima_data!$B$1:$B$768)</f>
        <v>-0.466156309109882</v>
      </c>
      <c r="C251" s="5">
        <f>(pima_data!C251-AVERAGE(pima_data!$C$1:$C$768))/_xlfn.STDEV.P(pima_data!$C$1:$C$768)</f>
        <v>-0.884314245288695</v>
      </c>
      <c r="D251" s="5">
        <f>(pima_data!D251-AVERAGE(pima_data!$D$1:$D$768))/_xlfn.STDEV.P(pima_data!$D$1:$D$768)</f>
        <v>-1.28821221294523</v>
      </c>
      <c r="E251" s="5">
        <f>(pima_data!E251-AVERAGE(pima_data!$E$1:$E$768))/_xlfn.STDEV.P(pima_data!$E$1:$E$768)</f>
        <v>-0.692890572295466</v>
      </c>
      <c r="F251" s="5">
        <f>(pima_data!F251-AVERAGE(pima_data!$F$1:$F$768))/_xlfn.STDEV.P(pima_data!$F$1:$F$768)</f>
        <v>-0.10059341751192</v>
      </c>
      <c r="G251" s="5">
        <f>(pima_data!G251-AVERAGE(pima_data!$G$1:$G$768))/_xlfn.STDEV.P(pima_data!$G$1:$G$768)</f>
        <v>-0.277477335928274</v>
      </c>
      <c r="H251" s="5">
        <f>(pima_data!H251-AVERAGE(pima_data!$H$1:$H$768))/_xlfn.STDEV.P(pima_data!$H$1:$H$768)</f>
        <v>0.745293379345232</v>
      </c>
    </row>
    <row r="252" spans="1:8">
      <c r="A252" s="5">
        <f>(pima_data!A252-AVERAGE(pima_data!$A$1:$A$768))/_xlfn.STDEV.P(pima_data!$A$1:$A$768)</f>
        <v>-0.547918590722547</v>
      </c>
      <c r="B252" s="5">
        <f>(pima_data!B252-AVERAGE(pima_data!$B$1:$B$768))/_xlfn.STDEV.P(pima_data!$B$1:$B$768)</f>
        <v>0.253678033412799</v>
      </c>
      <c r="C252" s="5">
        <f>(pima_data!C252-AVERAGE(pima_data!$C$1:$C$768))/_xlfn.STDEV.P(pima_data!$C$1:$C$768)</f>
        <v>0.77001375137835</v>
      </c>
      <c r="D252" s="5">
        <f>(pima_data!D252-AVERAGE(pima_data!$D$1:$D$768))/_xlfn.STDEV.P(pima_data!$D$1:$D$768)</f>
        <v>-1.28821221294523</v>
      </c>
      <c r="E252" s="5">
        <f>(pima_data!E252-AVERAGE(pima_data!$E$1:$E$768))/_xlfn.STDEV.P(pima_data!$E$1:$E$768)</f>
        <v>-0.692890572295466</v>
      </c>
      <c r="F252" s="5">
        <f>(pima_data!F252-AVERAGE(pima_data!$F$1:$F$768))/_xlfn.STDEV.P(pima_data!$F$1:$F$768)</f>
        <v>-0.506735002656165</v>
      </c>
      <c r="G252" s="5">
        <f>(pima_data!G252-AVERAGE(pima_data!$G$1:$G$768))/_xlfn.STDEV.P(pima_data!$G$1:$G$768)</f>
        <v>-0.567408728954449</v>
      </c>
      <c r="H252" s="5">
        <f>(pima_data!H252-AVERAGE(pima_data!$H$1:$H$768))/_xlfn.STDEV.P(pima_data!$H$1:$H$768)</f>
        <v>-0.531022917675293</v>
      </c>
    </row>
    <row r="253" spans="1:8">
      <c r="A253" s="5">
        <f>(pima_data!A253-AVERAGE(pima_data!$A$1:$A$768))/_xlfn.STDEV.P(pima_data!$A$1:$A$768)</f>
        <v>-0.547918590722547</v>
      </c>
      <c r="B253" s="5">
        <f>(pima_data!B253-AVERAGE(pima_data!$B$1:$B$768))/_xlfn.STDEV.P(pima_data!$B$1:$B$768)</f>
        <v>-0.966910634343051</v>
      </c>
      <c r="C253" s="5">
        <f>(pima_data!C253-AVERAGE(pima_data!$C$1:$C$768))/_xlfn.STDEV.P(pima_data!$C$1:$C$768)</f>
        <v>0.563222751794969</v>
      </c>
      <c r="D253" s="5">
        <f>(pima_data!D253-AVERAGE(pima_data!$D$1:$D$768))/_xlfn.STDEV.P(pima_data!$D$1:$D$768)</f>
        <v>-0.410019357658196</v>
      </c>
      <c r="E253" s="5">
        <f>(pima_data!E253-AVERAGE(pima_data!$E$1:$E$768))/_xlfn.STDEV.P(pima_data!$E$1:$E$768)</f>
        <v>-0.215331296543084</v>
      </c>
      <c r="F253" s="5">
        <f>(pima_data!F253-AVERAGE(pima_data!$F$1:$F$768))/_xlfn.STDEV.P(pima_data!$F$1:$F$768)</f>
        <v>-0.963644285943441</v>
      </c>
      <c r="G253" s="5">
        <f>(pima_data!G253-AVERAGE(pima_data!$G$1:$G$768))/_xlfn.STDEV.P(pima_data!$G$1:$G$768)</f>
        <v>-0.673112882661909</v>
      </c>
      <c r="H253" s="5">
        <f>(pima_data!H253-AVERAGE(pima_data!$H$1:$H$768))/_xlfn.STDEV.P(pima_data!$H$1:$H$768)</f>
        <v>-0.786286177079398</v>
      </c>
    </row>
    <row r="254" spans="1:8">
      <c r="A254" s="5">
        <f>(pima_data!A254-AVERAGE(pima_data!$A$1:$A$768))/_xlfn.STDEV.P(pima_data!$A$1:$A$768)</f>
        <v>-1.1418515161635</v>
      </c>
      <c r="B254" s="5">
        <f>(pima_data!B254-AVERAGE(pima_data!$B$1:$B$768))/_xlfn.STDEV.P(pima_data!$B$1:$B$768)</f>
        <v>-1.09209921565134</v>
      </c>
      <c r="C254" s="5">
        <f>(pima_data!C254-AVERAGE(pima_data!$C$1:$C$768))/_xlfn.STDEV.P(pima_data!$C$1:$C$768)</f>
        <v>-0.0571502469551726</v>
      </c>
      <c r="D254" s="5">
        <f>(pima_data!D254-AVERAGE(pima_data!$D$1:$D$768))/_xlfn.STDEV.P(pima_data!$D$1:$D$768)</f>
        <v>0.719085741996565</v>
      </c>
      <c r="E254" s="5">
        <f>(pima_data!E254-AVERAGE(pima_data!$E$1:$E$768))/_xlfn.STDEV.P(pima_data!$E$1:$E$768)</f>
        <v>-0.692890572295466</v>
      </c>
      <c r="F254" s="5">
        <f>(pima_data!F254-AVERAGE(pima_data!$F$1:$F$768))/_xlfn.STDEV.P(pima_data!$F$1:$F$768)</f>
        <v>0.483235111132932</v>
      </c>
      <c r="G254" s="5">
        <f>(pima_data!G254-AVERAGE(pima_data!$G$1:$G$768))/_xlfn.STDEV.P(pima_data!$G$1:$G$768)</f>
        <v>-0.706334188112825</v>
      </c>
      <c r="H254" s="5">
        <f>(pima_data!H254-AVERAGE(pima_data!$H$1:$H$768))/_xlfn.STDEV.P(pima_data!$H$1:$H$768)</f>
        <v>-0.701198423944696</v>
      </c>
    </row>
    <row r="255" spans="1:8">
      <c r="A255" s="5">
        <f>(pima_data!A255-AVERAGE(pima_data!$A$1:$A$768))/_xlfn.STDEV.P(pima_data!$A$1:$A$768)</f>
        <v>2.42174603648223</v>
      </c>
      <c r="B255" s="5">
        <f>(pima_data!B255-AVERAGE(pima_data!$B$1:$B$768))/_xlfn.STDEV.P(pima_data!$B$1:$B$768)</f>
        <v>-0.904316343688905</v>
      </c>
      <c r="C255" s="5">
        <f>(pima_data!C255-AVERAGE(pima_data!$C$1:$C$768))/_xlfn.STDEV.P(pima_data!$C$1:$C$768)</f>
        <v>-0.367336746330243</v>
      </c>
      <c r="D255" s="5">
        <f>(pima_data!D255-AVERAGE(pima_data!$D$1:$D$768))/_xlfn.STDEV.P(pima_data!$D$1:$D$768)</f>
        <v>-0.849115785301714</v>
      </c>
      <c r="E255" s="5">
        <f>(pima_data!E255-AVERAGE(pima_data!$E$1:$E$768))/_xlfn.STDEV.P(pima_data!$E$1:$E$768)</f>
        <v>1.54729657577934</v>
      </c>
      <c r="F255" s="5">
        <f>(pima_data!F255-AVERAGE(pima_data!$F$1:$F$768))/_xlfn.STDEV.P(pima_data!$F$1:$F$768)</f>
        <v>-0.557502700799195</v>
      </c>
      <c r="G255" s="5">
        <f>(pima_data!G255-AVERAGE(pima_data!$G$1:$G$768))/_xlfn.STDEV.P(pima_data!$G$1:$G$768)</f>
        <v>1.3715074619081</v>
      </c>
      <c r="H255" s="5">
        <f>(pima_data!H255-AVERAGE(pima_data!$H$1:$H$768))/_xlfn.STDEV.P(pima_data!$H$1:$H$768)</f>
        <v>0.915468885614635</v>
      </c>
    </row>
    <row r="256" spans="1:8">
      <c r="A256" s="5">
        <f>(pima_data!A256-AVERAGE(pima_data!$A$1:$A$768))/_xlfn.STDEV.P(pima_data!$A$1:$A$768)</f>
        <v>-0.844885053443025</v>
      </c>
      <c r="B256" s="5">
        <f>(pima_data!B256-AVERAGE(pima_data!$B$1:$B$768))/_xlfn.STDEV.P(pima_data!$B$1:$B$768)</f>
        <v>-0.24707629182037</v>
      </c>
      <c r="C256" s="5">
        <f>(pima_data!C256-AVERAGE(pima_data!$C$1:$C$768))/_xlfn.STDEV.P(pima_data!$C$1:$C$768)</f>
        <v>-0.263941246538553</v>
      </c>
      <c r="D256" s="5">
        <f>(pima_data!D256-AVERAGE(pima_data!$D$1:$D$768))/_xlfn.STDEV.P(pima_data!$D$1:$D$768)</f>
        <v>0.907269925272359</v>
      </c>
      <c r="E256" s="5">
        <f>(pima_data!E256-AVERAGE(pima_data!$E$1:$E$768))/_xlfn.STDEV.P(pima_data!$E$1:$E$768)</f>
        <v>-0.692890572295466</v>
      </c>
      <c r="F256" s="5">
        <f>(pima_data!F256-AVERAGE(pima_data!$F$1:$F$768))/_xlfn.STDEV.P(pima_data!$F$1:$F$768)</f>
        <v>0.204012771346264</v>
      </c>
      <c r="G256" s="5">
        <f>(pima_data!G256-AVERAGE(pima_data!$G$1:$G$768))/_xlfn.STDEV.P(pima_data!$G$1:$G$768)</f>
        <v>0.214802008480752</v>
      </c>
      <c r="H256" s="5">
        <f>(pima_data!H256-AVERAGE(pima_data!$H$1:$H$768))/_xlfn.STDEV.P(pima_data!$H$1:$H$768)</f>
        <v>-1.0415494364835</v>
      </c>
    </row>
    <row r="257" spans="1:8">
      <c r="A257" s="5">
        <f>(pima_data!A257-AVERAGE(pima_data!$A$1:$A$768))/_xlfn.STDEV.P(pima_data!$A$1:$A$768)</f>
        <v>-0.25095212800207</v>
      </c>
      <c r="B257" s="5">
        <f>(pima_data!B257-AVERAGE(pima_data!$B$1:$B$768))/_xlfn.STDEV.P(pima_data!$B$1:$B$768)</f>
        <v>-0.309670582474516</v>
      </c>
      <c r="C257" s="5">
        <f>(pima_data!C257-AVERAGE(pima_data!$C$1:$C$768))/_xlfn.STDEV.P(pima_data!$C$1:$C$768)</f>
        <v>-0.677523245705314</v>
      </c>
      <c r="D257" s="5">
        <f>(pima_data!D257-AVERAGE(pima_data!$D$1:$D$768))/_xlfn.STDEV.P(pima_data!$D$1:$D$768)</f>
        <v>1.15818216964008</v>
      </c>
      <c r="E257" s="5">
        <f>(pima_data!E257-AVERAGE(pima_data!$E$1:$E$768))/_xlfn.STDEV.P(pima_data!$E$1:$E$768)</f>
        <v>-0.692890572295466</v>
      </c>
      <c r="F257" s="5">
        <f>(pima_data!F257-AVERAGE(pima_data!$F$1:$F$768))/_xlfn.STDEV.P(pima_data!$F$1:$F$768)</f>
        <v>-0.240204587405254</v>
      </c>
      <c r="G257" s="5">
        <f>(pima_data!G257-AVERAGE(pima_data!$G$1:$G$768))/_xlfn.STDEV.P(pima_data!$G$1:$G$768)</f>
        <v>0.257083669963736</v>
      </c>
      <c r="H257" s="5">
        <f>(pima_data!H257-AVERAGE(pima_data!$H$1:$H$768))/_xlfn.STDEV.P(pima_data!$H$1:$H$768)</f>
        <v>-0.275759658271188</v>
      </c>
    </row>
    <row r="258" spans="1:8">
      <c r="A258" s="5">
        <f>(pima_data!A258-AVERAGE(pima_data!$A$1:$A$768))/_xlfn.STDEV.P(pima_data!$A$1:$A$768)</f>
        <v>-0.547918590722547</v>
      </c>
      <c r="B258" s="5">
        <f>(pima_data!B258-AVERAGE(pima_data!$B$1:$B$768))/_xlfn.STDEV.P(pima_data!$B$1:$B$768)</f>
        <v>-0.215779146493297</v>
      </c>
      <c r="C258" s="5">
        <f>(pima_data!C258-AVERAGE(pima_data!$C$1:$C$768))/_xlfn.STDEV.P(pima_data!$C$1:$C$768)</f>
        <v>-0.0571502469551726</v>
      </c>
      <c r="D258" s="5">
        <f>(pima_data!D258-AVERAGE(pima_data!$D$1:$D$768))/_xlfn.STDEV.P(pima_data!$D$1:$D$768)</f>
        <v>0.0918051310772535</v>
      </c>
      <c r="E258" s="5">
        <f>(pima_data!E258-AVERAGE(pima_data!$E$1:$E$768))/_xlfn.STDEV.P(pima_data!$E$1:$E$768)</f>
        <v>-0.692890572295466</v>
      </c>
      <c r="F258" s="5">
        <f>(pima_data!F258-AVERAGE(pima_data!$F$1:$F$768))/_xlfn.STDEV.P(pima_data!$F$1:$F$768)</f>
        <v>-0.417891530905861</v>
      </c>
      <c r="G258" s="5">
        <f>(pima_data!G258-AVERAGE(pima_data!$G$1:$G$768))/_xlfn.STDEV.P(pima_data!$G$1:$G$768)</f>
        <v>-1.1472715150068</v>
      </c>
      <c r="H258" s="5">
        <f>(pima_data!H258-AVERAGE(pima_data!$H$1:$H$768))/_xlfn.STDEV.P(pima_data!$H$1:$H$768)</f>
        <v>-0.701198423944696</v>
      </c>
    </row>
    <row r="259" spans="1:8">
      <c r="A259" s="5">
        <f>(pima_data!A259-AVERAGE(pima_data!$A$1:$A$768))/_xlfn.STDEV.P(pima_data!$A$1:$A$768)</f>
        <v>-0.844885053443025</v>
      </c>
      <c r="B259" s="5">
        <f>(pima_data!B259-AVERAGE(pima_data!$B$1:$B$768))/_xlfn.STDEV.P(pima_data!$B$1:$B$768)</f>
        <v>2.25669533434548</v>
      </c>
      <c r="C259" s="5">
        <f>(pima_data!C259-AVERAGE(pima_data!$C$1:$C$768))/_xlfn.STDEV.P(pima_data!$C$1:$C$768)</f>
        <v>-0.987709745080385</v>
      </c>
      <c r="D259" s="5">
        <f>(pima_data!D259-AVERAGE(pima_data!$D$1:$D$768))/_xlfn.STDEV.P(pima_data!$D$1:$D$768)</f>
        <v>-0.284563235474334</v>
      </c>
      <c r="E259" s="5">
        <f>(pima_data!E259-AVERAGE(pima_data!$E$1:$E$768))/_xlfn.STDEV.P(pima_data!$E$1:$E$768)</f>
        <v>2.5631953987435</v>
      </c>
      <c r="F259" s="5">
        <f>(pima_data!F259-AVERAGE(pima_data!$F$1:$F$768))/_xlfn.STDEV.P(pima_data!$F$1:$F$768)</f>
        <v>-0.773265417907076</v>
      </c>
      <c r="G259" s="5">
        <f>(pima_data!G259-AVERAGE(pima_data!$G$1:$G$768))/_xlfn.STDEV.P(pima_data!$G$1:$G$768)</f>
        <v>0.553055300344623</v>
      </c>
      <c r="H259" s="5">
        <f>(pima_data!H259-AVERAGE(pima_data!$H$1:$H$768))/_xlfn.STDEV.P(pima_data!$H$1:$H$768)</f>
        <v>-0.786286177079398</v>
      </c>
    </row>
    <row r="260" spans="1:8">
      <c r="A260" s="5">
        <f>(pima_data!A260-AVERAGE(pima_data!$A$1:$A$768))/_xlfn.STDEV.P(pima_data!$A$1:$A$768)</f>
        <v>2.12477957376175</v>
      </c>
      <c r="B260" s="5">
        <f>(pima_data!B260-AVERAGE(pima_data!$B$1:$B$768))/_xlfn.STDEV.P(pima_data!$B$1:$B$768)</f>
        <v>1.0674038119167</v>
      </c>
      <c r="C260" s="5">
        <f>(pima_data!C260-AVERAGE(pima_data!$C$1:$C$768))/_xlfn.STDEV.P(pima_data!$C$1:$C$768)</f>
        <v>0.356431752211589</v>
      </c>
      <c r="D260" s="5">
        <f>(pima_data!D260-AVERAGE(pima_data!$D$1:$D$768))/_xlfn.STDEV.P(pima_data!$D$1:$D$768)</f>
        <v>0.468173497628841</v>
      </c>
      <c r="E260" s="5">
        <f>(pima_data!E260-AVERAGE(pima_data!$E$1:$E$768))/_xlfn.STDEV.P(pima_data!$E$1:$E$768)</f>
        <v>0.609543816120122</v>
      </c>
      <c r="F260" s="5">
        <f>(pima_data!F260-AVERAGE(pima_data!$F$1:$F$768))/_xlfn.STDEV.P(pima_data!$F$1:$F$768)</f>
        <v>0.16593699773899</v>
      </c>
      <c r="G260" s="5">
        <f>(pima_data!G260-AVERAGE(pima_data!$G$1:$G$768))/_xlfn.STDEV.P(pima_data!$G$1:$G$768)</f>
        <v>2.6610981371391</v>
      </c>
      <c r="H260" s="5">
        <f>(pima_data!H260-AVERAGE(pima_data!$H$1:$H$768))/_xlfn.STDEV.P(pima_data!$H$1:$H$768)</f>
        <v>1.51108315755755</v>
      </c>
    </row>
    <row r="261" spans="1:8">
      <c r="A261" s="5">
        <f>(pima_data!A261-AVERAGE(pima_data!$A$1:$A$768))/_xlfn.STDEV.P(pima_data!$A$1:$A$768)</f>
        <v>-0.25095212800207</v>
      </c>
      <c r="B261" s="5">
        <f>(pima_data!B261-AVERAGE(pima_data!$B$1:$B$768))/_xlfn.STDEV.P(pima_data!$B$1:$B$768)</f>
        <v>2.19410104369133</v>
      </c>
      <c r="C261" s="5">
        <f>(pima_data!C261-AVERAGE(pima_data!$C$1:$C$768))/_xlfn.STDEV.P(pima_data!$C$1:$C$768)</f>
        <v>-0.0571502469551726</v>
      </c>
      <c r="D261" s="5">
        <f>(pima_data!D261-AVERAGE(pima_data!$D$1:$D$768))/_xlfn.STDEV.P(pima_data!$D$1:$D$768)</f>
        <v>-0.347291296566265</v>
      </c>
      <c r="E261" s="5">
        <f>(pima_data!E261-AVERAGE(pima_data!$E$1:$E$768))/_xlfn.STDEV.P(pima_data!$E$1:$E$768)</f>
        <v>0.43588589766471</v>
      </c>
      <c r="F261" s="5">
        <f>(pima_data!F261-AVERAGE(pima_data!$F$1:$F$768))/_xlfn.STDEV.P(pima_data!$F$1:$F$768)</f>
        <v>-0.138669191119193</v>
      </c>
      <c r="G261" s="5">
        <f>(pima_data!G261-AVERAGE(pima_data!$G$1:$G$768))/_xlfn.STDEV.P(pima_data!$G$1:$G$768)</f>
        <v>-0.522106948794109</v>
      </c>
      <c r="H261" s="5">
        <f>(pima_data!H261-AVERAGE(pima_data!$H$1:$H$768))/_xlfn.STDEV.P(pima_data!$H$1:$H$768)</f>
        <v>0.0645913542676188</v>
      </c>
    </row>
    <row r="262" spans="1:8">
      <c r="A262" s="5">
        <f>(pima_data!A262-AVERAGE(pima_data!$A$1:$A$768))/_xlfn.STDEV.P(pima_data!$A$1:$A$768)</f>
        <v>-0.25095212800207</v>
      </c>
      <c r="B262" s="5">
        <f>(pima_data!B262-AVERAGE(pima_data!$B$1:$B$768))/_xlfn.STDEV.P(pima_data!$B$1:$B$768)</f>
        <v>0.629243777337677</v>
      </c>
      <c r="C262" s="5">
        <f>(pima_data!C262-AVERAGE(pima_data!$C$1:$C$768))/_xlfn.STDEV.P(pima_data!$C$1:$C$768)</f>
        <v>-3.57259723987264</v>
      </c>
      <c r="D262" s="5">
        <f>(pima_data!D262-AVERAGE(pima_data!$D$1:$D$768))/_xlfn.STDEV.P(pima_data!$D$1:$D$768)</f>
        <v>-1.28821221294523</v>
      </c>
      <c r="E262" s="5">
        <f>(pima_data!E262-AVERAGE(pima_data!$E$1:$E$768))/_xlfn.STDEV.P(pima_data!$E$1:$E$768)</f>
        <v>-0.692890572295466</v>
      </c>
      <c r="F262" s="5">
        <f>(pima_data!F262-AVERAGE(pima_data!$F$1:$F$768))/_xlfn.STDEV.P(pima_data!$F$1:$F$768)</f>
        <v>-0.252896511941012</v>
      </c>
      <c r="G262" s="5">
        <f>(pima_data!G262-AVERAGE(pima_data!$G$1:$G$768))/_xlfn.STDEV.P(pima_data!$G$1:$G$768)</f>
        <v>0.873187880144358</v>
      </c>
      <c r="H262" s="5">
        <f>(pima_data!H262-AVERAGE(pima_data!$H$1:$H$768))/_xlfn.STDEV.P(pima_data!$H$1:$H$768)</f>
        <v>-0.531022917675293</v>
      </c>
    </row>
    <row r="263" spans="1:8">
      <c r="A263" s="5">
        <f>(pima_data!A263-AVERAGE(pima_data!$A$1:$A$768))/_xlfn.STDEV.P(pima_data!$A$1:$A$768)</f>
        <v>0.0460143347184072</v>
      </c>
      <c r="B263" s="5">
        <f>(pima_data!B263-AVERAGE(pima_data!$B$1:$B$768))/_xlfn.STDEV.P(pima_data!$B$1:$B$768)</f>
        <v>-0.810424907707686</v>
      </c>
      <c r="C263" s="5">
        <f>(pima_data!C263-AVERAGE(pima_data!$C$1:$C$768))/_xlfn.STDEV.P(pima_data!$C$1:$C$768)</f>
        <v>0.0462452528365177</v>
      </c>
      <c r="D263" s="5">
        <f>(pima_data!D263-AVERAGE(pima_data!$D$1:$D$768))/_xlfn.STDEV.P(pima_data!$D$1:$D$768)</f>
        <v>0.719085741996565</v>
      </c>
      <c r="E263" s="5">
        <f>(pima_data!E263-AVERAGE(pima_data!$E$1:$E$768))/_xlfn.STDEV.P(pima_data!$E$1:$E$768)</f>
        <v>-0.692890572295466</v>
      </c>
      <c r="F263" s="5">
        <f>(pima_data!F263-AVERAGE(pima_data!$F$1:$F$768))/_xlfn.STDEV.P(pima_data!$F$1:$F$768)</f>
        <v>0.0136339033098991</v>
      </c>
      <c r="G263" s="5">
        <f>(pima_data!G263-AVERAGE(pima_data!$G$1:$G$768))/_xlfn.STDEV.P(pima_data!$G$1:$G$768)</f>
        <v>0.423190197218315</v>
      </c>
      <c r="H263" s="5">
        <f>(pima_data!H263-AVERAGE(pima_data!$H$1:$H$768))/_xlfn.STDEV.P(pima_data!$H$1:$H$768)</f>
        <v>-0.786286177079398</v>
      </c>
    </row>
    <row r="264" spans="1:8">
      <c r="A264" s="5">
        <f>(pima_data!A264-AVERAGE(pima_data!$A$1:$A$768))/_xlfn.STDEV.P(pima_data!$A$1:$A$768)</f>
        <v>-0.25095212800207</v>
      </c>
      <c r="B264" s="5">
        <f>(pima_data!B264-AVERAGE(pima_data!$B$1:$B$768))/_xlfn.STDEV.P(pima_data!$B$1:$B$768)</f>
        <v>0.66054092266475</v>
      </c>
      <c r="C264" s="5">
        <f>(pima_data!C264-AVERAGE(pima_data!$C$1:$C$768))/_xlfn.STDEV.P(pima_data!$C$1:$C$768)</f>
        <v>0.563222751794969</v>
      </c>
      <c r="D264" s="5">
        <f>(pima_data!D264-AVERAGE(pima_data!$D$1:$D$768))/_xlfn.STDEV.P(pima_data!$D$1:$D$768)</f>
        <v>-0.347291296566265</v>
      </c>
      <c r="E264" s="5">
        <f>(pima_data!E264-AVERAGE(pima_data!$E$1:$E$768))/_xlfn.STDEV.P(pima_data!$E$1:$E$768)</f>
        <v>-0.692890572295466</v>
      </c>
      <c r="F264" s="5">
        <f>(pima_data!F264-AVERAGE(pima_data!$F$1:$F$768))/_xlfn.STDEV.P(pima_data!$F$1:$F$768)</f>
        <v>0.0517096769171717</v>
      </c>
      <c r="G264" s="5">
        <f>(pima_data!G264-AVERAGE(pima_data!$G$1:$G$768))/_xlfn.STDEV.P(pima_data!$G$1:$G$768)</f>
        <v>-0.821098697852352</v>
      </c>
      <c r="H264" s="5">
        <f>(pima_data!H264-AVERAGE(pima_data!$H$1:$H$768))/_xlfn.STDEV.P(pima_data!$H$1:$H$768)</f>
        <v>2.53213619517397</v>
      </c>
    </row>
    <row r="265" spans="1:8">
      <c r="A265" s="5">
        <f>(pima_data!A265-AVERAGE(pima_data!$A$1:$A$768))/_xlfn.STDEV.P(pima_data!$A$1:$A$768)</f>
        <v>0.0460143347184072</v>
      </c>
      <c r="B265" s="5">
        <f>(pima_data!B265-AVERAGE(pima_data!$B$1:$B$768))/_xlfn.STDEV.P(pima_data!$B$1:$B$768)</f>
        <v>0.0658951614503609</v>
      </c>
      <c r="C265" s="5">
        <f>(pima_data!C265-AVERAGE(pima_data!$C$1:$C$768))/_xlfn.STDEV.P(pima_data!$C$1:$C$768)</f>
        <v>-0.367336746330243</v>
      </c>
      <c r="D265" s="5">
        <f>(pima_data!D265-AVERAGE(pima_data!$D$1:$D$768))/_xlfn.STDEV.P(pima_data!$D$1:$D$768)</f>
        <v>-1.28821221294523</v>
      </c>
      <c r="E265" s="5">
        <f>(pima_data!E265-AVERAGE(pima_data!$E$1:$E$768))/_xlfn.STDEV.P(pima_data!$E$1:$E$768)</f>
        <v>-0.692890572295466</v>
      </c>
      <c r="F265" s="5">
        <f>(pima_data!F265-AVERAGE(pima_data!$F$1:$F$768))/_xlfn.STDEV.P(pima_data!$F$1:$F$768)</f>
        <v>0.000941978774141239</v>
      </c>
      <c r="G265" s="5">
        <f>(pima_data!G265-AVERAGE(pima_data!$G$1:$G$768))/_xlfn.STDEV.P(pima_data!$G$1:$G$768)</f>
        <v>-0.742575612241096</v>
      </c>
      <c r="H265" s="5">
        <f>(pima_data!H265-AVERAGE(pima_data!$H$1:$H$768))/_xlfn.STDEV.P(pima_data!$H$1:$H$768)</f>
        <v>0.14967910740232</v>
      </c>
    </row>
    <row r="266" spans="1:8">
      <c r="A266" s="5">
        <f>(pima_data!A266-AVERAGE(pima_data!$A$1:$A$768))/_xlfn.STDEV.P(pima_data!$A$1:$A$768)</f>
        <v>0.342980797438884</v>
      </c>
      <c r="B266" s="5">
        <f>(pima_data!B266-AVERAGE(pima_data!$B$1:$B$768))/_xlfn.STDEV.P(pima_data!$B$1:$B$768)</f>
        <v>-0.779127762380613</v>
      </c>
      <c r="C266" s="5">
        <f>(pima_data!C266-AVERAGE(pima_data!$C$1:$C$768))/_xlfn.STDEV.P(pima_data!$C$1:$C$768)</f>
        <v>0.253036252419898</v>
      </c>
      <c r="D266" s="5">
        <f>(pima_data!D266-AVERAGE(pima_data!$D$1:$D$768))/_xlfn.STDEV.P(pima_data!$D$1:$D$768)</f>
        <v>-0.159107113290471</v>
      </c>
      <c r="E266" s="5">
        <f>(pima_data!E266-AVERAGE(pima_data!$E$1:$E$768))/_xlfn.STDEV.P(pima_data!$E$1:$E$768)</f>
        <v>-0.111136545469837</v>
      </c>
      <c r="F266" s="5">
        <f>(pima_data!F266-AVERAGE(pima_data!$F$1:$F$768))/_xlfn.STDEV.P(pima_data!$F$1:$F$768)</f>
        <v>0.204012771346264</v>
      </c>
      <c r="G266" s="5">
        <f>(pima_data!G266-AVERAGE(pima_data!$G$1:$G$768))/_xlfn.STDEV.P(pima_data!$G$1:$G$768)</f>
        <v>1.58593588800037</v>
      </c>
      <c r="H266" s="5">
        <f>(pima_data!H266-AVERAGE(pima_data!$H$1:$H$768))/_xlfn.STDEV.P(pima_data!$H$1:$H$768)</f>
        <v>0.830381132479934</v>
      </c>
    </row>
    <row r="267" spans="1:8">
      <c r="A267" s="5">
        <f>(pima_data!A267-AVERAGE(pima_data!$A$1:$A$768))/_xlfn.STDEV.P(pima_data!$A$1:$A$768)</f>
        <v>-1.1418515161635</v>
      </c>
      <c r="B267" s="5">
        <f>(pima_data!B267-AVERAGE(pima_data!$B$1:$B$768))/_xlfn.STDEV.P(pima_data!$B$1:$B$768)</f>
        <v>0.535352341356457</v>
      </c>
      <c r="C267" s="5">
        <f>(pima_data!C267-AVERAGE(pima_data!$C$1:$C$768))/_xlfn.STDEV.P(pima_data!$C$1:$C$768)</f>
        <v>-3.57259723987264</v>
      </c>
      <c r="D267" s="5">
        <f>(pima_data!D267-AVERAGE(pima_data!$D$1:$D$768))/_xlfn.STDEV.P(pima_data!$D$1:$D$768)</f>
        <v>-1.28821221294523</v>
      </c>
      <c r="E267" s="5">
        <f>(pima_data!E267-AVERAGE(pima_data!$E$1:$E$768))/_xlfn.STDEV.P(pima_data!$E$1:$E$768)</f>
        <v>-0.692890572295466</v>
      </c>
      <c r="F267" s="5">
        <f>(pima_data!F267-AVERAGE(pima_data!$F$1:$F$768))/_xlfn.STDEV.P(pima_data!$F$1:$F$768)</f>
        <v>0.54669473381172</v>
      </c>
      <c r="G267" s="5">
        <f>(pima_data!G267-AVERAGE(pima_data!$G$1:$G$768))/_xlfn.STDEV.P(pima_data!$G$1:$G$768)</f>
        <v>1.39264829264959</v>
      </c>
      <c r="H267" s="5">
        <f>(pima_data!H267-AVERAGE(pima_data!$H$1:$H$768))/_xlfn.STDEV.P(pima_data!$H$1:$H$768)</f>
        <v>-0.701198423944696</v>
      </c>
    </row>
    <row r="268" spans="1:8">
      <c r="A268" s="5">
        <f>(pima_data!A268-AVERAGE(pima_data!$A$1:$A$768))/_xlfn.STDEV.P(pima_data!$A$1:$A$768)</f>
        <v>-0.547918590722547</v>
      </c>
      <c r="B268" s="5">
        <f>(pima_data!B268-AVERAGE(pima_data!$B$1:$B$768))/_xlfn.STDEV.P(pima_data!$B$1:$B$768)</f>
        <v>0.222380888085726</v>
      </c>
      <c r="C268" s="5">
        <f>(pima_data!C268-AVERAGE(pima_data!$C$1:$C$768))/_xlfn.STDEV.P(pima_data!$C$1:$C$768)</f>
        <v>-0.263941246538553</v>
      </c>
      <c r="D268" s="5">
        <f>(pima_data!D268-AVERAGE(pima_data!$D$1:$D$768))/_xlfn.STDEV.P(pima_data!$D$1:$D$768)</f>
        <v>1.34636635291588</v>
      </c>
      <c r="E268" s="5">
        <f>(pima_data!E268-AVERAGE(pima_data!$E$1:$E$768))/_xlfn.STDEV.P(pima_data!$E$1:$E$768)</f>
        <v>-0.692890572295466</v>
      </c>
      <c r="F268" s="5">
        <f>(pima_data!F268-AVERAGE(pima_data!$F$1:$F$768))/_xlfn.STDEV.P(pima_data!$F$1:$F$768)</f>
        <v>1.01629594163475</v>
      </c>
      <c r="G268" s="5">
        <f>(pima_data!G268-AVERAGE(pima_data!$G$1:$G$768))/_xlfn.STDEV.P(pima_data!$G$1:$G$768)</f>
        <v>1.90002823044539</v>
      </c>
      <c r="H268" s="5">
        <f>(pima_data!H268-AVERAGE(pima_data!$H$1:$H$768))/_xlfn.STDEV.P(pima_data!$H$1:$H$768)</f>
        <v>-0.786286177079398</v>
      </c>
    </row>
    <row r="269" spans="1:8">
      <c r="A269" s="5">
        <f>(pima_data!A269-AVERAGE(pima_data!$A$1:$A$768))/_xlfn.STDEV.P(pima_data!$A$1:$A$768)</f>
        <v>-1.1418515161635</v>
      </c>
      <c r="B269" s="5">
        <f>(pima_data!B269-AVERAGE(pima_data!$B$1:$B$768))/_xlfn.STDEV.P(pima_data!$B$1:$B$768)</f>
        <v>-0.591344890418174</v>
      </c>
      <c r="C269" s="5">
        <f>(pima_data!C269-AVERAGE(pima_data!$C$1:$C$768))/_xlfn.STDEV.P(pima_data!$C$1:$C$768)</f>
        <v>-0.884314245288695</v>
      </c>
      <c r="D269" s="5">
        <f>(pima_data!D269-AVERAGE(pima_data!$D$1:$D$768))/_xlfn.STDEV.P(pima_data!$D$1:$D$768)</f>
        <v>-1.28821221294523</v>
      </c>
      <c r="E269" s="5">
        <f>(pima_data!E269-AVERAGE(pima_data!$E$1:$E$768))/_xlfn.STDEV.P(pima_data!$E$1:$E$768)</f>
        <v>-0.692890572295466</v>
      </c>
      <c r="F269" s="5">
        <f>(pima_data!F269-AVERAGE(pima_data!$F$1:$F$768))/_xlfn.STDEV.P(pima_data!$F$1:$F$768)</f>
        <v>-0.874800814193137</v>
      </c>
      <c r="G269" s="5">
        <f>(pima_data!G269-AVERAGE(pima_data!$G$1:$G$768))/_xlfn.STDEV.P(pima_data!$G$1:$G$768)</f>
        <v>-1.18955317648978</v>
      </c>
      <c r="H269" s="5">
        <f>(pima_data!H269-AVERAGE(pima_data!$H$1:$H$768))/_xlfn.STDEV.P(pima_data!$H$1:$H$768)</f>
        <v>-1.0415494364835</v>
      </c>
    </row>
    <row r="270" spans="1:8">
      <c r="A270" s="5">
        <f>(pima_data!A270-AVERAGE(pima_data!$A$1:$A$768))/_xlfn.STDEV.P(pima_data!$A$1:$A$768)</f>
        <v>-0.547918590722547</v>
      </c>
      <c r="B270" s="5">
        <f>(pima_data!B270-AVERAGE(pima_data!$B$1:$B$768))/_xlfn.STDEV.P(pima_data!$B$1:$B$768)</f>
        <v>0.785729503973042</v>
      </c>
      <c r="C270" s="5">
        <f>(pima_data!C270-AVERAGE(pima_data!$C$1:$C$768))/_xlfn.STDEV.P(pima_data!$C$1:$C$768)</f>
        <v>-3.57259723987264</v>
      </c>
      <c r="D270" s="5">
        <f>(pima_data!D270-AVERAGE(pima_data!$D$1:$D$768))/_xlfn.STDEV.P(pima_data!$D$1:$D$768)</f>
        <v>-1.28821221294523</v>
      </c>
      <c r="E270" s="5">
        <f>(pima_data!E270-AVERAGE(pima_data!$E$1:$E$768))/_xlfn.STDEV.P(pima_data!$E$1:$E$768)</f>
        <v>-0.692890572295466</v>
      </c>
      <c r="F270" s="5">
        <f>(pima_data!F270-AVERAGE(pima_data!$F$1:$F$768))/_xlfn.STDEV.P(pima_data!$F$1:$F$768)</f>
        <v>-0.570194625334953</v>
      </c>
      <c r="G270" s="5">
        <f>(pima_data!G270-AVERAGE(pima_data!$G$1:$G$768))/_xlfn.STDEV.P(pima_data!$G$1:$G$768)</f>
        <v>-0.700293950758113</v>
      </c>
      <c r="H270" s="5">
        <f>(pima_data!H270-AVERAGE(pima_data!$H$1:$H$768))/_xlfn.STDEV.P(pima_data!$H$1:$H$768)</f>
        <v>-0.445935164540591</v>
      </c>
    </row>
    <row r="271" spans="1:8">
      <c r="A271" s="5">
        <f>(pima_data!A271-AVERAGE(pima_data!$A$1:$A$768))/_xlfn.STDEV.P(pima_data!$A$1:$A$768)</f>
        <v>1.82781311104127</v>
      </c>
      <c r="B271" s="5">
        <f>(pima_data!B271-AVERAGE(pima_data!$B$1:$B$768))/_xlfn.STDEV.P(pima_data!$B$1:$B$768)</f>
        <v>-0.622642035745247</v>
      </c>
      <c r="C271" s="5">
        <f>(pima_data!C271-AVERAGE(pima_data!$C$1:$C$768))/_xlfn.STDEV.P(pima_data!$C$1:$C$768)</f>
        <v>0.87340925117004</v>
      </c>
      <c r="D271" s="5">
        <f>(pima_data!D271-AVERAGE(pima_data!$D$1:$D$768))/_xlfn.STDEV.P(pima_data!$D$1:$D$768)</f>
        <v>1.03272604745622</v>
      </c>
      <c r="E271" s="5">
        <f>(pima_data!E271-AVERAGE(pima_data!$E$1:$E$768))/_xlfn.STDEV.P(pima_data!$E$1:$E$768)</f>
        <v>-0.692890572295466</v>
      </c>
      <c r="F271" s="5">
        <f>(pima_data!F271-AVERAGE(pima_data!$F$1:$F$768))/_xlfn.STDEV.P(pima_data!$F$1:$F$768)</f>
        <v>1.72704371563718</v>
      </c>
      <c r="G271" s="5">
        <f>(pima_data!G271-AVERAGE(pima_data!$G$1:$G$768))/_xlfn.STDEV.P(pima_data!$G$1:$G$768)</f>
        <v>2.00573238415285</v>
      </c>
      <c r="H271" s="5">
        <f>(pima_data!H271-AVERAGE(pima_data!$H$1:$H$768))/_xlfn.STDEV.P(pima_data!$H$1:$H$768)</f>
        <v>0.404942366806425</v>
      </c>
    </row>
    <row r="272" spans="1:8">
      <c r="A272" s="5">
        <f>(pima_data!A272-AVERAGE(pima_data!$A$1:$A$768))/_xlfn.STDEV.P(pima_data!$A$1:$A$768)</f>
        <v>-0.547918590722547</v>
      </c>
      <c r="B272" s="5">
        <f>(pima_data!B272-AVERAGE(pima_data!$B$1:$B$768))/_xlfn.STDEV.P(pima_data!$B$1:$B$768)</f>
        <v>-0.403562018455736</v>
      </c>
      <c r="C272" s="5">
        <f>(pima_data!C272-AVERAGE(pima_data!$C$1:$C$768))/_xlfn.STDEV.P(pima_data!$C$1:$C$768)</f>
        <v>-0.367336746330243</v>
      </c>
      <c r="D272" s="5">
        <f>(pima_data!D272-AVERAGE(pima_data!$D$1:$D$768))/_xlfn.STDEV.P(pima_data!$D$1:$D$768)</f>
        <v>0.719085741996565</v>
      </c>
      <c r="E272" s="5">
        <f>(pima_data!E272-AVERAGE(pima_data!$E$1:$E$768))/_xlfn.STDEV.P(pima_data!$E$1:$E$768)</f>
        <v>-0.206648400620314</v>
      </c>
      <c r="F272" s="5">
        <f>(pima_data!F272-AVERAGE(pima_data!$F$1:$F$768))/_xlfn.STDEV.P(pima_data!$F$1:$F$768)</f>
        <v>-0.862108889657379</v>
      </c>
      <c r="G272" s="5">
        <f>(pima_data!G272-AVERAGE(pima_data!$G$1:$G$768))/_xlfn.STDEV.P(pima_data!$G$1:$G$768)</f>
        <v>-1.03854724262198</v>
      </c>
      <c r="H272" s="5">
        <f>(pima_data!H272-AVERAGE(pima_data!$H$1:$H$768))/_xlfn.STDEV.P(pima_data!$H$1:$H$768)</f>
        <v>-1.0415494364835</v>
      </c>
    </row>
    <row r="273" spans="1:8">
      <c r="A273" s="5">
        <f>(pima_data!A273-AVERAGE(pima_data!$A$1:$A$768))/_xlfn.STDEV.P(pima_data!$A$1:$A$768)</f>
        <v>-0.25095212800207</v>
      </c>
      <c r="B273" s="5">
        <f>(pima_data!B273-AVERAGE(pima_data!$B$1:$B$768))/_xlfn.STDEV.P(pima_data!$B$1:$B$768)</f>
        <v>0.0345980161232878</v>
      </c>
      <c r="C273" s="5">
        <f>(pima_data!C273-AVERAGE(pima_data!$C$1:$C$768))/_xlfn.STDEV.P(pima_data!$C$1:$C$768)</f>
        <v>0.459827252003279</v>
      </c>
      <c r="D273" s="5">
        <f>(pima_data!D273-AVERAGE(pima_data!$D$1:$D$768))/_xlfn.STDEV.P(pima_data!$D$1:$D$768)</f>
        <v>-1.28821221294523</v>
      </c>
      <c r="E273" s="5">
        <f>(pima_data!E273-AVERAGE(pima_data!$E$1:$E$768))/_xlfn.STDEV.P(pima_data!$E$1:$E$768)</f>
        <v>-0.692890572295466</v>
      </c>
      <c r="F273" s="5">
        <f>(pima_data!F273-AVERAGE(pima_data!$F$1:$F$768))/_xlfn.STDEV.P(pima_data!$F$1:$F$768)</f>
        <v>-1.14133122944405</v>
      </c>
      <c r="G273" s="5">
        <f>(pima_data!G273-AVERAGE(pima_data!$G$1:$G$768))/_xlfn.STDEV.P(pima_data!$G$1:$G$768)</f>
        <v>-0.658012289275129</v>
      </c>
      <c r="H273" s="5">
        <f>(pima_data!H273-AVERAGE(pima_data!$H$1:$H$768))/_xlfn.STDEV.P(pima_data!$H$1:$H$768)</f>
        <v>0.575117873075829</v>
      </c>
    </row>
    <row r="274" spans="1:8">
      <c r="A274" s="5">
        <f>(pima_data!A274-AVERAGE(pima_data!$A$1:$A$768))/_xlfn.STDEV.P(pima_data!$A$1:$A$768)</f>
        <v>-0.844885053443025</v>
      </c>
      <c r="B274" s="5">
        <f>(pima_data!B274-AVERAGE(pima_data!$B$1:$B$768))/_xlfn.STDEV.P(pima_data!$B$1:$B$768)</f>
        <v>-1.56155639555744</v>
      </c>
      <c r="C274" s="5">
        <f>(pima_data!C274-AVERAGE(pima_data!$C$1:$C$768))/_xlfn.STDEV.P(pima_data!$C$1:$C$768)</f>
        <v>0.459827252003279</v>
      </c>
      <c r="D274" s="5">
        <f>(pima_data!D274-AVERAGE(pima_data!$D$1:$D$768))/_xlfn.STDEV.P(pima_data!$D$1:$D$768)</f>
        <v>1.84819084165133</v>
      </c>
      <c r="E274" s="5">
        <f>(pima_data!E274-AVERAGE(pima_data!$E$1:$E$768))/_xlfn.STDEV.P(pima_data!$E$1:$E$768)</f>
        <v>-0.30216025577079</v>
      </c>
      <c r="F274" s="5">
        <f>(pima_data!F274-AVERAGE(pima_data!$F$1:$F$768))/_xlfn.STDEV.P(pima_data!$F$1:$F$768)</f>
        <v>0.153245073203233</v>
      </c>
      <c r="G274" s="5">
        <f>(pima_data!G274-AVERAGE(pima_data!$G$1:$G$768))/_xlfn.STDEV.P(pima_data!$G$1:$G$768)</f>
        <v>-0.150632351479323</v>
      </c>
      <c r="H274" s="5">
        <f>(pima_data!H274-AVERAGE(pima_data!$H$1:$H$768))/_xlfn.STDEV.P(pima_data!$H$1:$H$768)</f>
        <v>-1.0415494364835</v>
      </c>
    </row>
    <row r="275" spans="1:8">
      <c r="A275" s="5">
        <f>(pima_data!A275-AVERAGE(pima_data!$A$1:$A$768))/_xlfn.STDEV.P(pima_data!$A$1:$A$768)</f>
        <v>2.7187124992027</v>
      </c>
      <c r="B275" s="5">
        <f>(pima_data!B275-AVERAGE(pima_data!$B$1:$B$768))/_xlfn.STDEV.P(pima_data!$B$1:$B$768)</f>
        <v>-0.466156309109882</v>
      </c>
      <c r="C275" s="5">
        <f>(pima_data!C275-AVERAGE(pima_data!$C$1:$C$768))/_xlfn.STDEV.P(pima_data!$C$1:$C$768)</f>
        <v>0.0462452528365177</v>
      </c>
      <c r="D275" s="5">
        <f>(pima_data!D275-AVERAGE(pima_data!$D$1:$D$768))/_xlfn.STDEV.P(pima_data!$D$1:$D$768)</f>
        <v>-1.28821221294523</v>
      </c>
      <c r="E275" s="5">
        <f>(pima_data!E275-AVERAGE(pima_data!$E$1:$E$768))/_xlfn.STDEV.P(pima_data!$E$1:$E$768)</f>
        <v>-0.692890572295466</v>
      </c>
      <c r="F275" s="5">
        <f>(pima_data!F275-AVERAGE(pima_data!$F$1:$F$768))/_xlfn.STDEV.P(pima_data!$F$1:$F$768)</f>
        <v>0.28016431856081</v>
      </c>
      <c r="G275" s="5">
        <f>(pima_data!G275-AVERAGE(pima_data!$G$1:$G$768))/_xlfn.STDEV.P(pima_data!$G$1:$G$768)</f>
        <v>-0.667072645307197</v>
      </c>
      <c r="H275" s="5">
        <f>(pima_data!H275-AVERAGE(pima_data!$H$1:$H$768))/_xlfn.STDEV.P(pima_data!$H$1:$H$768)</f>
        <v>1.59617091069225</v>
      </c>
    </row>
    <row r="276" spans="1:8">
      <c r="A276" s="5">
        <f>(pima_data!A276-AVERAGE(pima_data!$A$1:$A$768))/_xlfn.STDEV.P(pima_data!$A$1:$A$768)</f>
        <v>-0.547918590722547</v>
      </c>
      <c r="B276" s="5">
        <f>(pima_data!B276-AVERAGE(pima_data!$B$1:$B$768))/_xlfn.STDEV.P(pima_data!$B$1:$B$768)</f>
        <v>-0.65393918107232</v>
      </c>
      <c r="C276" s="5">
        <f>(pima_data!C276-AVERAGE(pima_data!$C$1:$C$768))/_xlfn.STDEV.P(pima_data!$C$1:$C$768)</f>
        <v>0.0462452528365177</v>
      </c>
      <c r="D276" s="5">
        <f>(pima_data!D276-AVERAGE(pima_data!$D$1:$D$768))/_xlfn.STDEV.P(pima_data!$D$1:$D$768)</f>
        <v>1.97364696383519</v>
      </c>
      <c r="E276" s="5">
        <f>(pima_data!E276-AVERAGE(pima_data!$E$1:$E$768))/_xlfn.STDEV.P(pima_data!$E$1:$E$768)</f>
        <v>-0.197965504697543</v>
      </c>
      <c r="F276" s="5">
        <f>(pima_data!F276-AVERAGE(pima_data!$F$1:$F$768))/_xlfn.STDEV.P(pima_data!$F$1:$F$768)</f>
        <v>1.07975556431354</v>
      </c>
      <c r="G276" s="5">
        <f>(pima_data!G276-AVERAGE(pima_data!$G$1:$G$768))/_xlfn.STDEV.P(pima_data!$G$1:$G$768)</f>
        <v>0.619497911246455</v>
      </c>
      <c r="H276" s="5">
        <f>(pima_data!H276-AVERAGE(pima_data!$H$1:$H$768))/_xlfn.STDEV.P(pima_data!$H$1:$H$768)</f>
        <v>-0.701198423944696</v>
      </c>
    </row>
    <row r="277" spans="1:8">
      <c r="A277" s="5">
        <f>(pima_data!A277-AVERAGE(pima_data!$A$1:$A$768))/_xlfn.STDEV.P(pima_data!$A$1:$A$768)</f>
        <v>0.936913722879839</v>
      </c>
      <c r="B277" s="5">
        <f>(pima_data!B277-AVERAGE(pima_data!$B$1:$B$768))/_xlfn.STDEV.P(pima_data!$B$1:$B$768)</f>
        <v>-0.466156309109882</v>
      </c>
      <c r="C277" s="5">
        <f>(pima_data!C277-AVERAGE(pima_data!$C$1:$C$768))/_xlfn.STDEV.P(pima_data!$C$1:$C$768)</f>
        <v>-0.470732246121934</v>
      </c>
      <c r="D277" s="5">
        <f>(pima_data!D277-AVERAGE(pima_data!$D$1:$D$768))/_xlfn.STDEV.P(pima_data!$D$1:$D$768)</f>
        <v>0.217261253261116</v>
      </c>
      <c r="E277" s="5">
        <f>(pima_data!E277-AVERAGE(pima_data!$E$1:$E$768))/_xlfn.STDEV.P(pima_data!$E$1:$E$768)</f>
        <v>-0.692890572295466</v>
      </c>
      <c r="F277" s="5">
        <f>(pima_data!F277-AVERAGE(pima_data!$F$1:$F$768))/_xlfn.STDEV.P(pima_data!$F$1:$F$768)</f>
        <v>-0.69711387069253</v>
      </c>
      <c r="G277" s="5">
        <f>(pima_data!G277-AVERAGE(pima_data!$G$1:$G$768))/_xlfn.STDEV.P(pima_data!$G$1:$G$768)</f>
        <v>-0.531167304826177</v>
      </c>
      <c r="H277" s="5">
        <f>(pima_data!H277-AVERAGE(pima_data!$H$1:$H$768))/_xlfn.STDEV.P(pima_data!$H$1:$H$768)</f>
        <v>-0.360847411405889</v>
      </c>
    </row>
    <row r="278" spans="1:8">
      <c r="A278" s="5">
        <f>(pima_data!A278-AVERAGE(pima_data!$A$1:$A$768))/_xlfn.STDEV.P(pima_data!$A$1:$A$768)</f>
        <v>-1.1418515161635</v>
      </c>
      <c r="B278" s="5">
        <f>(pima_data!B278-AVERAGE(pima_data!$B$1:$B$768))/_xlfn.STDEV.P(pima_data!$B$1:$B$768)</f>
        <v>-0.528750599764028</v>
      </c>
      <c r="C278" s="5">
        <f>(pima_data!C278-AVERAGE(pima_data!$C$1:$C$768))/_xlfn.STDEV.P(pima_data!$C$1:$C$768)</f>
        <v>-0.263941246538553</v>
      </c>
      <c r="D278" s="5">
        <f>(pima_data!D278-AVERAGE(pima_data!$D$1:$D$768))/_xlfn.STDEV.P(pima_data!$D$1:$D$768)</f>
        <v>0.154533192169185</v>
      </c>
      <c r="E278" s="5">
        <f>(pima_data!E278-AVERAGE(pima_data!$E$1:$E$768))/_xlfn.STDEV.P(pima_data!$E$1:$E$768)</f>
        <v>0.314325354745922</v>
      </c>
      <c r="F278" s="5">
        <f>(pima_data!F278-AVERAGE(pima_data!$F$1:$F$768))/_xlfn.STDEV.P(pima_data!$F$1:$F$768)</f>
        <v>-0.53211885172768</v>
      </c>
      <c r="G278" s="5">
        <f>(pima_data!G278-AVERAGE(pima_data!$G$1:$G$768))/_xlfn.STDEV.P(pima_data!$G$1:$G$768)</f>
        <v>-0.0539885538039308</v>
      </c>
      <c r="H278" s="5">
        <f>(pima_data!H278-AVERAGE(pima_data!$H$1:$H$768))/_xlfn.STDEV.P(pima_data!$H$1:$H$768)</f>
        <v>-0.871373930214099</v>
      </c>
    </row>
    <row r="279" spans="1:8">
      <c r="A279" s="5">
        <f>(pima_data!A279-AVERAGE(pima_data!$A$1:$A$768))/_xlfn.STDEV.P(pima_data!$A$1:$A$768)</f>
        <v>0.342980797438884</v>
      </c>
      <c r="B279" s="5">
        <f>(pima_data!B279-AVERAGE(pima_data!$B$1:$B$768))/_xlfn.STDEV.P(pima_data!$B$1:$B$768)</f>
        <v>-0.215779146493297</v>
      </c>
      <c r="C279" s="5">
        <f>(pima_data!C279-AVERAGE(pima_data!$C$1:$C$768))/_xlfn.STDEV.P(pima_data!$C$1:$C$768)</f>
        <v>0.253036252419898</v>
      </c>
      <c r="D279" s="5">
        <f>(pima_data!D279-AVERAGE(pima_data!$D$1:$D$768))/_xlfn.STDEV.P(pima_data!$D$1:$D$768)</f>
        <v>-1.28821221294523</v>
      </c>
      <c r="E279" s="5">
        <f>(pima_data!E279-AVERAGE(pima_data!$E$1:$E$768))/_xlfn.STDEV.P(pima_data!$E$1:$E$768)</f>
        <v>-0.692890572295466</v>
      </c>
      <c r="F279" s="5">
        <f>(pima_data!F279-AVERAGE(pima_data!$F$1:$F$768))/_xlfn.STDEV.P(pima_data!$F$1:$F$768)</f>
        <v>-0.900184663264652</v>
      </c>
      <c r="G279" s="5">
        <f>(pima_data!G279-AVERAGE(pima_data!$G$1:$G$768))/_xlfn.STDEV.P(pima_data!$G$1:$G$768)</f>
        <v>0.821845862629306</v>
      </c>
      <c r="H279" s="5">
        <f>(pima_data!H279-AVERAGE(pima_data!$H$1:$H$768))/_xlfn.STDEV.P(pima_data!$H$1:$H$768)</f>
        <v>2.02160967636576</v>
      </c>
    </row>
    <row r="280" spans="1:8">
      <c r="A280" s="5">
        <f>(pima_data!A280-AVERAGE(pima_data!$A$1:$A$768))/_xlfn.STDEV.P(pima_data!$A$1:$A$768)</f>
        <v>-0.547918590722547</v>
      </c>
      <c r="B280" s="5">
        <f>(pima_data!B280-AVERAGE(pima_data!$B$1:$B$768))/_xlfn.STDEV.P(pima_data!$B$1:$B$768)</f>
        <v>-0.403562018455736</v>
      </c>
      <c r="C280" s="5">
        <f>(pima_data!C280-AVERAGE(pima_data!$C$1:$C$768))/_xlfn.STDEV.P(pima_data!$C$1:$C$768)</f>
        <v>-0.367336746330243</v>
      </c>
      <c r="D280" s="5">
        <f>(pima_data!D280-AVERAGE(pima_data!$D$1:$D$768))/_xlfn.STDEV.P(pima_data!$D$1:$D$768)</f>
        <v>-0.660931602025921</v>
      </c>
      <c r="E280" s="5">
        <f>(pima_data!E280-AVERAGE(pima_data!$E$1:$E$768))/_xlfn.STDEV.P(pima_data!$E$1:$E$768)</f>
        <v>1.72095449423476</v>
      </c>
      <c r="F280" s="5">
        <f>(pima_data!F280-AVERAGE(pima_data!$F$1:$F$768))/_xlfn.STDEV.P(pima_data!$F$1:$F$768)</f>
        <v>-0.849416965121621</v>
      </c>
      <c r="G280" s="5">
        <f>(pima_data!G280-AVERAGE(pima_data!$G$1:$G$768))/_xlfn.STDEV.P(pima_data!$G$1:$G$768)</f>
        <v>1.23560212142708</v>
      </c>
      <c r="H280" s="5">
        <f>(pima_data!H280-AVERAGE(pima_data!$H$1:$H$768))/_xlfn.STDEV.P(pima_data!$H$1:$H$768)</f>
        <v>-0.956461683348801</v>
      </c>
    </row>
    <row r="281" spans="1:8">
      <c r="A281" s="5">
        <f>(pima_data!A281-AVERAGE(pima_data!$A$1:$A$768))/_xlfn.STDEV.P(pima_data!$A$1:$A$768)</f>
        <v>-1.1418515161635</v>
      </c>
      <c r="B281" s="5">
        <f>(pima_data!B281-AVERAGE(pima_data!$B$1:$B$768))/_xlfn.STDEV.P(pima_data!$B$1:$B$768)</f>
        <v>0.785729503973042</v>
      </c>
      <c r="C281" s="5">
        <f>(pima_data!C281-AVERAGE(pima_data!$C$1:$C$768))/_xlfn.STDEV.P(pima_data!$C$1:$C$768)</f>
        <v>0.0462452528365177</v>
      </c>
      <c r="D281" s="5">
        <f>(pima_data!D281-AVERAGE(pima_data!$D$1:$D$768))/_xlfn.STDEV.P(pima_data!$D$1:$D$768)</f>
        <v>-1.28821221294523</v>
      </c>
      <c r="E281" s="5">
        <f>(pima_data!E281-AVERAGE(pima_data!$E$1:$E$768))/_xlfn.STDEV.P(pima_data!$E$1:$E$768)</f>
        <v>-0.692890572295466</v>
      </c>
      <c r="F281" s="5">
        <f>(pima_data!F281-AVERAGE(pima_data!$F$1:$F$768))/_xlfn.STDEV.P(pima_data!$F$1:$F$768)</f>
        <v>0.749765526383843</v>
      </c>
      <c r="G281" s="5">
        <f>(pima_data!G281-AVERAGE(pima_data!$G$1:$G$768))/_xlfn.STDEV.P(pima_data!$G$1:$G$768)</f>
        <v>-0.41640279508665</v>
      </c>
      <c r="H281" s="5">
        <f>(pima_data!H281-AVERAGE(pima_data!$H$1:$H$768))/_xlfn.STDEV.P(pima_data!$H$1:$H$768)</f>
        <v>-0.445935164540591</v>
      </c>
    </row>
    <row r="282" spans="1:8">
      <c r="A282" s="5">
        <f>(pima_data!A282-AVERAGE(pima_data!$A$1:$A$768))/_xlfn.STDEV.P(pima_data!$A$1:$A$768)</f>
        <v>1.82781311104127</v>
      </c>
      <c r="B282" s="5">
        <f>(pima_data!B282-AVERAGE(pima_data!$B$1:$B$768))/_xlfn.STDEV.P(pima_data!$B$1:$B$768)</f>
        <v>0.253678033412799</v>
      </c>
      <c r="C282" s="5">
        <f>(pima_data!C282-AVERAGE(pima_data!$C$1:$C$768))/_xlfn.STDEV.P(pima_data!$C$1:$C$768)</f>
        <v>0.356431752211589</v>
      </c>
      <c r="D282" s="5">
        <f>(pima_data!D282-AVERAGE(pima_data!$D$1:$D$768))/_xlfn.STDEV.P(pima_data!$D$1:$D$768)</f>
        <v>0.468173497628841</v>
      </c>
      <c r="E282" s="5">
        <f>(pima_data!E282-AVERAGE(pima_data!$E$1:$E$768))/_xlfn.STDEV.P(pima_data!$E$1:$E$768)</f>
        <v>0.366422730282545</v>
      </c>
      <c r="F282" s="5">
        <f>(pima_data!F282-AVERAGE(pima_data!$F$1:$F$768))/_xlfn.STDEV.P(pima_data!$F$1:$F$768)</f>
        <v>0.49592703566869</v>
      </c>
      <c r="G282" s="5">
        <f>(pima_data!G282-AVERAGE(pima_data!$G$1:$G$768))/_xlfn.STDEV.P(pima_data!$G$1:$G$768)</f>
        <v>-0.579489203663873</v>
      </c>
      <c r="H282" s="5">
        <f>(pima_data!H282-AVERAGE(pima_data!$H$1:$H$768))/_xlfn.STDEV.P(pima_data!$H$1:$H$768)</f>
        <v>0.490030119941127</v>
      </c>
    </row>
    <row r="283" spans="1:8">
      <c r="A283" s="5">
        <f>(pima_data!A283-AVERAGE(pima_data!$A$1:$A$768))/_xlfn.STDEV.P(pima_data!$A$1:$A$768)</f>
        <v>0.936913722879839</v>
      </c>
      <c r="B283" s="5">
        <f>(pima_data!B283-AVERAGE(pima_data!$B$1:$B$768))/_xlfn.STDEV.P(pima_data!$B$1:$B$768)</f>
        <v>0.378866614721092</v>
      </c>
      <c r="C283" s="5">
        <f>(pima_data!C283-AVERAGE(pima_data!$C$1:$C$768))/_xlfn.STDEV.P(pima_data!$C$1:$C$768)</f>
        <v>0.97680475096173</v>
      </c>
      <c r="D283" s="5">
        <f>(pima_data!D283-AVERAGE(pima_data!$D$1:$D$768))/_xlfn.STDEV.P(pima_data!$D$1:$D$768)</f>
        <v>-0.347291296566265</v>
      </c>
      <c r="E283" s="5">
        <f>(pima_data!E283-AVERAGE(pima_data!$E$1:$E$768))/_xlfn.STDEV.P(pima_data!$E$1:$E$768)</f>
        <v>0.652958295733974</v>
      </c>
      <c r="F283" s="5">
        <f>(pima_data!F283-AVERAGE(pima_data!$F$1:$F$768))/_xlfn.STDEV.P(pima_data!$F$1:$F$768)</f>
        <v>0.0517096769171717</v>
      </c>
      <c r="G283" s="5">
        <f>(pima_data!G283-AVERAGE(pima_data!$G$1:$G$768))/_xlfn.STDEV.P(pima_data!$G$1:$G$768)</f>
        <v>-0.633851339856281</v>
      </c>
      <c r="H283" s="5">
        <f>(pima_data!H283-AVERAGE(pima_data!$H$1:$H$768))/_xlfn.STDEV.P(pima_data!$H$1:$H$768)</f>
        <v>0.319854613671724</v>
      </c>
    </row>
    <row r="284" spans="1:8">
      <c r="A284" s="5">
        <f>(pima_data!A284-AVERAGE(pima_data!$A$1:$A$768))/_xlfn.STDEV.P(pima_data!$A$1:$A$768)</f>
        <v>0.936913722879839</v>
      </c>
      <c r="B284" s="5">
        <f>(pima_data!B284-AVERAGE(pima_data!$B$1:$B$768))/_xlfn.STDEV.P(pima_data!$B$1:$B$768)</f>
        <v>1.25518668387914</v>
      </c>
      <c r="C284" s="5">
        <f>(pima_data!C284-AVERAGE(pima_data!$C$1:$C$768))/_xlfn.STDEV.P(pima_data!$C$1:$C$768)</f>
        <v>0.87340925117004</v>
      </c>
      <c r="D284" s="5">
        <f>(pima_data!D284-AVERAGE(pima_data!$D$1:$D$768))/_xlfn.STDEV.P(pima_data!$D$1:$D$768)</f>
        <v>-1.28821221294523</v>
      </c>
      <c r="E284" s="5">
        <f>(pima_data!E284-AVERAGE(pima_data!$E$1:$E$768))/_xlfn.STDEV.P(pima_data!$E$1:$E$768)</f>
        <v>-0.692890572295466</v>
      </c>
      <c r="F284" s="5">
        <f>(pima_data!F284-AVERAGE(pima_data!$F$1:$F$768))/_xlfn.STDEV.P(pima_data!$F$1:$F$768)</f>
        <v>-0.202128813797981</v>
      </c>
      <c r="G284" s="5">
        <f>(pima_data!G284-AVERAGE(pima_data!$G$1:$G$768))/_xlfn.STDEV.P(pima_data!$G$1:$G$768)</f>
        <v>-0.926802851559812</v>
      </c>
      <c r="H284" s="5">
        <f>(pima_data!H284-AVERAGE(pima_data!$H$1:$H$768))/_xlfn.STDEV.P(pima_data!$H$1:$H$768)</f>
        <v>1.17073214501874</v>
      </c>
    </row>
    <row r="285" spans="1:8">
      <c r="A285" s="5">
        <f>(pima_data!A285-AVERAGE(pima_data!$A$1:$A$768))/_xlfn.STDEV.P(pima_data!$A$1:$A$768)</f>
        <v>-0.547918590722547</v>
      </c>
      <c r="B285" s="5">
        <f>(pima_data!B285-AVERAGE(pima_data!$B$1:$B$768))/_xlfn.STDEV.P(pima_data!$B$1:$B$768)</f>
        <v>-0.403562018455736</v>
      </c>
      <c r="C285" s="5">
        <f>(pima_data!C285-AVERAGE(pima_data!$C$1:$C$768))/_xlfn.STDEV.P(pima_data!$C$1:$C$768)</f>
        <v>0.563222751794969</v>
      </c>
      <c r="D285" s="5">
        <f>(pima_data!D285-AVERAGE(pima_data!$D$1:$D$768))/_xlfn.STDEV.P(pima_data!$D$1:$D$768)</f>
        <v>-1.28821221294523</v>
      </c>
      <c r="E285" s="5">
        <f>(pima_data!E285-AVERAGE(pima_data!$E$1:$E$768))/_xlfn.STDEV.P(pima_data!$E$1:$E$768)</f>
        <v>-0.692890572295466</v>
      </c>
      <c r="F285" s="5">
        <f>(pima_data!F285-AVERAGE(pima_data!$F$1:$F$768))/_xlfn.STDEV.P(pima_data!$F$1:$F$768)</f>
        <v>-0.633654248013741</v>
      </c>
      <c r="G285" s="5">
        <f>(pima_data!G285-AVERAGE(pima_data!$G$1:$G$768))/_xlfn.STDEV.P(pima_data!$G$1:$G$768)</f>
        <v>-0.642911695888349</v>
      </c>
      <c r="H285" s="5">
        <f>(pima_data!H285-AVERAGE(pima_data!$H$1:$H$768))/_xlfn.STDEV.P(pima_data!$H$1:$H$768)</f>
        <v>1.59617091069225</v>
      </c>
    </row>
    <row r="286" spans="1:8">
      <c r="A286" s="5">
        <f>(pima_data!A286-AVERAGE(pima_data!$A$1:$A$768))/_xlfn.STDEV.P(pima_data!$A$1:$A$768)</f>
        <v>0.936913722879839</v>
      </c>
      <c r="B286" s="5">
        <f>(pima_data!B286-AVERAGE(pima_data!$B$1:$B$768))/_xlfn.STDEV.P(pima_data!$B$1:$B$768)</f>
        <v>0.472758050702311</v>
      </c>
      <c r="C286" s="5">
        <f>(pima_data!C286-AVERAGE(pima_data!$C$1:$C$768))/_xlfn.STDEV.P(pima_data!$C$1:$C$768)</f>
        <v>0.253036252419898</v>
      </c>
      <c r="D286" s="5">
        <f>(pima_data!D286-AVERAGE(pima_data!$D$1:$D$768))/_xlfn.STDEV.P(pima_data!$D$1:$D$768)</f>
        <v>0.342717375444978</v>
      </c>
      <c r="E286" s="5">
        <f>(pima_data!E286-AVERAGE(pima_data!$E$1:$E$768))/_xlfn.STDEV.P(pima_data!$E$1:$E$768)</f>
        <v>0.479300377278563</v>
      </c>
      <c r="F286" s="5">
        <f>(pima_data!F286-AVERAGE(pima_data!$F$1:$F$768))/_xlfn.STDEV.P(pima_data!$F$1:$F$768)</f>
        <v>-0.760573493371318</v>
      </c>
      <c r="G286" s="5">
        <f>(pima_data!G286-AVERAGE(pima_data!$G$1:$G$768))/_xlfn.STDEV.P(pima_data!$G$1:$G$768)</f>
        <v>0.528894350925775</v>
      </c>
      <c r="H286" s="5">
        <f>(pima_data!H286-AVERAGE(pima_data!$H$1:$H$768))/_xlfn.STDEV.P(pima_data!$H$1:$H$768)</f>
        <v>1.51108315755755</v>
      </c>
    </row>
    <row r="287" spans="1:8">
      <c r="A287" s="5">
        <f>(pima_data!A287-AVERAGE(pima_data!$A$1:$A$768))/_xlfn.STDEV.P(pima_data!$A$1:$A$768)</f>
        <v>0.342980797438884</v>
      </c>
      <c r="B287" s="5">
        <f>(pima_data!B287-AVERAGE(pima_data!$B$1:$B$768))/_xlfn.STDEV.P(pima_data!$B$1:$B$768)</f>
        <v>1.0674038119167</v>
      </c>
      <c r="C287" s="5">
        <f>(pima_data!C287-AVERAGE(pima_data!$C$1:$C$768))/_xlfn.STDEV.P(pima_data!$C$1:$C$768)</f>
        <v>0.77001375137835</v>
      </c>
      <c r="D287" s="5">
        <f>(pima_data!D287-AVERAGE(pima_data!$D$1:$D$768))/_xlfn.STDEV.P(pima_data!$D$1:$D$768)</f>
        <v>1.47182247509974</v>
      </c>
      <c r="E287" s="5">
        <f>(pima_data!E287-AVERAGE(pima_data!$E$1:$E$768))/_xlfn.STDEV.P(pima_data!$E$1:$E$768)</f>
        <v>4.0392877056145</v>
      </c>
      <c r="F287" s="5">
        <f>(pima_data!F287-AVERAGE(pima_data!$F$1:$F$768))/_xlfn.STDEV.P(pima_data!$F$1:$F$768)</f>
        <v>0.851300922669904</v>
      </c>
      <c r="G287" s="5">
        <f>(pima_data!G287-AVERAGE(pima_data!$G$1:$G$768))/_xlfn.STDEV.P(pima_data!$G$1:$G$768)</f>
        <v>0.444331027959807</v>
      </c>
      <c r="H287" s="5">
        <f>(pima_data!H287-AVERAGE(pima_data!$H$1:$H$768))/_xlfn.STDEV.P(pima_data!$H$1:$H$768)</f>
        <v>0.0645913542676188</v>
      </c>
    </row>
    <row r="288" spans="1:8">
      <c r="A288" s="5">
        <f>(pima_data!A288-AVERAGE(pima_data!$A$1:$A$768))/_xlfn.STDEV.P(pima_data!$A$1:$A$768)</f>
        <v>-0.844885053443025</v>
      </c>
      <c r="B288" s="5">
        <f>(pima_data!B288-AVERAGE(pima_data!$B$1:$B$768))/_xlfn.STDEV.P(pima_data!$B$1:$B$768)</f>
        <v>-0.0592934198579315</v>
      </c>
      <c r="C288" s="5">
        <f>(pima_data!C288-AVERAGE(pima_data!$C$1:$C$768))/_xlfn.STDEV.P(pima_data!$C$1:$C$768)</f>
        <v>0.87340925117004</v>
      </c>
      <c r="D288" s="5">
        <f>(pima_data!D288-AVERAGE(pima_data!$D$1:$D$768))/_xlfn.STDEV.P(pima_data!$D$1:$D$768)</f>
        <v>1.15818216964008</v>
      </c>
      <c r="E288" s="5">
        <f>(pima_data!E288-AVERAGE(pima_data!$E$1:$E$768))/_xlfn.STDEV.P(pima_data!$E$1:$E$768)</f>
        <v>1.21734653071406</v>
      </c>
      <c r="F288" s="5">
        <f>(pima_data!F288-AVERAGE(pima_data!$F$1:$F$768))/_xlfn.STDEV.P(pima_data!$F$1:$F$768)</f>
        <v>1.72704371563718</v>
      </c>
      <c r="G288" s="5">
        <f>(pima_data!G288-AVERAGE(pima_data!$G$1:$G$768))/_xlfn.STDEV.P(pima_data!$G$1:$G$768)</f>
        <v>1.01513345798009</v>
      </c>
      <c r="H288" s="5">
        <f>(pima_data!H288-AVERAGE(pima_data!$H$1:$H$768))/_xlfn.STDEV.P(pima_data!$H$1:$H$768)</f>
        <v>-0.360847411405889</v>
      </c>
    </row>
    <row r="289" spans="1:8">
      <c r="A289" s="5">
        <f>(pima_data!A289-AVERAGE(pima_data!$A$1:$A$768))/_xlfn.STDEV.P(pima_data!$A$1:$A$768)</f>
        <v>0.0460143347184072</v>
      </c>
      <c r="B289" s="5">
        <f>(pima_data!B289-AVERAGE(pima_data!$B$1:$B$768))/_xlfn.STDEV.P(pima_data!$B$1:$B$768)</f>
        <v>-0.779127762380613</v>
      </c>
      <c r="C289" s="5">
        <f>(pima_data!C289-AVERAGE(pima_data!$C$1:$C$768))/_xlfn.STDEV.P(pima_data!$C$1:$C$768)</f>
        <v>-0.677523245705314</v>
      </c>
      <c r="D289" s="5">
        <f>(pima_data!D289-AVERAGE(pima_data!$D$1:$D$768))/_xlfn.STDEV.P(pima_data!$D$1:$D$768)</f>
        <v>-0.221835174382402</v>
      </c>
      <c r="E289" s="5">
        <f>(pima_data!E289-AVERAGE(pima_data!$E$1:$E$768))/_xlfn.STDEV.P(pima_data!$E$1:$E$768)</f>
        <v>-0.267428672079708</v>
      </c>
      <c r="F289" s="5">
        <f>(pima_data!F289-AVERAGE(pima_data!$F$1:$F$768))/_xlfn.STDEV.P(pima_data!$F$1:$F$768)</f>
        <v>-1.42055356923072</v>
      </c>
      <c r="G289" s="5">
        <f>(pima_data!G289-AVERAGE(pima_data!$G$1:$G$768))/_xlfn.STDEV.P(pima_data!$G$1:$G$768)</f>
        <v>-0.398282083022514</v>
      </c>
      <c r="H289" s="5">
        <f>(pima_data!H289-AVERAGE(pima_data!$H$1:$H$768))/_xlfn.STDEV.P(pima_data!$H$1:$H$768)</f>
        <v>-0.616110670809994</v>
      </c>
    </row>
    <row r="290" spans="1:8">
      <c r="A290" s="5">
        <f>(pima_data!A290-AVERAGE(pima_data!$A$1:$A$768))/_xlfn.STDEV.P(pima_data!$A$1:$A$768)</f>
        <v>0.342980797438884</v>
      </c>
      <c r="B290" s="5">
        <f>(pima_data!B290-AVERAGE(pima_data!$B$1:$B$768))/_xlfn.STDEV.P(pima_data!$B$1:$B$768)</f>
        <v>-0.403562018455736</v>
      </c>
      <c r="C290" s="5">
        <f>(pima_data!C290-AVERAGE(pima_data!$C$1:$C$768))/_xlfn.STDEV.P(pima_data!$C$1:$C$768)</f>
        <v>0.149640752628208</v>
      </c>
      <c r="D290" s="5">
        <f>(pima_data!D290-AVERAGE(pima_data!$D$1:$D$768))/_xlfn.STDEV.P(pima_data!$D$1:$D$768)</f>
        <v>1.40909441400781</v>
      </c>
      <c r="E290" s="5">
        <f>(pima_data!E290-AVERAGE(pima_data!$E$1:$E$768))/_xlfn.STDEV.P(pima_data!$E$1:$E$768)</f>
        <v>-0.0416733780876724</v>
      </c>
      <c r="F290" s="5">
        <f>(pima_data!F290-AVERAGE(pima_data!$F$1:$F$768))/_xlfn.STDEV.P(pima_data!$F$1:$F$768)</f>
        <v>0.521310884740205</v>
      </c>
      <c r="G290" s="5">
        <f>(pima_data!G290-AVERAGE(pima_data!$G$1:$G$768))/_xlfn.STDEV.P(pima_data!$G$1:$G$768)</f>
        <v>-0.630831221178925</v>
      </c>
      <c r="H290" s="5">
        <f>(pima_data!H290-AVERAGE(pima_data!$H$1:$H$768))/_xlfn.STDEV.P(pima_data!$H$1:$H$768)</f>
        <v>-0.0204963988670829</v>
      </c>
    </row>
    <row r="291" spans="1:8">
      <c r="A291" s="5">
        <f>(pima_data!A291-AVERAGE(pima_data!$A$1:$A$768))/_xlfn.STDEV.P(pima_data!$A$1:$A$768)</f>
        <v>-1.1418515161635</v>
      </c>
      <c r="B291" s="5">
        <f>(pima_data!B291-AVERAGE(pima_data!$B$1:$B$768))/_xlfn.STDEV.P(pima_data!$B$1:$B$768)</f>
        <v>-1.34247637826793</v>
      </c>
      <c r="C291" s="5">
        <f>(pima_data!C291-AVERAGE(pima_data!$C$1:$C$768))/_xlfn.STDEV.P(pima_data!$C$1:$C$768)</f>
        <v>0.97680475096173</v>
      </c>
      <c r="D291" s="5">
        <f>(pima_data!D291-AVERAGE(pima_data!$D$1:$D$768))/_xlfn.STDEV.P(pima_data!$D$1:$D$768)</f>
        <v>0.530901558720772</v>
      </c>
      <c r="E291" s="5">
        <f>(pima_data!E291-AVERAGE(pima_data!$E$1:$E$768))/_xlfn.STDEV.P(pima_data!$E$1:$E$768)</f>
        <v>-0.345574735384643</v>
      </c>
      <c r="F291" s="5">
        <f>(pima_data!F291-AVERAGE(pima_data!$F$1:$F$768))/_xlfn.STDEV.P(pima_data!$F$1:$F$768)</f>
        <v>0.622846281026266</v>
      </c>
      <c r="G291" s="5">
        <f>(pima_data!G291-AVERAGE(pima_data!$G$1:$G$768))/_xlfn.STDEV.P(pima_data!$G$1:$G$768)</f>
        <v>-0.114390927351051</v>
      </c>
      <c r="H291" s="5">
        <f>(pima_data!H291-AVERAGE(pima_data!$H$1:$H$768))/_xlfn.STDEV.P(pima_data!$H$1:$H$768)</f>
        <v>-1.0415494364835</v>
      </c>
    </row>
    <row r="292" spans="1:8">
      <c r="A292" s="5">
        <f>(pima_data!A292-AVERAGE(pima_data!$A$1:$A$768))/_xlfn.STDEV.P(pima_data!$A$1:$A$768)</f>
        <v>-1.1418515161635</v>
      </c>
      <c r="B292" s="5">
        <f>(pima_data!B292-AVERAGE(pima_data!$B$1:$B$768))/_xlfn.STDEV.P(pima_data!$B$1:$B$768)</f>
        <v>-0.434859163782809</v>
      </c>
      <c r="C292" s="5">
        <f>(pima_data!C292-AVERAGE(pima_data!$C$1:$C$768))/_xlfn.STDEV.P(pima_data!$C$1:$C$768)</f>
        <v>-0.367336746330243</v>
      </c>
      <c r="D292" s="5">
        <f>(pima_data!D292-AVERAGE(pima_data!$D$1:$D$768))/_xlfn.STDEV.P(pima_data!$D$1:$D$768)</f>
        <v>0.593629619812703</v>
      </c>
      <c r="E292" s="5">
        <f>(pima_data!E292-AVERAGE(pima_data!$E$1:$E$768))/_xlfn.STDEV.P(pima_data!$E$1:$E$768)</f>
        <v>-0.050356274010443</v>
      </c>
      <c r="F292" s="5">
        <f>(pima_data!F292-AVERAGE(pima_data!$F$1:$F$768))/_xlfn.STDEV.P(pima_data!$F$1:$F$768)</f>
        <v>0.584770507418994</v>
      </c>
      <c r="G292" s="5">
        <f>(pima_data!G292-AVERAGE(pima_data!$G$1:$G$768))/_xlfn.STDEV.P(pima_data!$G$1:$G$768)</f>
        <v>0.861107405434934</v>
      </c>
      <c r="H292" s="5">
        <f>(pima_data!H292-AVERAGE(pima_data!$H$1:$H$768))/_xlfn.STDEV.P(pima_data!$H$1:$H$768)</f>
        <v>-0.701198423944696</v>
      </c>
    </row>
    <row r="293" spans="1:8">
      <c r="A293" s="5">
        <f>(pima_data!A293-AVERAGE(pima_data!$A$1:$A$768))/_xlfn.STDEV.P(pima_data!$A$1:$A$768)</f>
        <v>-0.547918590722547</v>
      </c>
      <c r="B293" s="5">
        <f>(pima_data!B293-AVERAGE(pima_data!$B$1:$B$768))/_xlfn.STDEV.P(pima_data!$B$1:$B$768)</f>
        <v>0.222380888085726</v>
      </c>
      <c r="C293" s="5">
        <f>(pima_data!C293-AVERAGE(pima_data!$C$1:$C$768))/_xlfn.STDEV.P(pima_data!$C$1:$C$768)</f>
        <v>0.459827252003279</v>
      </c>
      <c r="D293" s="5">
        <f>(pima_data!D293-AVERAGE(pima_data!$D$1:$D$768))/_xlfn.STDEV.P(pima_data!$D$1:$D$768)</f>
        <v>1.03272604745622</v>
      </c>
      <c r="E293" s="5">
        <f>(pima_data!E293-AVERAGE(pima_data!$E$1:$E$768))/_xlfn.STDEV.P(pima_data!$E$1:$E$768)</f>
        <v>0.88739648564878</v>
      </c>
      <c r="F293" s="5">
        <f>(pima_data!F293-AVERAGE(pima_data!$F$1:$F$768))/_xlfn.STDEV.P(pima_data!$F$1:$F$768)</f>
        <v>1.43512945131476</v>
      </c>
      <c r="G293" s="5">
        <f>(pima_data!G293-AVERAGE(pima_data!$G$1:$G$768))/_xlfn.STDEV.P(pima_data!$G$1:$G$768)</f>
        <v>2.27150282776018</v>
      </c>
      <c r="H293" s="5">
        <f>(pima_data!H293-AVERAGE(pima_data!$H$1:$H$768))/_xlfn.STDEV.P(pima_data!$H$1:$H$768)</f>
        <v>-0.190671905136486</v>
      </c>
    </row>
    <row r="294" spans="1:8">
      <c r="A294" s="5">
        <f>(pima_data!A294-AVERAGE(pima_data!$A$1:$A$768))/_xlfn.STDEV.P(pima_data!$A$1:$A$768)</f>
        <v>-0.844885053443025</v>
      </c>
      <c r="B294" s="5">
        <f>(pima_data!B294-AVERAGE(pima_data!$B$1:$B$768))/_xlfn.STDEV.P(pima_data!$B$1:$B$768)</f>
        <v>0.222380888085726</v>
      </c>
      <c r="C294" s="5">
        <f>(pima_data!C294-AVERAGE(pima_data!$C$1:$C$768))/_xlfn.STDEV.P(pima_data!$C$1:$C$768)</f>
        <v>-1.09110524487208</v>
      </c>
      <c r="D294" s="5">
        <f>(pima_data!D294-AVERAGE(pima_data!$D$1:$D$768))/_xlfn.STDEV.P(pima_data!$D$1:$D$768)</f>
        <v>1.53455053619167</v>
      </c>
      <c r="E294" s="5">
        <f>(pima_data!E294-AVERAGE(pima_data!$E$1:$E$768))/_xlfn.STDEV.P(pima_data!$E$1:$E$768)</f>
        <v>0.991591236722027</v>
      </c>
      <c r="F294" s="5">
        <f>(pima_data!F294-AVERAGE(pima_data!$F$1:$F$768))/_xlfn.STDEV.P(pima_data!$F$1:$F$768)</f>
        <v>1.07975556431354</v>
      </c>
      <c r="G294" s="5">
        <f>(pima_data!G294-AVERAGE(pima_data!$G$1:$G$768))/_xlfn.STDEV.P(pima_data!$G$1:$G$768)</f>
        <v>0.426210315895671</v>
      </c>
      <c r="H294" s="5">
        <f>(pima_data!H294-AVERAGE(pima_data!$H$1:$H$768))/_xlfn.STDEV.P(pima_data!$H$1:$H$768)</f>
        <v>-0.786286177079398</v>
      </c>
    </row>
    <row r="295" spans="1:8">
      <c r="A295" s="5">
        <f>(pima_data!A295-AVERAGE(pima_data!$A$1:$A$768))/_xlfn.STDEV.P(pima_data!$A$1:$A$768)</f>
        <v>-1.1418515161635</v>
      </c>
      <c r="B295" s="5">
        <f>(pima_data!B295-AVERAGE(pima_data!$B$1:$B$768))/_xlfn.STDEV.P(pima_data!$B$1:$B$768)</f>
        <v>1.25518668387914</v>
      </c>
      <c r="C295" s="5">
        <f>(pima_data!C295-AVERAGE(pima_data!$C$1:$C$768))/_xlfn.STDEV.P(pima_data!$C$1:$C$768)</f>
        <v>-0.987709745080385</v>
      </c>
      <c r="D295" s="5">
        <f>(pima_data!D295-AVERAGE(pima_data!$D$1:$D$768))/_xlfn.STDEV.P(pima_data!$D$1:$D$768)</f>
        <v>-1.28821221294523</v>
      </c>
      <c r="E295" s="5">
        <f>(pima_data!E295-AVERAGE(pima_data!$E$1:$E$768))/_xlfn.STDEV.P(pima_data!$E$1:$E$768)</f>
        <v>-0.692890572295466</v>
      </c>
      <c r="F295" s="5">
        <f>(pima_data!F295-AVERAGE(pima_data!$F$1:$F$768))/_xlfn.STDEV.P(pima_data!$F$1:$F$768)</f>
        <v>-1.28094239933738</v>
      </c>
      <c r="G295" s="5">
        <f>(pima_data!G295-AVERAGE(pima_data!$G$1:$G$768))/_xlfn.STDEV.P(pima_data!$G$1:$G$768)</f>
        <v>-0.658012289275129</v>
      </c>
      <c r="H295" s="5">
        <f>(pima_data!H295-AVERAGE(pima_data!$H$1:$H$768))/_xlfn.STDEV.P(pima_data!$H$1:$H$768)</f>
        <v>2.70231170144337</v>
      </c>
    </row>
    <row r="296" spans="1:8">
      <c r="A296" s="5">
        <f>(pima_data!A296-AVERAGE(pima_data!$A$1:$A$768))/_xlfn.STDEV.P(pima_data!$A$1:$A$768)</f>
        <v>0.639947260159362</v>
      </c>
      <c r="B296" s="5">
        <f>(pima_data!B296-AVERAGE(pima_data!$B$1:$B$768))/_xlfn.STDEV.P(pima_data!$B$1:$B$768)</f>
        <v>0.942215230608408</v>
      </c>
      <c r="C296" s="5">
        <f>(pima_data!C296-AVERAGE(pima_data!$C$1:$C$768))/_xlfn.STDEV.P(pima_data!$C$1:$C$768)</f>
        <v>-0.367336746330243</v>
      </c>
      <c r="D296" s="5">
        <f>(pima_data!D296-AVERAGE(pima_data!$D$1:$D$768))/_xlfn.STDEV.P(pima_data!$D$1:$D$768)</f>
        <v>0.656357680904634</v>
      </c>
      <c r="E296" s="5">
        <f>(pima_data!E296-AVERAGE(pima_data!$E$1:$E$768))/_xlfn.STDEV.P(pima_data!$E$1:$E$768)</f>
        <v>0.349056938437004</v>
      </c>
      <c r="F296" s="5">
        <f>(pima_data!F296-AVERAGE(pima_data!$F$1:$F$768))/_xlfn.STDEV.P(pima_data!$F$1:$F$768)</f>
        <v>0.445159337525659</v>
      </c>
      <c r="G296" s="5">
        <f>(pima_data!G296-AVERAGE(pima_data!$G$1:$G$768))/_xlfn.STDEV.P(pima_data!$G$1:$G$768)</f>
        <v>0.664799691406794</v>
      </c>
      <c r="H296" s="5">
        <f>(pima_data!H296-AVERAGE(pima_data!$H$1:$H$768))/_xlfn.STDEV.P(pima_data!$H$1:$H$768)</f>
        <v>-0.445935164540591</v>
      </c>
    </row>
    <row r="297" spans="1:8">
      <c r="A297" s="5">
        <f>(pima_data!A297-AVERAGE(pima_data!$A$1:$A$768))/_xlfn.STDEV.P(pima_data!$A$1:$A$768)</f>
        <v>-0.547918590722547</v>
      </c>
      <c r="B297" s="5">
        <f>(pima_data!B297-AVERAGE(pima_data!$B$1:$B$768))/_xlfn.STDEV.P(pima_data!$B$1:$B$768)</f>
        <v>0.785729503973042</v>
      </c>
      <c r="C297" s="5">
        <f>(pima_data!C297-AVERAGE(pima_data!$C$1:$C$768))/_xlfn.STDEV.P(pima_data!$C$1:$C$768)</f>
        <v>0.0462452528365177</v>
      </c>
      <c r="D297" s="5">
        <f>(pima_data!D297-AVERAGE(pima_data!$D$1:$D$768))/_xlfn.STDEV.P(pima_data!$D$1:$D$768)</f>
        <v>1.09545410854815</v>
      </c>
      <c r="E297" s="5">
        <f>(pima_data!E297-AVERAGE(pima_data!$E$1:$E$768))/_xlfn.STDEV.P(pima_data!$E$1:$E$768)</f>
        <v>2.43295195990194</v>
      </c>
      <c r="F297" s="5">
        <f>(pima_data!F297-AVERAGE(pima_data!$F$1:$F$768))/_xlfn.STDEV.P(pima_data!$F$1:$F$768)</f>
        <v>-0.506735002656165</v>
      </c>
      <c r="G297" s="5">
        <f>(pima_data!G297-AVERAGE(pima_data!$G$1:$G$768))/_xlfn.STDEV.P(pima_data!$G$1:$G$768)</f>
        <v>-0.407342439054582</v>
      </c>
      <c r="H297" s="5">
        <f>(pima_data!H297-AVERAGE(pima_data!$H$1:$H$768))/_xlfn.STDEV.P(pima_data!$H$1:$H$768)</f>
        <v>-0.360847411405889</v>
      </c>
    </row>
    <row r="298" spans="1:8">
      <c r="A298" s="5">
        <f>(pima_data!A298-AVERAGE(pima_data!$A$1:$A$768))/_xlfn.STDEV.P(pima_data!$A$1:$A$768)</f>
        <v>-1.1418515161635</v>
      </c>
      <c r="B298" s="5">
        <f>(pima_data!B298-AVERAGE(pima_data!$B$1:$B$768))/_xlfn.STDEV.P(pima_data!$B$1:$B$768)</f>
        <v>0.15978659743158</v>
      </c>
      <c r="C298" s="5">
        <f>(pima_data!C298-AVERAGE(pima_data!$C$1:$C$768))/_xlfn.STDEV.P(pima_data!$C$1:$C$768)</f>
        <v>0.77001375137835</v>
      </c>
      <c r="D298" s="5">
        <f>(pima_data!D298-AVERAGE(pima_data!$D$1:$D$768))/_xlfn.STDEV.P(pima_data!$D$1:$D$768)</f>
        <v>0.530901558720772</v>
      </c>
      <c r="E298" s="5">
        <f>(pima_data!E298-AVERAGE(pima_data!$E$1:$E$768))/_xlfn.STDEV.P(pima_data!$E$1:$E$768)</f>
        <v>1.17393205110021</v>
      </c>
      <c r="F298" s="5">
        <f>(pima_data!F298-AVERAGE(pima_data!$F$1:$F$768))/_xlfn.STDEV.P(pima_data!$F$1:$F$768)</f>
        <v>-0.164053040190708</v>
      </c>
      <c r="G298" s="5">
        <f>(pima_data!G298-AVERAGE(pima_data!$G$1:$G$768))/_xlfn.STDEV.P(pima_data!$G$1:$G$768)</f>
        <v>0.145339278901564</v>
      </c>
      <c r="H298" s="5">
        <f>(pima_data!H298-AVERAGE(pima_data!$H$1:$H$768))/_xlfn.STDEV.P(pima_data!$H$1:$H$768)</f>
        <v>-0.786286177079398</v>
      </c>
    </row>
    <row r="299" spans="1:8">
      <c r="A299" s="5">
        <f>(pima_data!A299-AVERAGE(pima_data!$A$1:$A$768))/_xlfn.STDEV.P(pima_data!$A$1:$A$768)</f>
        <v>3.01567896192318</v>
      </c>
      <c r="B299" s="5">
        <f>(pima_data!B299-AVERAGE(pima_data!$B$1:$B$768))/_xlfn.STDEV.P(pima_data!$B$1:$B$768)</f>
        <v>-0.65393918107232</v>
      </c>
      <c r="C299" s="5">
        <f>(pima_data!C299-AVERAGE(pima_data!$C$1:$C$768))/_xlfn.STDEV.P(pima_data!$C$1:$C$768)</f>
        <v>0.459827252003279</v>
      </c>
      <c r="D299" s="5">
        <f>(pima_data!D299-AVERAGE(pima_data!$D$1:$D$768))/_xlfn.STDEV.P(pima_data!$D$1:$D$768)</f>
        <v>0.279989314353047</v>
      </c>
      <c r="E299" s="5">
        <f>(pima_data!E299-AVERAGE(pima_data!$E$1:$E$768))/_xlfn.STDEV.P(pima_data!$E$1:$E$768)</f>
        <v>0.904762277494321</v>
      </c>
      <c r="F299" s="5">
        <f>(pima_data!F299-AVERAGE(pima_data!$F$1:$F$768))/_xlfn.STDEV.P(pima_data!$F$1:$F$768)</f>
        <v>0.584770507418994</v>
      </c>
      <c r="G299" s="5">
        <f>(pima_data!G299-AVERAGE(pima_data!$G$1:$G$768))/_xlfn.STDEV.P(pima_data!$G$1:$G$768)</f>
        <v>-0.180833538252882</v>
      </c>
      <c r="H299" s="5">
        <f>(pima_data!H299-AVERAGE(pima_data!$H$1:$H$768))/_xlfn.STDEV.P(pima_data!$H$1:$H$768)</f>
        <v>1.08564439188404</v>
      </c>
    </row>
    <row r="300" spans="1:8">
      <c r="A300" s="5">
        <f>(pima_data!A300-AVERAGE(pima_data!$A$1:$A$768))/_xlfn.STDEV.P(pima_data!$A$1:$A$768)</f>
        <v>1.23388018560032</v>
      </c>
      <c r="B300" s="5">
        <f>(pima_data!B300-AVERAGE(pima_data!$B$1:$B$768))/_xlfn.STDEV.P(pima_data!$B$1:$B$768)</f>
        <v>-0.278373437147443</v>
      </c>
      <c r="C300" s="5">
        <f>(pima_data!C300-AVERAGE(pima_data!$C$1:$C$768))/_xlfn.STDEV.P(pima_data!$C$1:$C$768)</f>
        <v>0.149640752628208</v>
      </c>
      <c r="D300" s="5">
        <f>(pima_data!D300-AVERAGE(pima_data!$D$1:$D$768))/_xlfn.STDEV.P(pima_data!$D$1:$D$768)</f>
        <v>-1.28821221294523</v>
      </c>
      <c r="E300" s="5">
        <f>(pima_data!E300-AVERAGE(pima_data!$E$1:$E$768))/_xlfn.STDEV.P(pima_data!$E$1:$E$768)</f>
        <v>-0.692890572295466</v>
      </c>
      <c r="F300" s="5">
        <f>(pima_data!F300-AVERAGE(pima_data!$F$1:$F$768))/_xlfn.STDEV.P(pima_data!$F$1:$F$768)</f>
        <v>-1.0651796822295</v>
      </c>
      <c r="G300" s="5">
        <f>(pima_data!G300-AVERAGE(pima_data!$G$1:$G$768))/_xlfn.STDEV.P(pima_data!$G$1:$G$768)</f>
        <v>1.11177725565548</v>
      </c>
      <c r="H300" s="5">
        <f>(pima_data!H300-AVERAGE(pima_data!$H$1:$H$768))/_xlfn.STDEV.P(pima_data!$H$1:$H$768)</f>
        <v>2.10669742950046</v>
      </c>
    </row>
    <row r="301" spans="1:8">
      <c r="A301" s="5">
        <f>(pima_data!A301-AVERAGE(pima_data!$A$1:$A$768))/_xlfn.STDEV.P(pima_data!$A$1:$A$768)</f>
        <v>-1.1418515161635</v>
      </c>
      <c r="B301" s="5">
        <f>(pima_data!B301-AVERAGE(pima_data!$B$1:$B$768))/_xlfn.STDEV.P(pima_data!$B$1:$B$768)</f>
        <v>1.44296955584158</v>
      </c>
      <c r="C301" s="5">
        <f>(pima_data!C301-AVERAGE(pima_data!$C$1:$C$768))/_xlfn.STDEV.P(pima_data!$C$1:$C$768)</f>
        <v>-3.57259723987264</v>
      </c>
      <c r="D301" s="5">
        <f>(pima_data!D301-AVERAGE(pima_data!$D$1:$D$768))/_xlfn.STDEV.P(pima_data!$D$1:$D$768)</f>
        <v>-1.28821221294523</v>
      </c>
      <c r="E301" s="5">
        <f>(pima_data!E301-AVERAGE(pima_data!$E$1:$E$768))/_xlfn.STDEV.P(pima_data!$E$1:$E$768)</f>
        <v>-0.692890572295466</v>
      </c>
      <c r="F301" s="5">
        <f>(pima_data!F301-AVERAGE(pima_data!$F$1:$F$768))/_xlfn.STDEV.P(pima_data!$F$1:$F$768)</f>
        <v>0.0390177523814138</v>
      </c>
      <c r="G301" s="5">
        <f>(pima_data!G301-AVERAGE(pima_data!$G$1:$G$768))/_xlfn.STDEV.P(pima_data!$G$1:$G$768)</f>
        <v>1.10875713697812</v>
      </c>
      <c r="H301" s="5">
        <f>(pima_data!H301-AVERAGE(pima_data!$H$1:$H$768))/_xlfn.STDEV.P(pima_data!$H$1:$H$768)</f>
        <v>-0.275759658271188</v>
      </c>
    </row>
    <row r="302" spans="1:8">
      <c r="A302" s="5">
        <f>(pima_data!A302-AVERAGE(pima_data!$A$1:$A$768))/_xlfn.STDEV.P(pima_data!$A$1:$A$768)</f>
        <v>-0.547918590722547</v>
      </c>
      <c r="B302" s="5">
        <f>(pima_data!B302-AVERAGE(pima_data!$B$1:$B$768))/_xlfn.STDEV.P(pima_data!$B$1:$B$768)</f>
        <v>0.723135213318896</v>
      </c>
      <c r="C302" s="5">
        <f>(pima_data!C302-AVERAGE(pima_data!$C$1:$C$768))/_xlfn.STDEV.P(pima_data!$C$1:$C$768)</f>
        <v>-0.574127745913624</v>
      </c>
      <c r="D302" s="5">
        <f>(pima_data!D302-AVERAGE(pima_data!$D$1:$D$768))/_xlfn.STDEV.P(pima_data!$D$1:$D$768)</f>
        <v>0.781813803088497</v>
      </c>
      <c r="E302" s="5">
        <f>(pima_data!E302-AVERAGE(pima_data!$E$1:$E$768))/_xlfn.STDEV.P(pima_data!$E$1:$E$768)</f>
        <v>0.479300377278563</v>
      </c>
      <c r="F302" s="5">
        <f>(pima_data!F302-AVERAGE(pima_data!$F$1:$F$768))/_xlfn.STDEV.P(pima_data!$F$1:$F$768)</f>
        <v>-0.0498257193688892</v>
      </c>
      <c r="G302" s="5">
        <f>(pima_data!G302-AVERAGE(pima_data!$G$1:$G$768))/_xlfn.STDEV.P(pima_data!$G$1:$G$768)</f>
        <v>-0.150632351479323</v>
      </c>
      <c r="H302" s="5">
        <f>(pima_data!H302-AVERAGE(pima_data!$H$1:$H$768))/_xlfn.STDEV.P(pima_data!$H$1:$H$768)</f>
        <v>-0.701198423944696</v>
      </c>
    </row>
    <row r="303" spans="1:8">
      <c r="A303" s="5">
        <f>(pima_data!A303-AVERAGE(pima_data!$A$1:$A$768))/_xlfn.STDEV.P(pima_data!$A$1:$A$768)</f>
        <v>0.342980797438884</v>
      </c>
      <c r="B303" s="5">
        <f>(pima_data!B303-AVERAGE(pima_data!$B$1:$B$768))/_xlfn.STDEV.P(pima_data!$B$1:$B$768)</f>
        <v>-1.373773523595</v>
      </c>
      <c r="C303" s="5">
        <f>(pima_data!C303-AVERAGE(pima_data!$C$1:$C$768))/_xlfn.STDEV.P(pima_data!$C$1:$C$768)</f>
        <v>0.666618251586659</v>
      </c>
      <c r="D303" s="5">
        <f>(pima_data!D303-AVERAGE(pima_data!$D$1:$D$768))/_xlfn.STDEV.P(pima_data!$D$1:$D$768)</f>
        <v>1.28363829182395</v>
      </c>
      <c r="E303" s="5">
        <f>(pima_data!E303-AVERAGE(pima_data!$E$1:$E$768))/_xlfn.STDEV.P(pima_data!$E$1:$E$768)</f>
        <v>-0.328208943539102</v>
      </c>
      <c r="F303" s="5">
        <f>(pima_data!F303-AVERAGE(pima_data!$F$1:$F$768))/_xlfn.STDEV.P(pima_data!$F$1:$F$768)</f>
        <v>0.483235111132932</v>
      </c>
      <c r="G303" s="5">
        <f>(pima_data!G303-AVERAGE(pima_data!$G$1:$G$768))/_xlfn.STDEV.P(pima_data!$G$1:$G$768)</f>
        <v>-0.953983919656016</v>
      </c>
      <c r="H303" s="5">
        <f>(pima_data!H303-AVERAGE(pima_data!$H$1:$H$768))/_xlfn.STDEV.P(pima_data!$H$1:$H$768)</f>
        <v>0.14967910740232</v>
      </c>
    </row>
    <row r="304" spans="1:8">
      <c r="A304" s="5">
        <f>(pima_data!A304-AVERAGE(pima_data!$A$1:$A$768))/_xlfn.STDEV.P(pima_data!$A$1:$A$768)</f>
        <v>0.342980797438884</v>
      </c>
      <c r="B304" s="5">
        <f>(pima_data!B304-AVERAGE(pima_data!$B$1:$B$768))/_xlfn.STDEV.P(pima_data!$B$1:$B$768)</f>
        <v>-0.184482001166224</v>
      </c>
      <c r="C304" s="5">
        <f>(pima_data!C304-AVERAGE(pima_data!$C$1:$C$768))/_xlfn.STDEV.P(pima_data!$C$1:$C$768)</f>
        <v>1.49378224992018</v>
      </c>
      <c r="D304" s="5">
        <f>(pima_data!D304-AVERAGE(pima_data!$D$1:$D$768))/_xlfn.STDEV.P(pima_data!$D$1:$D$768)</f>
        <v>-1.28821221294523</v>
      </c>
      <c r="E304" s="5">
        <f>(pima_data!E304-AVERAGE(pima_data!$E$1:$E$768))/_xlfn.STDEV.P(pima_data!$E$1:$E$768)</f>
        <v>-0.692890572295466</v>
      </c>
      <c r="F304" s="5">
        <f>(pima_data!F304-AVERAGE(pima_data!$F$1:$F$768))/_xlfn.STDEV.P(pima_data!$F$1:$F$768)</f>
        <v>2.65355420674749</v>
      </c>
      <c r="G304" s="5">
        <f>(pima_data!G304-AVERAGE(pima_data!$G$1:$G$768))/_xlfn.STDEV.P(pima_data!$G$1:$G$768)</f>
        <v>-0.793917629756148</v>
      </c>
      <c r="H304" s="5">
        <f>(pima_data!H304-AVERAGE(pima_data!$H$1:$H$768))/_xlfn.STDEV.P(pima_data!$H$1:$H$768)</f>
        <v>-0.445935164540591</v>
      </c>
    </row>
    <row r="305" spans="1:8">
      <c r="A305" s="5">
        <f>(pima_data!A305-AVERAGE(pima_data!$A$1:$A$768))/_xlfn.STDEV.P(pima_data!$A$1:$A$768)</f>
        <v>-0.25095212800207</v>
      </c>
      <c r="B305" s="5">
        <f>(pima_data!B305-AVERAGE(pima_data!$B$1:$B$768))/_xlfn.STDEV.P(pima_data!$B$1:$B$768)</f>
        <v>0.910918085281335</v>
      </c>
      <c r="C305" s="5">
        <f>(pima_data!C305-AVERAGE(pima_data!$C$1:$C$768))/_xlfn.STDEV.P(pima_data!$C$1:$C$768)</f>
        <v>0.356431752211589</v>
      </c>
      <c r="D305" s="5">
        <f>(pima_data!D305-AVERAGE(pima_data!$D$1:$D$768))/_xlfn.STDEV.P(pima_data!$D$1:$D$768)</f>
        <v>-1.28821221294523</v>
      </c>
      <c r="E305" s="5">
        <f>(pima_data!E305-AVERAGE(pima_data!$E$1:$E$768))/_xlfn.STDEV.P(pima_data!$E$1:$E$768)</f>
        <v>-0.692890572295466</v>
      </c>
      <c r="F305" s="5">
        <f>(pima_data!F305-AVERAGE(pima_data!$F$1:$F$768))/_xlfn.STDEV.P(pima_data!$F$1:$F$768)</f>
        <v>-1.3951697201592</v>
      </c>
      <c r="G305" s="5">
        <f>(pima_data!G305-AVERAGE(pima_data!$G$1:$G$768))/_xlfn.STDEV.P(pima_data!$G$1:$G$768)</f>
        <v>-0.79995786711086</v>
      </c>
      <c r="H305" s="5">
        <f>(pima_data!H305-AVERAGE(pima_data!$H$1:$H$768))/_xlfn.STDEV.P(pima_data!$H$1:$H$768)</f>
        <v>0.319854613671724</v>
      </c>
    </row>
    <row r="306" spans="1:8">
      <c r="A306" s="5">
        <f>(pima_data!A306-AVERAGE(pima_data!$A$1:$A$768))/_xlfn.STDEV.P(pima_data!$A$1:$A$768)</f>
        <v>-0.547918590722547</v>
      </c>
      <c r="B306" s="5">
        <f>(pima_data!B306-AVERAGE(pima_data!$B$1:$B$768))/_xlfn.STDEV.P(pima_data!$B$1:$B$768)</f>
        <v>-0.0279962745308584</v>
      </c>
      <c r="C306" s="5">
        <f>(pima_data!C306-AVERAGE(pima_data!$C$1:$C$768))/_xlfn.STDEV.P(pima_data!$C$1:$C$768)</f>
        <v>0.356431752211589</v>
      </c>
      <c r="D306" s="5">
        <f>(pima_data!D306-AVERAGE(pima_data!$D$1:$D$768))/_xlfn.STDEV.P(pima_data!$D$1:$D$768)</f>
        <v>1.03272604745622</v>
      </c>
      <c r="E306" s="5">
        <f>(pima_data!E306-AVERAGE(pima_data!$E$1:$E$768))/_xlfn.STDEV.P(pima_data!$E$1:$E$768)</f>
        <v>0.218813499595445</v>
      </c>
      <c r="F306" s="5">
        <f>(pima_data!F306-AVERAGE(pima_data!$F$1:$F$768))/_xlfn.STDEV.P(pima_data!$F$1:$F$768)</f>
        <v>0.978220168027481</v>
      </c>
      <c r="G306" s="5">
        <f>(pima_data!G306-AVERAGE(pima_data!$G$1:$G$768))/_xlfn.STDEV.P(pima_data!$G$1:$G$768)</f>
        <v>-0.775796917692012</v>
      </c>
      <c r="H306" s="5">
        <f>(pima_data!H306-AVERAGE(pima_data!$H$1:$H$768))/_xlfn.STDEV.P(pima_data!$H$1:$H$768)</f>
        <v>-0.360847411405889</v>
      </c>
    </row>
    <row r="307" spans="1:8">
      <c r="A307" s="5">
        <f>(pima_data!A307-AVERAGE(pima_data!$A$1:$A$768))/_xlfn.STDEV.P(pima_data!$A$1:$A$768)</f>
        <v>1.82781311104127</v>
      </c>
      <c r="B307" s="5">
        <f>(pima_data!B307-AVERAGE(pima_data!$B$1:$B$768))/_xlfn.STDEV.P(pima_data!$B$1:$B$768)</f>
        <v>1.25518668387914</v>
      </c>
      <c r="C307" s="5">
        <f>(pima_data!C307-AVERAGE(pima_data!$C$1:$C$768))/_xlfn.STDEV.P(pima_data!$C$1:$C$768)</f>
        <v>-0.0571502469551726</v>
      </c>
      <c r="D307" s="5">
        <f>(pima_data!D307-AVERAGE(pima_data!$D$1:$D$768))/_xlfn.STDEV.P(pima_data!$D$1:$D$768)</f>
        <v>0.154533192169185</v>
      </c>
      <c r="E307" s="5">
        <f>(pima_data!E307-AVERAGE(pima_data!$E$1:$E$768))/_xlfn.STDEV.P(pima_data!$E$1:$E$768)</f>
        <v>0.453251689510251</v>
      </c>
      <c r="F307" s="5">
        <f>(pima_data!F307-AVERAGE(pima_data!$F$1:$F$768))/_xlfn.STDEV.P(pima_data!$F$1:$F$768)</f>
        <v>-0.824033116050106</v>
      </c>
      <c r="G307" s="5">
        <f>(pima_data!G307-AVERAGE(pima_data!$G$1:$G$768))/_xlfn.STDEV.P(pima_data!$G$1:$G$768)</f>
        <v>-0.440563744505497</v>
      </c>
      <c r="H307" s="5">
        <f>(pima_data!H307-AVERAGE(pima_data!$H$1:$H$768))/_xlfn.STDEV.P(pima_data!$H$1:$H$768)</f>
        <v>1.17073214501874</v>
      </c>
    </row>
    <row r="308" spans="1:8">
      <c r="A308" s="5">
        <f>(pima_data!A308-AVERAGE(pima_data!$A$1:$A$768))/_xlfn.STDEV.P(pima_data!$A$1:$A$768)</f>
        <v>-1.1418515161635</v>
      </c>
      <c r="B308" s="5">
        <f>(pima_data!B308-AVERAGE(pima_data!$B$1:$B$768))/_xlfn.STDEV.P(pima_data!$B$1:$B$768)</f>
        <v>0.504055196029384</v>
      </c>
      <c r="C308" s="5">
        <f>(pima_data!C308-AVERAGE(pima_data!$C$1:$C$768))/_xlfn.STDEV.P(pima_data!$C$1:$C$768)</f>
        <v>-0.0571502469551726</v>
      </c>
      <c r="D308" s="5">
        <f>(pima_data!D308-AVERAGE(pima_data!$D$1:$D$768))/_xlfn.STDEV.P(pima_data!$D$1:$D$768)</f>
        <v>-0.410019357658196</v>
      </c>
      <c r="E308" s="5">
        <f>(pima_data!E308-AVERAGE(pima_data!$E$1:$E$768))/_xlfn.STDEV.P(pima_data!$E$1:$E$768)</f>
        <v>0.59217802427458</v>
      </c>
      <c r="F308" s="5">
        <f>(pima_data!F308-AVERAGE(pima_data!$F$1:$F$768))/_xlfn.STDEV.P(pima_data!$F$1:$F$768)</f>
        <v>-0.91287658780041</v>
      </c>
      <c r="G308" s="5">
        <f>(pima_data!G308-AVERAGE(pima_data!$G$1:$G$768))/_xlfn.STDEV.P(pima_data!$G$1:$G$768)</f>
        <v>-0.993245462461644</v>
      </c>
      <c r="H308" s="5">
        <f>(pima_data!H308-AVERAGE(pima_data!$H$1:$H$768))/_xlfn.STDEV.P(pima_data!$H$1:$H$768)</f>
        <v>-1.0415494364835</v>
      </c>
    </row>
    <row r="309" spans="1:8">
      <c r="A309" s="5">
        <f>(pima_data!A309-AVERAGE(pima_data!$A$1:$A$768))/_xlfn.STDEV.P(pima_data!$A$1:$A$768)</f>
        <v>-1.1418515161635</v>
      </c>
      <c r="B309" s="5">
        <f>(pima_data!B309-AVERAGE(pima_data!$B$1:$B$768))/_xlfn.STDEV.P(pima_data!$B$1:$B$768)</f>
        <v>0.222380888085726</v>
      </c>
      <c r="C309" s="5">
        <f>(pima_data!C309-AVERAGE(pima_data!$C$1:$C$768))/_xlfn.STDEV.P(pima_data!$C$1:$C$768)</f>
        <v>-0.0571502469551726</v>
      </c>
      <c r="D309" s="5">
        <f>(pima_data!D309-AVERAGE(pima_data!$D$1:$D$768))/_xlfn.STDEV.P(pima_data!$D$1:$D$768)</f>
        <v>-0.09637905219854</v>
      </c>
      <c r="E309" s="5">
        <f>(pima_data!E309-AVERAGE(pima_data!$E$1:$E$768))/_xlfn.STDEV.P(pima_data!$E$1:$E$768)</f>
        <v>0.870030693803239</v>
      </c>
      <c r="F309" s="5">
        <f>(pima_data!F309-AVERAGE(pima_data!$F$1:$F$768))/_xlfn.STDEV.P(pima_data!$F$1:$F$768)</f>
        <v>-0.189436889262224</v>
      </c>
      <c r="G309" s="5">
        <f>(pima_data!G309-AVERAGE(pima_data!$G$1:$G$768))/_xlfn.STDEV.P(pima_data!$G$1:$G$768)</f>
        <v>2.77586264687863</v>
      </c>
      <c r="H309" s="5">
        <f>(pima_data!H309-AVERAGE(pima_data!$H$1:$H$768))/_xlfn.STDEV.P(pima_data!$H$1:$H$768)</f>
        <v>-0.701198423944696</v>
      </c>
    </row>
    <row r="310" spans="1:8">
      <c r="A310" s="5">
        <f>(pima_data!A310-AVERAGE(pima_data!$A$1:$A$768))/_xlfn.STDEV.P(pima_data!$A$1:$A$768)</f>
        <v>-0.547918590722547</v>
      </c>
      <c r="B310" s="5">
        <f>(pima_data!B310-AVERAGE(pima_data!$B$1:$B$768))/_xlfn.STDEV.P(pima_data!$B$1:$B$768)</f>
        <v>0.097192306777434</v>
      </c>
      <c r="C310" s="5">
        <f>(pima_data!C310-AVERAGE(pima_data!$C$1:$C$768))/_xlfn.STDEV.P(pima_data!$C$1:$C$768)</f>
        <v>-0.0571502469551726</v>
      </c>
      <c r="D310" s="5">
        <f>(pima_data!D310-AVERAGE(pima_data!$D$1:$D$768))/_xlfn.STDEV.P(pima_data!$D$1:$D$768)</f>
        <v>0.468173497628841</v>
      </c>
      <c r="E310" s="5">
        <f>(pima_data!E310-AVERAGE(pima_data!$E$1:$E$768))/_xlfn.STDEV.P(pima_data!$E$1:$E$768)</f>
        <v>1.0871030918725</v>
      </c>
      <c r="F310" s="5">
        <f>(pima_data!F310-AVERAGE(pima_data!$F$1:$F$768))/_xlfn.STDEV.P(pima_data!$F$1:$F$768)</f>
        <v>0.11516929959596</v>
      </c>
      <c r="G310" s="5">
        <f>(pima_data!G310-AVERAGE(pima_data!$G$1:$G$768))/_xlfn.STDEV.P(pima_data!$G$1:$G$768)</f>
        <v>1.21748140936294</v>
      </c>
      <c r="H310" s="5">
        <f>(pima_data!H310-AVERAGE(pima_data!$H$1:$H$768))/_xlfn.STDEV.P(pima_data!$H$1:$H$768)</f>
        <v>-0.275759658271188</v>
      </c>
    </row>
    <row r="311" spans="1:8">
      <c r="A311" s="5">
        <f>(pima_data!A311-AVERAGE(pima_data!$A$1:$A$768))/_xlfn.STDEV.P(pima_data!$A$1:$A$768)</f>
        <v>0.639947260159362</v>
      </c>
      <c r="B311" s="5">
        <f>(pima_data!B311-AVERAGE(pima_data!$B$1:$B$768))/_xlfn.STDEV.P(pima_data!$B$1:$B$768)</f>
        <v>-1.27988208761378</v>
      </c>
      <c r="C311" s="5">
        <f>(pima_data!C311-AVERAGE(pima_data!$C$1:$C$768))/_xlfn.STDEV.P(pima_data!$C$1:$C$768)</f>
        <v>-0.160545746746863</v>
      </c>
      <c r="D311" s="5">
        <f>(pima_data!D311-AVERAGE(pima_data!$D$1:$D$768))/_xlfn.STDEV.P(pima_data!$D$1:$D$768)</f>
        <v>0.593629619812703</v>
      </c>
      <c r="E311" s="5">
        <f>(pima_data!E311-AVERAGE(pima_data!$E$1:$E$768))/_xlfn.STDEV.P(pima_data!$E$1:$E$768)</f>
        <v>-0.692890572295466</v>
      </c>
      <c r="F311" s="5">
        <f>(pima_data!F311-AVERAGE(pima_data!$F$1:$F$768))/_xlfn.STDEV.P(pima_data!$F$1:$F$768)</f>
        <v>-0.735189644299803</v>
      </c>
      <c r="G311" s="5">
        <f>(pima_data!G311-AVERAGE(pima_data!$G$1:$G$768))/_xlfn.STDEV.P(pima_data!$G$1:$G$768)</f>
        <v>-0.479825287311125</v>
      </c>
      <c r="H311" s="5">
        <f>(pima_data!H311-AVERAGE(pima_data!$H$1:$H$768))/_xlfn.STDEV.P(pima_data!$H$1:$H$768)</f>
        <v>0.66020562621053</v>
      </c>
    </row>
    <row r="312" spans="1:8">
      <c r="A312" s="5">
        <f>(pima_data!A312-AVERAGE(pima_data!$A$1:$A$768))/_xlfn.STDEV.P(pima_data!$A$1:$A$768)</f>
        <v>-1.1418515161635</v>
      </c>
      <c r="B312" s="5">
        <f>(pima_data!B312-AVERAGE(pima_data!$B$1:$B$768))/_xlfn.STDEV.P(pima_data!$B$1:$B$768)</f>
        <v>-0.466156309109882</v>
      </c>
      <c r="C312" s="5">
        <f>(pima_data!C312-AVERAGE(pima_data!$C$1:$C$768))/_xlfn.STDEV.P(pima_data!$C$1:$C$768)</f>
        <v>0.0462452528365177</v>
      </c>
      <c r="D312" s="5">
        <f>(pima_data!D312-AVERAGE(pima_data!$D$1:$D$768))/_xlfn.STDEV.P(pima_data!$D$1:$D$768)</f>
        <v>1.03272604745622</v>
      </c>
      <c r="E312" s="5">
        <f>(pima_data!E312-AVERAGE(pima_data!$E$1:$E$768))/_xlfn.STDEV.P(pima_data!$E$1:$E$768)</f>
        <v>0.59217802427458</v>
      </c>
      <c r="F312" s="5">
        <f>(pima_data!F312-AVERAGE(pima_data!$F$1:$F$768))/_xlfn.STDEV.P(pima_data!$F$1:$F$768)</f>
        <v>0.940144394420207</v>
      </c>
      <c r="G312" s="5">
        <f>(pima_data!G312-AVERAGE(pima_data!$G$1:$G$768))/_xlfn.STDEV.P(pima_data!$G$1:$G$768)</f>
        <v>0.402049366476823</v>
      </c>
      <c r="H312" s="5">
        <f>(pima_data!H312-AVERAGE(pima_data!$H$1:$H$768))/_xlfn.STDEV.P(pima_data!$H$1:$H$768)</f>
        <v>-0.956461683348801</v>
      </c>
    </row>
    <row r="313" spans="1:8">
      <c r="A313" s="5">
        <f>(pima_data!A313-AVERAGE(pima_data!$A$1:$A$768))/_xlfn.STDEV.P(pima_data!$A$1:$A$768)</f>
        <v>-0.547918590722547</v>
      </c>
      <c r="B313" s="5">
        <f>(pima_data!B313-AVERAGE(pima_data!$B$1:$B$768))/_xlfn.STDEV.P(pima_data!$B$1:$B$768)</f>
        <v>1.0674038119167</v>
      </c>
      <c r="C313" s="5">
        <f>(pima_data!C313-AVERAGE(pima_data!$C$1:$C$768))/_xlfn.STDEV.P(pima_data!$C$1:$C$768)</f>
        <v>0.253036252419898</v>
      </c>
      <c r="D313" s="5">
        <f>(pima_data!D313-AVERAGE(pima_data!$D$1:$D$768))/_xlfn.STDEV.P(pima_data!$D$1:$D$768)</f>
        <v>-0.221835174382402</v>
      </c>
      <c r="E313" s="5">
        <f>(pima_data!E313-AVERAGE(pima_data!$E$1:$E$768))/_xlfn.STDEV.P(pima_data!$E$1:$E$768)</f>
        <v>0.14066743629051</v>
      </c>
      <c r="F313" s="5">
        <f>(pima_data!F313-AVERAGE(pima_data!$F$1:$F$768))/_xlfn.STDEV.P(pima_data!$F$1:$F$768)</f>
        <v>-0.684421946156772</v>
      </c>
      <c r="G313" s="5">
        <f>(pima_data!G313-AVERAGE(pima_data!$G$1:$G$768))/_xlfn.STDEV.P(pima_data!$G$1:$G$768)</f>
        <v>-0.117411046028407</v>
      </c>
      <c r="H313" s="5">
        <f>(pima_data!H313-AVERAGE(pima_data!$H$1:$H$768))/_xlfn.STDEV.P(pima_data!$H$1:$H$768)</f>
        <v>-0.531022917675293</v>
      </c>
    </row>
    <row r="314" spans="1:8">
      <c r="A314" s="5">
        <f>(pima_data!A314-AVERAGE(pima_data!$A$1:$A$768))/_xlfn.STDEV.P(pima_data!$A$1:$A$768)</f>
        <v>-0.25095212800207</v>
      </c>
      <c r="B314" s="5">
        <f>(pima_data!B314-AVERAGE(pima_data!$B$1:$B$768))/_xlfn.STDEV.P(pima_data!$B$1:$B$768)</f>
        <v>-0.24707629182037</v>
      </c>
      <c r="C314" s="5">
        <f>(pima_data!C314-AVERAGE(pima_data!$C$1:$C$768))/_xlfn.STDEV.P(pima_data!$C$1:$C$768)</f>
        <v>-0.987709745080385</v>
      </c>
      <c r="D314" s="5">
        <f>(pima_data!D314-AVERAGE(pima_data!$D$1:$D$768))/_xlfn.STDEV.P(pima_data!$D$1:$D$768)</f>
        <v>-0.660931602025921</v>
      </c>
      <c r="E314" s="5">
        <f>(pima_data!E314-AVERAGE(pima_data!$E$1:$E$768))/_xlfn.STDEV.P(pima_data!$E$1:$E$768)</f>
        <v>0.0451555811400335</v>
      </c>
      <c r="F314" s="5">
        <f>(pima_data!F314-AVERAGE(pima_data!$F$1:$F$768))/_xlfn.STDEV.P(pima_data!$F$1:$F$768)</f>
        <v>-0.3163561346198</v>
      </c>
      <c r="G314" s="5">
        <f>(pima_data!G314-AVERAGE(pima_data!$G$1:$G$768))/_xlfn.STDEV.P(pima_data!$G$1:$G$768)</f>
        <v>0.465471858701299</v>
      </c>
      <c r="H314" s="5">
        <f>(pima_data!H314-AVERAGE(pima_data!$H$1:$H$768))/_xlfn.STDEV.P(pima_data!$H$1:$H$768)</f>
        <v>-0.701198423944696</v>
      </c>
    </row>
    <row r="315" spans="1:8">
      <c r="A315" s="5">
        <f>(pima_data!A315-AVERAGE(pima_data!$A$1:$A$768))/_xlfn.STDEV.P(pima_data!$A$1:$A$768)</f>
        <v>0.936913722879839</v>
      </c>
      <c r="B315" s="5">
        <f>(pima_data!B315-AVERAGE(pima_data!$B$1:$B$768))/_xlfn.STDEV.P(pima_data!$B$1:$B$768)</f>
        <v>-0.372264873128662</v>
      </c>
      <c r="C315" s="5">
        <f>(pima_data!C315-AVERAGE(pima_data!$C$1:$C$768))/_xlfn.STDEV.P(pima_data!$C$1:$C$768)</f>
        <v>0.563222751794969</v>
      </c>
      <c r="D315" s="5">
        <f>(pima_data!D315-AVERAGE(pima_data!$D$1:$D$768))/_xlfn.STDEV.P(pima_data!$D$1:$D$768)</f>
        <v>0.656357680904634</v>
      </c>
      <c r="E315" s="5">
        <f>(pima_data!E315-AVERAGE(pima_data!$E$1:$E$768))/_xlfn.STDEV.P(pima_data!$E$1:$E$768)</f>
        <v>-0.692890572295466</v>
      </c>
      <c r="F315" s="5">
        <f>(pima_data!F315-AVERAGE(pima_data!$F$1:$F$768))/_xlfn.STDEV.P(pima_data!$F$1:$F$768)</f>
        <v>0.49592703566869</v>
      </c>
      <c r="G315" s="5">
        <f>(pima_data!G315-AVERAGE(pima_data!$G$1:$G$768))/_xlfn.STDEV.P(pima_data!$G$1:$G$768)</f>
        <v>1.97855131605665</v>
      </c>
      <c r="H315" s="5">
        <f>(pima_data!H315-AVERAGE(pima_data!$H$1:$H$768))/_xlfn.STDEV.P(pima_data!$H$1:$H$768)</f>
        <v>0.830381132479934</v>
      </c>
    </row>
    <row r="316" spans="1:8">
      <c r="A316" s="5">
        <f>(pima_data!A316-AVERAGE(pima_data!$A$1:$A$768))/_xlfn.STDEV.P(pima_data!$A$1:$A$768)</f>
        <v>-0.547918590722547</v>
      </c>
      <c r="B316" s="5">
        <f>(pima_data!B316-AVERAGE(pima_data!$B$1:$B$768))/_xlfn.STDEV.P(pima_data!$B$1:$B$768)</f>
        <v>-0.278373437147443</v>
      </c>
      <c r="C316" s="5">
        <f>(pima_data!C316-AVERAGE(pima_data!$C$1:$C$768))/_xlfn.STDEV.P(pima_data!$C$1:$C$768)</f>
        <v>-0.0571502469551726</v>
      </c>
      <c r="D316" s="5">
        <f>(pima_data!D316-AVERAGE(pima_data!$D$1:$D$768))/_xlfn.STDEV.P(pima_data!$D$1:$D$768)</f>
        <v>0.0918051310772535</v>
      </c>
      <c r="E316" s="5">
        <f>(pima_data!E316-AVERAGE(pima_data!$E$1:$E$768))/_xlfn.STDEV.P(pima_data!$E$1:$E$768)</f>
        <v>0.123301644444969</v>
      </c>
      <c r="F316" s="5">
        <f>(pima_data!F316-AVERAGE(pima_data!$F$1:$F$768))/_xlfn.STDEV.P(pima_data!$F$1:$F$768)</f>
        <v>0.267472394025052</v>
      </c>
      <c r="G316" s="5">
        <f>(pima_data!G316-AVERAGE(pima_data!$G$1:$G$768))/_xlfn.STDEV.P(pima_data!$G$1:$G$768)</f>
        <v>-0.473785049956413</v>
      </c>
      <c r="H316" s="5">
        <f>(pima_data!H316-AVERAGE(pima_data!$H$1:$H$768))/_xlfn.STDEV.P(pima_data!$H$1:$H$768)</f>
        <v>-0.616110670809994</v>
      </c>
    </row>
    <row r="317" spans="1:8">
      <c r="A317" s="5">
        <f>(pima_data!A317-AVERAGE(pima_data!$A$1:$A$768))/_xlfn.STDEV.P(pima_data!$A$1:$A$768)</f>
        <v>-0.25095212800207</v>
      </c>
      <c r="B317" s="5">
        <f>(pima_data!B317-AVERAGE(pima_data!$B$1:$B$768))/_xlfn.STDEV.P(pima_data!$B$1:$B$768)</f>
        <v>-0.685236326399393</v>
      </c>
      <c r="C317" s="5">
        <f>(pima_data!C317-AVERAGE(pima_data!$C$1:$C$768))/_xlfn.STDEV.P(pima_data!$C$1:$C$768)</f>
        <v>0.563222751794969</v>
      </c>
      <c r="D317" s="5">
        <f>(pima_data!D317-AVERAGE(pima_data!$D$1:$D$768))/_xlfn.STDEV.P(pima_data!$D$1:$D$768)</f>
        <v>-0.59820354093399</v>
      </c>
      <c r="E317" s="5">
        <f>(pima_data!E317-AVERAGE(pima_data!$E$1:$E$768))/_xlfn.STDEV.P(pima_data!$E$1:$E$768)</f>
        <v>-0.137185233238149</v>
      </c>
      <c r="F317" s="5">
        <f>(pima_data!F317-AVERAGE(pima_data!$F$1:$F$768))/_xlfn.STDEV.P(pima_data!$F$1:$F$768)</f>
        <v>-1.61093243726708</v>
      </c>
      <c r="G317" s="5">
        <f>(pima_data!G317-AVERAGE(pima_data!$G$1:$G$768))/_xlfn.STDEV.P(pima_data!$G$1:$G$768)</f>
        <v>-0.567408728954449</v>
      </c>
      <c r="H317" s="5">
        <f>(pima_data!H317-AVERAGE(pima_data!$H$1:$H$768))/_xlfn.STDEV.P(pima_data!$H$1:$H$768)</f>
        <v>-0.275759658271188</v>
      </c>
    </row>
    <row r="318" spans="1:8">
      <c r="A318" s="5">
        <f>(pima_data!A318-AVERAGE(pima_data!$A$1:$A$768))/_xlfn.STDEV.P(pima_data!$A$1:$A$768)</f>
        <v>-0.25095212800207</v>
      </c>
      <c r="B318" s="5">
        <f>(pima_data!B318-AVERAGE(pima_data!$B$1:$B$768))/_xlfn.STDEV.P(pima_data!$B$1:$B$768)</f>
        <v>1.91242673574767</v>
      </c>
      <c r="C318" s="5">
        <f>(pima_data!C318-AVERAGE(pima_data!$C$1:$C$768))/_xlfn.STDEV.P(pima_data!$C$1:$C$768)</f>
        <v>0.253036252419898</v>
      </c>
      <c r="D318" s="5">
        <f>(pima_data!D318-AVERAGE(pima_data!$D$1:$D$768))/_xlfn.STDEV.P(pima_data!$D$1:$D$768)</f>
        <v>-1.28821221294523</v>
      </c>
      <c r="E318" s="5">
        <f>(pima_data!E318-AVERAGE(pima_data!$E$1:$E$768))/_xlfn.STDEV.P(pima_data!$E$1:$E$768)</f>
        <v>-0.692890572295466</v>
      </c>
      <c r="F318" s="5">
        <f>(pima_data!F318-AVERAGE(pima_data!$F$1:$F$768))/_xlfn.STDEV.P(pima_data!$F$1:$F$768)</f>
        <v>-0.189436889262224</v>
      </c>
      <c r="G318" s="5">
        <f>(pima_data!G318-AVERAGE(pima_data!$G$1:$G$768))/_xlfn.STDEV.P(pima_data!$G$1:$G$768)</f>
        <v>-0.383181489635734</v>
      </c>
      <c r="H318" s="5">
        <f>(pima_data!H318-AVERAGE(pima_data!$H$1:$H$768))/_xlfn.STDEV.P(pima_data!$H$1:$H$768)</f>
        <v>-0.360847411405889</v>
      </c>
    </row>
    <row r="319" spans="1:8">
      <c r="A319" s="5">
        <f>(pima_data!A319-AVERAGE(pima_data!$A$1:$A$768))/_xlfn.STDEV.P(pima_data!$A$1:$A$768)</f>
        <v>-0.25095212800207</v>
      </c>
      <c r="B319" s="5">
        <f>(pima_data!B319-AVERAGE(pima_data!$B$1:$B$768))/_xlfn.STDEV.P(pima_data!$B$1:$B$768)</f>
        <v>-0.184482001166224</v>
      </c>
      <c r="C319" s="5">
        <f>(pima_data!C319-AVERAGE(pima_data!$C$1:$C$768))/_xlfn.STDEV.P(pima_data!$C$1:$C$768)</f>
        <v>-0.160545746746863</v>
      </c>
      <c r="D319" s="5">
        <f>(pima_data!D319-AVERAGE(pima_data!$D$1:$D$768))/_xlfn.STDEV.P(pima_data!$D$1:$D$768)</f>
        <v>1.15818216964008</v>
      </c>
      <c r="E319" s="5">
        <f>(pima_data!E319-AVERAGE(pima_data!$E$1:$E$768))/_xlfn.STDEV.P(pima_data!$E$1:$E$768)</f>
        <v>0.522714856892416</v>
      </c>
      <c r="F319" s="5">
        <f>(pima_data!F319-AVERAGE(pima_data!$F$1:$F$768))/_xlfn.STDEV.P(pima_data!$F$1:$F$768)</f>
        <v>0.775149375455358</v>
      </c>
      <c r="G319" s="5">
        <f>(pima_data!G319-AVERAGE(pima_data!$G$1:$G$768))/_xlfn.STDEV.P(pima_data!$G$1:$G$768)</f>
        <v>-0.972104631720152</v>
      </c>
      <c r="H319" s="5">
        <f>(pima_data!H319-AVERAGE(pima_data!$H$1:$H$768))/_xlfn.STDEV.P(pima_data!$H$1:$H$768)</f>
        <v>-0.445935164540591</v>
      </c>
    </row>
    <row r="320" spans="1:8">
      <c r="A320" s="5">
        <f>(pima_data!A320-AVERAGE(pima_data!$A$1:$A$768))/_xlfn.STDEV.P(pima_data!$A$1:$A$768)</f>
        <v>0.639947260159362</v>
      </c>
      <c r="B320" s="5">
        <f>(pima_data!B320-AVERAGE(pima_data!$B$1:$B$768))/_xlfn.STDEV.P(pima_data!$B$1:$B$768)</f>
        <v>2.28799247967255</v>
      </c>
      <c r="C320" s="5">
        <f>(pima_data!C320-AVERAGE(pima_data!$C$1:$C$768))/_xlfn.STDEV.P(pima_data!$C$1:$C$768)</f>
        <v>0.459827252003279</v>
      </c>
      <c r="D320" s="5">
        <f>(pima_data!D320-AVERAGE(pima_data!$D$1:$D$768))/_xlfn.STDEV.P(pima_data!$D$1:$D$768)</f>
        <v>-1.28821221294523</v>
      </c>
      <c r="E320" s="5">
        <f>(pima_data!E320-AVERAGE(pima_data!$E$1:$E$768))/_xlfn.STDEV.P(pima_data!$E$1:$E$768)</f>
        <v>-0.692890572295466</v>
      </c>
      <c r="F320" s="5">
        <f>(pima_data!F320-AVERAGE(pima_data!$F$1:$F$768))/_xlfn.STDEV.P(pima_data!$F$1:$F$768)</f>
        <v>-1.07787160676526</v>
      </c>
      <c r="G320" s="5">
        <f>(pima_data!G320-AVERAGE(pima_data!$G$1:$G$768))/_xlfn.STDEV.P(pima_data!$G$1:$G$768)</f>
        <v>-1.03552712394463</v>
      </c>
      <c r="H320" s="5">
        <f>(pima_data!H320-AVERAGE(pima_data!$H$1:$H$768))/_xlfn.STDEV.P(pima_data!$H$1:$H$768)</f>
        <v>2.19178518263516</v>
      </c>
    </row>
    <row r="321" spans="1:8">
      <c r="A321" s="5">
        <f>(pima_data!A321-AVERAGE(pima_data!$A$1:$A$768))/_xlfn.STDEV.P(pima_data!$A$1:$A$768)</f>
        <v>0.0460143347184072</v>
      </c>
      <c r="B321" s="5">
        <f>(pima_data!B321-AVERAGE(pima_data!$B$1:$B$768))/_xlfn.STDEV.P(pima_data!$B$1:$B$768)</f>
        <v>0.253678033412799</v>
      </c>
      <c r="C321" s="5">
        <f>(pima_data!C321-AVERAGE(pima_data!$C$1:$C$768))/_xlfn.STDEV.P(pima_data!$C$1:$C$768)</f>
        <v>-0.470732246121934</v>
      </c>
      <c r="D321" s="5">
        <f>(pima_data!D321-AVERAGE(pima_data!$D$1:$D$768))/_xlfn.STDEV.P(pima_data!$D$1:$D$768)</f>
        <v>-0.535475479842058</v>
      </c>
      <c r="E321" s="5">
        <f>(pima_data!E321-AVERAGE(pima_data!$E$1:$E$768))/_xlfn.STDEV.P(pima_data!$E$1:$E$768)</f>
        <v>1.31285838586454</v>
      </c>
      <c r="F321" s="5">
        <f>(pima_data!F321-AVERAGE(pima_data!$F$1:$F$768))/_xlfn.STDEV.P(pima_data!$F$1:$F$768)</f>
        <v>-0.570194625334953</v>
      </c>
      <c r="G321" s="5">
        <f>(pima_data!G321-AVERAGE(pima_data!$G$1:$G$768))/_xlfn.STDEV.P(pima_data!$G$1:$G$768)</f>
        <v>0.166480109643056</v>
      </c>
      <c r="H321" s="5">
        <f>(pima_data!H321-AVERAGE(pima_data!$H$1:$H$768))/_xlfn.STDEV.P(pima_data!$H$1:$H$768)</f>
        <v>-0.190671905136486</v>
      </c>
    </row>
    <row r="322" spans="1:8">
      <c r="A322" s="5">
        <f>(pima_data!A322-AVERAGE(pima_data!$A$1:$A$768))/_xlfn.STDEV.P(pima_data!$A$1:$A$768)</f>
        <v>-0.25095212800207</v>
      </c>
      <c r="B322" s="5">
        <f>(pima_data!B322-AVERAGE(pima_data!$B$1:$B$768))/_xlfn.STDEV.P(pima_data!$B$1:$B$768)</f>
        <v>-0.278373437147443</v>
      </c>
      <c r="C322" s="5">
        <f>(pima_data!C322-AVERAGE(pima_data!$C$1:$C$768))/_xlfn.STDEV.P(pima_data!$C$1:$C$768)</f>
        <v>0.253036252419898</v>
      </c>
      <c r="D322" s="5">
        <f>(pima_data!D322-AVERAGE(pima_data!$D$1:$D$768))/_xlfn.STDEV.P(pima_data!$D$1:$D$768)</f>
        <v>0.593629619812703</v>
      </c>
      <c r="E322" s="5">
        <f>(pima_data!E322-AVERAGE(pima_data!$E$1:$E$768))/_xlfn.STDEV.P(pima_data!$E$1:$E$768)</f>
        <v>-0.692890572295466</v>
      </c>
      <c r="F322" s="5">
        <f>(pima_data!F322-AVERAGE(pima_data!$F$1:$F$768))/_xlfn.STDEV.P(pima_data!$F$1:$F$768)</f>
        <v>-0.0498257193688892</v>
      </c>
      <c r="G322" s="5">
        <f>(pima_data!G322-AVERAGE(pima_data!$G$1:$G$768))/_xlfn.STDEV.P(pima_data!$G$1:$G$768)</f>
        <v>-0.83015905388442</v>
      </c>
      <c r="H322" s="5">
        <f>(pima_data!H322-AVERAGE(pima_data!$H$1:$H$768))/_xlfn.STDEV.P(pima_data!$H$1:$H$768)</f>
        <v>-0.701198423944696</v>
      </c>
    </row>
    <row r="323" spans="1:8">
      <c r="A323" s="5">
        <f>(pima_data!A323-AVERAGE(pima_data!$A$1:$A$768))/_xlfn.STDEV.P(pima_data!$A$1:$A$768)</f>
        <v>-1.1418515161635</v>
      </c>
      <c r="B323" s="5">
        <f>(pima_data!B323-AVERAGE(pima_data!$B$1:$B$768))/_xlfn.STDEV.P(pima_data!$B$1:$B$768)</f>
        <v>0.097192306777434</v>
      </c>
      <c r="C323" s="5">
        <f>(pima_data!C323-AVERAGE(pima_data!$C$1:$C$768))/_xlfn.STDEV.P(pima_data!$C$1:$C$768)</f>
        <v>0.0462452528365177</v>
      </c>
      <c r="D323" s="5">
        <f>(pima_data!D323-AVERAGE(pima_data!$D$1:$D$768))/_xlfn.STDEV.P(pima_data!$D$1:$D$768)</f>
        <v>-0.0336509911066088</v>
      </c>
      <c r="E323" s="5">
        <f>(pima_data!E323-AVERAGE(pima_data!$E$1:$E$768))/_xlfn.STDEV.P(pima_data!$E$1:$E$768)</f>
        <v>-0.692890572295466</v>
      </c>
      <c r="F323" s="5">
        <f>(pima_data!F323-AVERAGE(pima_data!$F$1:$F$768))/_xlfn.STDEV.P(pima_data!$F$1:$F$768)</f>
        <v>-0.582886549870711</v>
      </c>
      <c r="G323" s="5">
        <f>(pima_data!G323-AVERAGE(pima_data!$G$1:$G$768))/_xlfn.STDEV.P(pima_data!$G$1:$G$768)</f>
        <v>-0.658012289275129</v>
      </c>
      <c r="H323" s="5">
        <f>(pima_data!H323-AVERAGE(pima_data!$H$1:$H$768))/_xlfn.STDEV.P(pima_data!$H$1:$H$768)</f>
        <v>0.234766860537022</v>
      </c>
    </row>
    <row r="324" spans="1:8">
      <c r="A324" s="5">
        <f>(pima_data!A324-AVERAGE(pima_data!$A$1:$A$768))/_xlfn.STDEV.P(pima_data!$A$1:$A$768)</f>
        <v>2.7187124992027</v>
      </c>
      <c r="B324" s="5">
        <f>(pima_data!B324-AVERAGE(pima_data!$B$1:$B$768))/_xlfn.STDEV.P(pima_data!$B$1:$B$768)</f>
        <v>0.973512375935481</v>
      </c>
      <c r="C324" s="5">
        <f>(pima_data!C324-AVERAGE(pima_data!$C$1:$C$768))/_xlfn.STDEV.P(pima_data!$C$1:$C$768)</f>
        <v>1.08020025075342</v>
      </c>
      <c r="D324" s="5">
        <f>(pima_data!D324-AVERAGE(pima_data!$D$1:$D$768))/_xlfn.STDEV.P(pima_data!$D$1:$D$768)</f>
        <v>0.781813803088497</v>
      </c>
      <c r="E324" s="5">
        <f>(pima_data!E324-AVERAGE(pima_data!$E$1:$E$768))/_xlfn.STDEV.P(pima_data!$E$1:$E$768)</f>
        <v>-0.441086590535119</v>
      </c>
      <c r="F324" s="5">
        <f>(pima_data!F324-AVERAGE(pima_data!$F$1:$F$768))/_xlfn.STDEV.P(pima_data!$F$1:$F$768)</f>
        <v>-0.659038097085257</v>
      </c>
      <c r="G324" s="5">
        <f>(pima_data!G324-AVERAGE(pima_data!$G$1:$G$768))/_xlfn.STDEV.P(pima_data!$G$1:$G$768)</f>
        <v>0.782584319823678</v>
      </c>
      <c r="H324" s="5">
        <f>(pima_data!H324-AVERAGE(pima_data!$H$1:$H$768))/_xlfn.STDEV.P(pima_data!$H$1:$H$768)</f>
        <v>0.830381132479934</v>
      </c>
    </row>
    <row r="325" spans="1:8">
      <c r="A325" s="5">
        <f>(pima_data!A325-AVERAGE(pima_data!$A$1:$A$768))/_xlfn.STDEV.P(pima_data!$A$1:$A$768)</f>
        <v>-0.547918590722547</v>
      </c>
      <c r="B325" s="5">
        <f>(pima_data!B325-AVERAGE(pima_data!$B$1:$B$768))/_xlfn.STDEV.P(pima_data!$B$1:$B$768)</f>
        <v>-0.278373437147443</v>
      </c>
      <c r="C325" s="5">
        <f>(pima_data!C325-AVERAGE(pima_data!$C$1:$C$768))/_xlfn.STDEV.P(pima_data!$C$1:$C$768)</f>
        <v>0.304734002315743</v>
      </c>
      <c r="D325" s="5">
        <f>(pima_data!D325-AVERAGE(pima_data!$D$1:$D$768))/_xlfn.STDEV.P(pima_data!$D$1:$D$768)</f>
        <v>0.719085741996565</v>
      </c>
      <c r="E325" s="5">
        <f>(pima_data!E325-AVERAGE(pima_data!$E$1:$E$768))/_xlfn.STDEV.P(pima_data!$E$1:$E$768)</f>
        <v>-0.692890572295466</v>
      </c>
      <c r="F325" s="5">
        <f>(pima_data!F325-AVERAGE(pima_data!$F$1:$F$768))/_xlfn.STDEV.P(pima_data!$F$1:$F$768)</f>
        <v>0.470543186597175</v>
      </c>
      <c r="G325" s="5">
        <f>(pima_data!G325-AVERAGE(pima_data!$G$1:$G$768))/_xlfn.STDEV.P(pima_data!$G$1:$G$768)</f>
        <v>-0.978144869074864</v>
      </c>
      <c r="H325" s="5">
        <f>(pima_data!H325-AVERAGE(pima_data!$H$1:$H$768))/_xlfn.STDEV.P(pima_data!$H$1:$H$768)</f>
        <v>-1.0415494364835</v>
      </c>
    </row>
    <row r="326" spans="1:8">
      <c r="A326" s="5">
        <f>(pima_data!A326-AVERAGE(pima_data!$A$1:$A$768))/_xlfn.STDEV.P(pima_data!$A$1:$A$768)</f>
        <v>-0.844885053443025</v>
      </c>
      <c r="B326" s="5">
        <f>(pima_data!B326-AVERAGE(pima_data!$B$1:$B$768))/_xlfn.STDEV.P(pima_data!$B$1:$B$768)</f>
        <v>1.12999810257085</v>
      </c>
      <c r="C326" s="5">
        <f>(pima_data!C326-AVERAGE(pima_data!$C$1:$C$768))/_xlfn.STDEV.P(pima_data!$C$1:$C$768)</f>
        <v>0.149640752628208</v>
      </c>
      <c r="D326" s="5">
        <f>(pima_data!D326-AVERAGE(pima_data!$D$1:$D$768))/_xlfn.STDEV.P(pima_data!$D$1:$D$768)</f>
        <v>0.0290770699853223</v>
      </c>
      <c r="E326" s="5">
        <f>(pima_data!E326-AVERAGE(pima_data!$E$1:$E$768))/_xlfn.STDEV.P(pima_data!$E$1:$E$768)</f>
        <v>0.765835942729992</v>
      </c>
      <c r="F326" s="5">
        <f>(pima_data!F326-AVERAGE(pima_data!$F$1:$F$768))/_xlfn.STDEV.P(pima_data!$F$1:$F$768)</f>
        <v>-0.811341191514348</v>
      </c>
      <c r="G326" s="5">
        <f>(pima_data!G326-AVERAGE(pima_data!$G$1:$G$768))/_xlfn.STDEV.P(pima_data!$G$1:$G$768)</f>
        <v>-1.05364783600876</v>
      </c>
      <c r="H326" s="5">
        <f>(pima_data!H326-AVERAGE(pima_data!$H$1:$H$768))/_xlfn.STDEV.P(pima_data!$H$1:$H$768)</f>
        <v>-0.786286177079398</v>
      </c>
    </row>
    <row r="327" spans="1:8">
      <c r="A327" s="5">
        <f>(pima_data!A327-AVERAGE(pima_data!$A$1:$A$768))/_xlfn.STDEV.P(pima_data!$A$1:$A$768)</f>
        <v>-0.844885053443025</v>
      </c>
      <c r="B327" s="5">
        <f>(pima_data!B327-AVERAGE(pima_data!$B$1:$B$768))/_xlfn.STDEV.P(pima_data!$B$1:$B$768)</f>
        <v>0.0345980161232878</v>
      </c>
      <c r="C327" s="5">
        <f>(pima_data!C327-AVERAGE(pima_data!$C$1:$C$768))/_xlfn.STDEV.P(pima_data!$C$1:$C$768)</f>
        <v>-0.263941246538553</v>
      </c>
      <c r="D327" s="5">
        <f>(pima_data!D327-AVERAGE(pima_data!$D$1:$D$768))/_xlfn.STDEV.P(pima_data!$D$1:$D$768)</f>
        <v>0.719085741996565</v>
      </c>
      <c r="E327" s="5">
        <f>(pima_data!E327-AVERAGE(pima_data!$E$1:$E$768))/_xlfn.STDEV.P(pima_data!$E$1:$E$768)</f>
        <v>0.661641191656745</v>
      </c>
      <c r="F327" s="5">
        <f>(pima_data!F327-AVERAGE(pima_data!$F$1:$F$768))/_xlfn.STDEV.P(pima_data!$F$1:$F$768)</f>
        <v>0.394391639382629</v>
      </c>
      <c r="G327" s="5">
        <f>(pima_data!G327-AVERAGE(pima_data!$G$1:$G$768))/_xlfn.STDEV.P(pima_data!$G$1:$G$768)</f>
        <v>0.664799691406794</v>
      </c>
      <c r="H327" s="5">
        <f>(pima_data!H327-AVERAGE(pima_data!$H$1:$H$768))/_xlfn.STDEV.P(pima_data!$H$1:$H$768)</f>
        <v>-0.275759658271188</v>
      </c>
    </row>
    <row r="328" spans="1:8">
      <c r="A328" s="5">
        <f>(pima_data!A328-AVERAGE(pima_data!$A$1:$A$768))/_xlfn.STDEV.P(pima_data!$A$1:$A$768)</f>
        <v>1.82781311104127</v>
      </c>
      <c r="B328" s="5">
        <f>(pima_data!B328-AVERAGE(pima_data!$B$1:$B$768))/_xlfn.STDEV.P(pima_data!$B$1:$B$768)</f>
        <v>1.81853529976645</v>
      </c>
      <c r="C328" s="5">
        <f>(pima_data!C328-AVERAGE(pima_data!$C$1:$C$768))/_xlfn.STDEV.P(pima_data!$C$1:$C$768)</f>
        <v>0.0462452528365177</v>
      </c>
      <c r="D328" s="5">
        <f>(pima_data!D328-AVERAGE(pima_data!$D$1:$D$768))/_xlfn.STDEV.P(pima_data!$D$1:$D$768)</f>
        <v>-1.28821221294523</v>
      </c>
      <c r="E328" s="5">
        <f>(pima_data!E328-AVERAGE(pima_data!$E$1:$E$768))/_xlfn.STDEV.P(pima_data!$E$1:$E$768)</f>
        <v>-0.692890572295466</v>
      </c>
      <c r="F328" s="5">
        <f>(pima_data!F328-AVERAGE(pima_data!$F$1:$F$768))/_xlfn.STDEV.P(pima_data!$F$1:$F$768)</f>
        <v>0.394391639382629</v>
      </c>
      <c r="G328" s="5">
        <f>(pima_data!G328-AVERAGE(pima_data!$G$1:$G$768))/_xlfn.STDEV.P(pima_data!$G$1:$G$768)</f>
        <v>-0.821098697852352</v>
      </c>
      <c r="H328" s="5">
        <f>(pima_data!H328-AVERAGE(pima_data!$H$1:$H$768))/_xlfn.STDEV.P(pima_data!$H$1:$H$768)</f>
        <v>0.319854613671724</v>
      </c>
    </row>
    <row r="329" spans="1:8">
      <c r="A329" s="5">
        <f>(pima_data!A329-AVERAGE(pima_data!$A$1:$A$768))/_xlfn.STDEV.P(pima_data!$A$1:$A$768)</f>
        <v>-0.547918590722547</v>
      </c>
      <c r="B329" s="5">
        <f>(pima_data!B329-AVERAGE(pima_data!$B$1:$B$768))/_xlfn.STDEV.P(pima_data!$B$1:$B$768)</f>
        <v>-0.591344890418174</v>
      </c>
      <c r="C329" s="5">
        <f>(pima_data!C329-AVERAGE(pima_data!$C$1:$C$768))/_xlfn.STDEV.P(pima_data!$C$1:$C$768)</f>
        <v>0.87340925117004</v>
      </c>
      <c r="D329" s="5">
        <f>(pima_data!D329-AVERAGE(pima_data!$D$1:$D$768))/_xlfn.STDEV.P(pima_data!$D$1:$D$768)</f>
        <v>0.96999798636429</v>
      </c>
      <c r="E329" s="5">
        <f>(pima_data!E329-AVERAGE(pima_data!$E$1:$E$768))/_xlfn.STDEV.P(pima_data!$E$1:$E$768)</f>
        <v>0.349056938437004</v>
      </c>
      <c r="F329" s="5">
        <f>(pima_data!F329-AVERAGE(pima_data!$F$1:$F$768))/_xlfn.STDEV.P(pima_data!$F$1:$F$768)</f>
        <v>1.71435179110142</v>
      </c>
      <c r="G329" s="5">
        <f>(pima_data!G329-AVERAGE(pima_data!$G$1:$G$768))/_xlfn.STDEV.P(pima_data!$G$1:$G$768)</f>
        <v>-1.04156736129934</v>
      </c>
      <c r="H329" s="5">
        <f>(pima_data!H329-AVERAGE(pima_data!$H$1:$H$768))/_xlfn.STDEV.P(pima_data!$H$1:$H$768)</f>
        <v>-0.871373930214099</v>
      </c>
    </row>
    <row r="330" spans="1:8">
      <c r="A330" s="5">
        <f>(pima_data!A330-AVERAGE(pima_data!$A$1:$A$768))/_xlfn.STDEV.P(pima_data!$A$1:$A$768)</f>
        <v>0.639947260159362</v>
      </c>
      <c r="B330" s="5">
        <f>(pima_data!B330-AVERAGE(pima_data!$B$1:$B$768))/_xlfn.STDEV.P(pima_data!$B$1:$B$768)</f>
        <v>-0.497453454436955</v>
      </c>
      <c r="C330" s="5">
        <f>(pima_data!C330-AVERAGE(pima_data!$C$1:$C$768))/_xlfn.STDEV.P(pima_data!$C$1:$C$768)</f>
        <v>0.0462452528365177</v>
      </c>
      <c r="D330" s="5">
        <f>(pima_data!D330-AVERAGE(pima_data!$D$1:$D$768))/_xlfn.STDEV.P(pima_data!$D$1:$D$768)</f>
        <v>0.719085741996565</v>
      </c>
      <c r="E330" s="5">
        <f>(pima_data!E330-AVERAGE(pima_data!$E$1:$E$768))/_xlfn.STDEV.P(pima_data!$E$1:$E$768)</f>
        <v>-0.102453649547067</v>
      </c>
      <c r="F330" s="5">
        <f>(pima_data!F330-AVERAGE(pima_data!$F$1:$F$768))/_xlfn.STDEV.P(pima_data!$F$1:$F$768)</f>
        <v>-0.151361115654951</v>
      </c>
      <c r="G330" s="5">
        <f>(pima_data!G330-AVERAGE(pima_data!$G$1:$G$768))/_xlfn.STDEV.P(pima_data!$G$1:$G$768)</f>
        <v>-1.05666795468612</v>
      </c>
      <c r="H330" s="5">
        <f>(pima_data!H330-AVERAGE(pima_data!$H$1:$H$768))/_xlfn.STDEV.P(pima_data!$H$1:$H$768)</f>
        <v>0.319854613671724</v>
      </c>
    </row>
    <row r="331" spans="1:8">
      <c r="A331" s="5">
        <f>(pima_data!A331-AVERAGE(pima_data!$A$1:$A$768))/_xlfn.STDEV.P(pima_data!$A$1:$A$768)</f>
        <v>1.23388018560032</v>
      </c>
      <c r="B331" s="5">
        <f>(pima_data!B331-AVERAGE(pima_data!$B$1:$B$768))/_xlfn.STDEV.P(pima_data!$B$1:$B$768)</f>
        <v>-0.0905905651850046</v>
      </c>
      <c r="C331" s="5">
        <f>(pima_data!C331-AVERAGE(pima_data!$C$1:$C$768))/_xlfn.STDEV.P(pima_data!$C$1:$C$768)</f>
        <v>0.149640752628208</v>
      </c>
      <c r="D331" s="5">
        <f>(pima_data!D331-AVERAGE(pima_data!$D$1:$D$768))/_xlfn.STDEV.P(pima_data!$D$1:$D$768)</f>
        <v>-0.09637905219854</v>
      </c>
      <c r="E331" s="5">
        <f>(pima_data!E331-AVERAGE(pima_data!$E$1:$E$768))/_xlfn.STDEV.P(pima_data!$E$1:$E$768)</f>
        <v>-0.692890572295466</v>
      </c>
      <c r="F331" s="5">
        <f>(pima_data!F331-AVERAGE(pima_data!$F$1:$F$768))/_xlfn.STDEV.P(pima_data!$F$1:$F$768)</f>
        <v>-1.12863930490829</v>
      </c>
      <c r="G331" s="5">
        <f>(pima_data!G331-AVERAGE(pima_data!$G$1:$G$768))/_xlfn.STDEV.P(pima_data!$G$1:$G$768)</f>
        <v>3.03257273445389</v>
      </c>
      <c r="H331" s="5">
        <f>(pima_data!H331-AVERAGE(pima_data!$H$1:$H$768))/_xlfn.STDEV.P(pima_data!$H$1:$H$768)</f>
        <v>1.08564439188404</v>
      </c>
    </row>
    <row r="332" spans="1:8">
      <c r="A332" s="5">
        <f>(pima_data!A332-AVERAGE(pima_data!$A$1:$A$768))/_xlfn.STDEV.P(pima_data!$A$1:$A$768)</f>
        <v>-0.547918590722547</v>
      </c>
      <c r="B332" s="5">
        <f>(pima_data!B332-AVERAGE(pima_data!$B$1:$B$768))/_xlfn.STDEV.P(pima_data!$B$1:$B$768)</f>
        <v>-1.06080207032427</v>
      </c>
      <c r="C332" s="5">
        <f>(pima_data!C332-AVERAGE(pima_data!$C$1:$C$768))/_xlfn.STDEV.P(pima_data!$C$1:$C$768)</f>
        <v>-0.574127745913624</v>
      </c>
      <c r="D332" s="5">
        <f>(pima_data!D332-AVERAGE(pima_data!$D$1:$D$768))/_xlfn.STDEV.P(pima_data!$D$1:$D$768)</f>
        <v>-0.284563235474334</v>
      </c>
      <c r="E332" s="5">
        <f>(pima_data!E332-AVERAGE(pima_data!$E$1:$E$768))/_xlfn.STDEV.P(pima_data!$E$1:$E$768)</f>
        <v>-0.241379984311396</v>
      </c>
      <c r="F332" s="5">
        <f>(pima_data!F332-AVERAGE(pima_data!$F$1:$F$768))/_xlfn.STDEV.P(pima_data!$F$1:$F$768)</f>
        <v>0.0897854505244452</v>
      </c>
      <c r="G332" s="5">
        <f>(pima_data!G332-AVERAGE(pima_data!$G$1:$G$768))/_xlfn.STDEV.P(pima_data!$G$1:$G$768)</f>
        <v>-0.923782732882456</v>
      </c>
      <c r="H332" s="5">
        <f>(pima_data!H332-AVERAGE(pima_data!$H$1:$H$768))/_xlfn.STDEV.P(pima_data!$H$1:$H$768)</f>
        <v>-0.701198423944696</v>
      </c>
    </row>
    <row r="333" spans="1:8">
      <c r="A333" s="5">
        <f>(pima_data!A333-AVERAGE(pima_data!$A$1:$A$768))/_xlfn.STDEV.P(pima_data!$A$1:$A$768)</f>
        <v>-0.844885053443025</v>
      </c>
      <c r="B333" s="5">
        <f>(pima_data!B333-AVERAGE(pima_data!$B$1:$B$768))/_xlfn.STDEV.P(pima_data!$B$1:$B$768)</f>
        <v>1.84983244509353</v>
      </c>
      <c r="C333" s="5">
        <f>(pima_data!C333-AVERAGE(pima_data!$C$1:$C$768))/_xlfn.STDEV.P(pima_data!$C$1:$C$768)</f>
        <v>-3.57259723987264</v>
      </c>
      <c r="D333" s="5">
        <f>(pima_data!D333-AVERAGE(pima_data!$D$1:$D$768))/_xlfn.STDEV.P(pima_data!$D$1:$D$768)</f>
        <v>-1.28821221294523</v>
      </c>
      <c r="E333" s="5">
        <f>(pima_data!E333-AVERAGE(pima_data!$E$1:$E$768))/_xlfn.STDEV.P(pima_data!$E$1:$E$768)</f>
        <v>-0.692890572295466</v>
      </c>
      <c r="F333" s="5">
        <f>(pima_data!F333-AVERAGE(pima_data!$F$1:$F$768))/_xlfn.STDEV.P(pima_data!$F$1:$F$768)</f>
        <v>1.43512945131476</v>
      </c>
      <c r="G333" s="5">
        <f>(pima_data!G333-AVERAGE(pima_data!$G$1:$G$768))/_xlfn.STDEV.P(pima_data!$G$1:$G$768)</f>
        <v>-0.573448966309161</v>
      </c>
      <c r="H333" s="5">
        <f>(pima_data!H333-AVERAGE(pima_data!$H$1:$H$768))/_xlfn.STDEV.P(pima_data!$H$1:$H$768)</f>
        <v>0.66020562621053</v>
      </c>
    </row>
    <row r="334" spans="1:8">
      <c r="A334" s="5">
        <f>(pima_data!A334-AVERAGE(pima_data!$A$1:$A$768))/_xlfn.STDEV.P(pima_data!$A$1:$A$768)</f>
        <v>2.42174603648223</v>
      </c>
      <c r="B334" s="5">
        <f>(pima_data!B334-AVERAGE(pima_data!$B$1:$B$768))/_xlfn.STDEV.P(pima_data!$B$1:$B$768)</f>
        <v>-0.466156309109882</v>
      </c>
      <c r="C334" s="5">
        <f>(pima_data!C334-AVERAGE(pima_data!$C$1:$C$768))/_xlfn.STDEV.P(pima_data!$C$1:$C$768)</f>
        <v>0.563222751794969</v>
      </c>
      <c r="D334" s="5">
        <f>(pima_data!D334-AVERAGE(pima_data!$D$1:$D$768))/_xlfn.STDEV.P(pima_data!$D$1:$D$768)</f>
        <v>-1.28821221294523</v>
      </c>
      <c r="E334" s="5">
        <f>(pima_data!E334-AVERAGE(pima_data!$E$1:$E$768))/_xlfn.STDEV.P(pima_data!$E$1:$E$768)</f>
        <v>-0.692890572295466</v>
      </c>
      <c r="F334" s="5">
        <f>(pima_data!F334-AVERAGE(pima_data!$F$1:$F$768))/_xlfn.STDEV.P(pima_data!$F$1:$F$768)</f>
        <v>-1.0651796822295</v>
      </c>
      <c r="G334" s="5">
        <f>(pima_data!G334-AVERAGE(pima_data!$G$1:$G$768))/_xlfn.STDEV.P(pima_data!$G$1:$G$768)</f>
        <v>-1.01136617452578</v>
      </c>
      <c r="H334" s="5">
        <f>(pima_data!H334-AVERAGE(pima_data!$H$1:$H$768))/_xlfn.STDEV.P(pima_data!$H$1:$H$768)</f>
        <v>0.915468885614635</v>
      </c>
    </row>
    <row r="335" spans="1:8">
      <c r="A335" s="5">
        <f>(pima_data!A335-AVERAGE(pima_data!$A$1:$A$768))/_xlfn.STDEV.P(pima_data!$A$1:$A$768)</f>
        <v>-0.844885053443025</v>
      </c>
      <c r="B335" s="5">
        <f>(pima_data!B335-AVERAGE(pima_data!$B$1:$B$768))/_xlfn.STDEV.P(pima_data!$B$1:$B$768)</f>
        <v>-0.810424907707686</v>
      </c>
      <c r="C335" s="5">
        <f>(pima_data!C335-AVERAGE(pima_data!$C$1:$C$768))/_xlfn.STDEV.P(pima_data!$C$1:$C$768)</f>
        <v>-0.470732246121934</v>
      </c>
      <c r="D335" s="5">
        <f>(pima_data!D335-AVERAGE(pima_data!$D$1:$D$768))/_xlfn.STDEV.P(pima_data!$D$1:$D$768)</f>
        <v>-0.159107113290471</v>
      </c>
      <c r="E335" s="5">
        <f>(pima_data!E335-AVERAGE(pima_data!$E$1:$E$768))/_xlfn.STDEV.P(pima_data!$E$1:$E$768)</f>
        <v>-0.189282608774772</v>
      </c>
      <c r="F335" s="5">
        <f>(pima_data!F335-AVERAGE(pima_data!$F$1:$F$768))/_xlfn.STDEV.P(pima_data!$F$1:$F$768)</f>
        <v>-1.02710390862223</v>
      </c>
      <c r="G335" s="5">
        <f>(pima_data!G335-AVERAGE(pima_data!$G$1:$G$768))/_xlfn.STDEV.P(pima_data!$G$1:$G$768)</f>
        <v>-0.639891577210993</v>
      </c>
      <c r="H335" s="5">
        <f>(pima_data!H335-AVERAGE(pima_data!$H$1:$H$768))/_xlfn.STDEV.P(pima_data!$H$1:$H$768)</f>
        <v>-0.956461683348801</v>
      </c>
    </row>
    <row r="336" spans="1:8">
      <c r="A336" s="5">
        <f>(pima_data!A336-AVERAGE(pima_data!$A$1:$A$768))/_xlfn.STDEV.P(pima_data!$A$1:$A$768)</f>
        <v>-1.1418515161635</v>
      </c>
      <c r="B336" s="5">
        <f>(pima_data!B336-AVERAGE(pima_data!$B$1:$B$768))/_xlfn.STDEV.P(pima_data!$B$1:$B$768)</f>
        <v>1.38037526518743</v>
      </c>
      <c r="C336" s="5">
        <f>(pima_data!C336-AVERAGE(pima_data!$C$1:$C$768))/_xlfn.STDEV.P(pima_data!$C$1:$C$768)</f>
        <v>0.356431752211589</v>
      </c>
      <c r="D336" s="5">
        <f>(pima_data!D336-AVERAGE(pima_data!$D$1:$D$768))/_xlfn.STDEV.P(pima_data!$D$1:$D$768)</f>
        <v>1.40909441400781</v>
      </c>
      <c r="E336" s="5">
        <f>(pima_data!E336-AVERAGE(pima_data!$E$1:$E$768))/_xlfn.STDEV.P(pima_data!$E$1:$E$768)</f>
        <v>1.52124788801103</v>
      </c>
      <c r="F336" s="5">
        <f>(pima_data!F336-AVERAGE(pima_data!$F$1:$F$768))/_xlfn.STDEV.P(pima_data!$F$1:$F$768)</f>
        <v>2.01895797995961</v>
      </c>
      <c r="G336" s="5">
        <f>(pima_data!G336-AVERAGE(pima_data!$G$1:$G$768))/_xlfn.STDEV.P(pima_data!$G$1:$G$768)</f>
        <v>-0.642911695888349</v>
      </c>
      <c r="H336" s="5">
        <f>(pima_data!H336-AVERAGE(pima_data!$H$1:$H$768))/_xlfn.STDEV.P(pima_data!$H$1:$H$768)</f>
        <v>-0.616110670809994</v>
      </c>
    </row>
    <row r="337" spans="1:8">
      <c r="A337" s="5">
        <f>(pima_data!A337-AVERAGE(pima_data!$A$1:$A$768))/_xlfn.STDEV.P(pima_data!$A$1:$A$768)</f>
        <v>-1.1418515161635</v>
      </c>
      <c r="B337" s="5">
        <f>(pima_data!B337-AVERAGE(pima_data!$B$1:$B$768))/_xlfn.STDEV.P(pima_data!$B$1:$B$768)</f>
        <v>-0.121887710512078</v>
      </c>
      <c r="C337" s="5">
        <f>(pima_data!C337-AVERAGE(pima_data!$C$1:$C$768))/_xlfn.STDEV.P(pima_data!$C$1:$C$768)</f>
        <v>-3.57259723987264</v>
      </c>
      <c r="D337" s="5">
        <f>(pima_data!D337-AVERAGE(pima_data!$D$1:$D$768))/_xlfn.STDEV.P(pima_data!$D$1:$D$768)</f>
        <v>-1.28821221294523</v>
      </c>
      <c r="E337" s="5">
        <f>(pima_data!E337-AVERAGE(pima_data!$E$1:$E$768))/_xlfn.STDEV.P(pima_data!$E$1:$E$768)</f>
        <v>-0.692890572295466</v>
      </c>
      <c r="F337" s="5">
        <f>(pima_data!F337-AVERAGE(pima_data!$F$1:$F$768))/_xlfn.STDEV.P(pima_data!$F$1:$F$768)</f>
        <v>0.229396620417779</v>
      </c>
      <c r="G337" s="5">
        <f>(pima_data!G337-AVERAGE(pima_data!$G$1:$G$768))/_xlfn.STDEV.P(pima_data!$G$1:$G$768)</f>
        <v>1.38962817397223</v>
      </c>
      <c r="H337" s="5">
        <f>(pima_data!H337-AVERAGE(pima_data!$H$1:$H$768))/_xlfn.STDEV.P(pima_data!$H$1:$H$768)</f>
        <v>0.915468885614635</v>
      </c>
    </row>
    <row r="338" spans="1:8">
      <c r="A338" s="5">
        <f>(pima_data!A338-AVERAGE(pima_data!$A$1:$A$768))/_xlfn.STDEV.P(pima_data!$A$1:$A$768)</f>
        <v>0.342980797438884</v>
      </c>
      <c r="B338" s="5">
        <f>(pima_data!B338-AVERAGE(pima_data!$B$1:$B$768))/_xlfn.STDEV.P(pima_data!$B$1:$B$768)</f>
        <v>-0.184482001166224</v>
      </c>
      <c r="C338" s="5">
        <f>(pima_data!C338-AVERAGE(pima_data!$C$1:$C$768))/_xlfn.STDEV.P(pima_data!$C$1:$C$768)</f>
        <v>0.356431752211589</v>
      </c>
      <c r="D338" s="5">
        <f>(pima_data!D338-AVERAGE(pima_data!$D$1:$D$768))/_xlfn.STDEV.P(pima_data!$D$1:$D$768)</f>
        <v>-1.28821221294523</v>
      </c>
      <c r="E338" s="5">
        <f>(pima_data!E338-AVERAGE(pima_data!$E$1:$E$768))/_xlfn.STDEV.P(pima_data!$E$1:$E$768)</f>
        <v>-0.692890572295466</v>
      </c>
      <c r="F338" s="5">
        <f>(pima_data!F338-AVERAGE(pima_data!$F$1:$F$768))/_xlfn.STDEV.P(pima_data!$F$1:$F$768)</f>
        <v>-0.10059341751192</v>
      </c>
      <c r="G338" s="5">
        <f>(pima_data!G338-AVERAGE(pima_data!$G$1:$G$768))/_xlfn.STDEV.P(pima_data!$G$1:$G$768)</f>
        <v>-0.389221726990446</v>
      </c>
      <c r="H338" s="5">
        <f>(pima_data!H338-AVERAGE(pima_data!$H$1:$H$768))/_xlfn.STDEV.P(pima_data!$H$1:$H$768)</f>
        <v>0.915468885614635</v>
      </c>
    </row>
    <row r="339" spans="1:8">
      <c r="A339" s="5">
        <f>(pima_data!A339-AVERAGE(pima_data!$A$1:$A$768))/_xlfn.STDEV.P(pima_data!$A$1:$A$768)</f>
        <v>1.53084664832079</v>
      </c>
      <c r="B339" s="5">
        <f>(pima_data!B339-AVERAGE(pima_data!$B$1:$B$768))/_xlfn.STDEV.P(pima_data!$B$1:$B$768)</f>
        <v>0.973512375935481</v>
      </c>
      <c r="C339" s="5">
        <f>(pima_data!C339-AVERAGE(pima_data!$C$1:$C$768))/_xlfn.STDEV.P(pima_data!$C$1:$C$768)</f>
        <v>0.459827252003279</v>
      </c>
      <c r="D339" s="5">
        <f>(pima_data!D339-AVERAGE(pima_data!$D$1:$D$768))/_xlfn.STDEV.P(pima_data!$D$1:$D$768)</f>
        <v>0.844541864180428</v>
      </c>
      <c r="E339" s="5">
        <f>(pima_data!E339-AVERAGE(pima_data!$E$1:$E$768))/_xlfn.STDEV.P(pima_data!$E$1:$E$768)</f>
        <v>0.791884630498304</v>
      </c>
      <c r="F339" s="5">
        <f>(pima_data!F339-AVERAGE(pima_data!$F$1:$F$768))/_xlfn.STDEV.P(pima_data!$F$1:$F$768)</f>
        <v>0.28016431856081</v>
      </c>
      <c r="G339" s="5">
        <f>(pima_data!G339-AVERAGE(pima_data!$G$1:$G$768))/_xlfn.STDEV.P(pima_data!$G$1:$G$768)</f>
        <v>1.27184354555535</v>
      </c>
      <c r="H339" s="5">
        <f>(pima_data!H339-AVERAGE(pima_data!$H$1:$H$768))/_xlfn.STDEV.P(pima_data!$H$1:$H$768)</f>
        <v>-0.0204963988670829</v>
      </c>
    </row>
    <row r="340" spans="1:8">
      <c r="A340" s="5">
        <f>(pima_data!A340-AVERAGE(pima_data!$A$1:$A$768))/_xlfn.STDEV.P(pima_data!$A$1:$A$768)</f>
        <v>0.936913722879839</v>
      </c>
      <c r="B340" s="5">
        <f>(pima_data!B340-AVERAGE(pima_data!$B$1:$B$768))/_xlfn.STDEV.P(pima_data!$B$1:$B$768)</f>
        <v>1.78723815443938</v>
      </c>
      <c r="C340" s="5">
        <f>(pima_data!C340-AVERAGE(pima_data!$C$1:$C$768))/_xlfn.STDEV.P(pima_data!$C$1:$C$768)</f>
        <v>0.77001375137835</v>
      </c>
      <c r="D340" s="5">
        <f>(pima_data!D340-AVERAGE(pima_data!$D$1:$D$768))/_xlfn.STDEV.P(pima_data!$D$1:$D$768)</f>
        <v>-1.28821221294523</v>
      </c>
      <c r="E340" s="5">
        <f>(pima_data!E340-AVERAGE(pima_data!$E$1:$E$768))/_xlfn.STDEV.P(pima_data!$E$1:$E$768)</f>
        <v>-0.692890572295466</v>
      </c>
      <c r="F340" s="5">
        <f>(pima_data!F340-AVERAGE(pima_data!$F$1:$F$768))/_xlfn.STDEV.P(pima_data!$F$1:$F$768)</f>
        <v>1.003604017099</v>
      </c>
      <c r="G340" s="5">
        <f>(pima_data!G340-AVERAGE(pima_data!$G$1:$G$768))/_xlfn.STDEV.P(pima_data!$G$1:$G$768)</f>
        <v>-0.425463151118717</v>
      </c>
      <c r="H340" s="5">
        <f>(pima_data!H340-AVERAGE(pima_data!$H$1:$H$768))/_xlfn.STDEV.P(pima_data!$H$1:$H$768)</f>
        <v>0.66020562621053</v>
      </c>
    </row>
    <row r="341" spans="1:8">
      <c r="A341" s="5">
        <f>(pima_data!A341-AVERAGE(pima_data!$A$1:$A$768))/_xlfn.STDEV.P(pima_data!$A$1:$A$768)</f>
        <v>-0.844885053443025</v>
      </c>
      <c r="B341" s="5">
        <f>(pima_data!B341-AVERAGE(pima_data!$B$1:$B$768))/_xlfn.STDEV.P(pima_data!$B$1:$B$768)</f>
        <v>0.284975178739873</v>
      </c>
      <c r="C341" s="5">
        <f>(pima_data!C341-AVERAGE(pima_data!$C$1:$C$768))/_xlfn.STDEV.P(pima_data!$C$1:$C$768)</f>
        <v>0.0462452528365177</v>
      </c>
      <c r="D341" s="5">
        <f>(pima_data!D341-AVERAGE(pima_data!$D$1:$D$768))/_xlfn.STDEV.P(pima_data!$D$1:$D$768)</f>
        <v>-0.472747418750127</v>
      </c>
      <c r="E341" s="5">
        <f>(pima_data!E341-AVERAGE(pima_data!$E$1:$E$768))/_xlfn.STDEV.P(pima_data!$E$1:$E$768)</f>
        <v>0.218813499595445</v>
      </c>
      <c r="F341" s="5">
        <f>(pima_data!F341-AVERAGE(pima_data!$F$1:$F$768))/_xlfn.STDEV.P(pima_data!$F$1:$F$768)</f>
        <v>-0.773265417907076</v>
      </c>
      <c r="G341" s="5">
        <f>(pima_data!G341-AVERAGE(pima_data!$G$1:$G$768))/_xlfn.STDEV.P(pima_data!$G$1:$G$768)</f>
        <v>0.000373582388476864</v>
      </c>
      <c r="H341" s="5">
        <f>(pima_data!H341-AVERAGE(pima_data!$H$1:$H$768))/_xlfn.STDEV.P(pima_data!$H$1:$H$768)</f>
        <v>-0.956461683348801</v>
      </c>
    </row>
    <row r="342" spans="1:8">
      <c r="A342" s="5">
        <f>(pima_data!A342-AVERAGE(pima_data!$A$1:$A$768))/_xlfn.STDEV.P(pima_data!$A$1:$A$768)</f>
        <v>-0.844885053443025</v>
      </c>
      <c r="B342" s="5">
        <f>(pima_data!B342-AVERAGE(pima_data!$B$1:$B$768))/_xlfn.STDEV.P(pima_data!$B$1:$B$768)</f>
        <v>-0.810424907707686</v>
      </c>
      <c r="C342" s="5">
        <f>(pima_data!C342-AVERAGE(pima_data!$C$1:$C$768))/_xlfn.STDEV.P(pima_data!$C$1:$C$768)</f>
        <v>0.253036252419898</v>
      </c>
      <c r="D342" s="5">
        <f>(pima_data!D342-AVERAGE(pima_data!$D$1:$D$768))/_xlfn.STDEV.P(pima_data!$D$1:$D$768)</f>
        <v>0.0290770699853223</v>
      </c>
      <c r="E342" s="5">
        <f>(pima_data!E342-AVERAGE(pima_data!$E$1:$E$768))/_xlfn.STDEV.P(pima_data!$E$1:$E$768)</f>
        <v>-0.0590391699332136</v>
      </c>
      <c r="F342" s="5">
        <f>(pima_data!F342-AVERAGE(pima_data!$F$1:$F$768))/_xlfn.STDEV.P(pima_data!$F$1:$F$768)</f>
        <v>-0.773265417907076</v>
      </c>
      <c r="G342" s="5">
        <f>(pima_data!G342-AVERAGE(pima_data!$G$1:$G$768))/_xlfn.STDEV.P(pima_data!$G$1:$G$768)</f>
        <v>0.607417436537031</v>
      </c>
      <c r="H342" s="5">
        <f>(pima_data!H342-AVERAGE(pima_data!$H$1:$H$768))/_xlfn.STDEV.P(pima_data!$H$1:$H$768)</f>
        <v>0.234766860537022</v>
      </c>
    </row>
    <row r="343" spans="1:8">
      <c r="A343" s="5">
        <f>(pima_data!A343-AVERAGE(pima_data!$A$1:$A$768))/_xlfn.STDEV.P(pima_data!$A$1:$A$768)</f>
        <v>-0.844885053443025</v>
      </c>
      <c r="B343" s="5">
        <f>(pima_data!B343-AVERAGE(pima_data!$B$1:$B$768))/_xlfn.STDEV.P(pima_data!$B$1:$B$768)</f>
        <v>-3.78365371377963</v>
      </c>
      <c r="C343" s="5">
        <f>(pima_data!C343-AVERAGE(pima_data!$C$1:$C$768))/_xlfn.STDEV.P(pima_data!$C$1:$C$768)</f>
        <v>-0.0571502469551726</v>
      </c>
      <c r="D343" s="5">
        <f>(pima_data!D343-AVERAGE(pima_data!$D$1:$D$768))/_xlfn.STDEV.P(pima_data!$D$1:$D$768)</f>
        <v>0.907269925272359</v>
      </c>
      <c r="E343" s="5">
        <f>(pima_data!E343-AVERAGE(pima_data!$E$1:$E$768))/_xlfn.STDEV.P(pima_data!$E$1:$E$768)</f>
        <v>-0.692890572295466</v>
      </c>
      <c r="F343" s="5">
        <f>(pima_data!F343-AVERAGE(pima_data!$F$1:$F$768))/_xlfn.STDEV.P(pima_data!$F$1:$F$768)</f>
        <v>0.000941978774141239</v>
      </c>
      <c r="G343" s="5">
        <f>(pima_data!G343-AVERAGE(pima_data!$G$1:$G$768))/_xlfn.STDEV.P(pima_data!$G$1:$G$768)</f>
        <v>-0.25029626783207</v>
      </c>
      <c r="H343" s="5">
        <f>(pima_data!H343-AVERAGE(pima_data!$H$1:$H$768))/_xlfn.STDEV.P(pima_data!$H$1:$H$768)</f>
        <v>-0.956461683348801</v>
      </c>
    </row>
    <row r="344" spans="1:8">
      <c r="A344" s="5">
        <f>(pima_data!A344-AVERAGE(pima_data!$A$1:$A$768))/_xlfn.STDEV.P(pima_data!$A$1:$A$768)</f>
        <v>0.342980797438884</v>
      </c>
      <c r="B344" s="5">
        <f>(pima_data!B344-AVERAGE(pima_data!$B$1:$B$768))/_xlfn.STDEV.P(pima_data!$B$1:$B$768)</f>
        <v>0.0345980161232878</v>
      </c>
      <c r="C344" s="5">
        <f>(pima_data!C344-AVERAGE(pima_data!$C$1:$C$768))/_xlfn.STDEV.P(pima_data!$C$1:$C$768)</f>
        <v>0.87340925117004</v>
      </c>
      <c r="D344" s="5">
        <f>(pima_data!D344-AVERAGE(pima_data!$D$1:$D$768))/_xlfn.STDEV.P(pima_data!$D$1:$D$768)</f>
        <v>-1.28821221294523</v>
      </c>
      <c r="E344" s="5">
        <f>(pima_data!E344-AVERAGE(pima_data!$E$1:$E$768))/_xlfn.STDEV.P(pima_data!$E$1:$E$768)</f>
        <v>-0.692890572295466</v>
      </c>
      <c r="F344" s="5">
        <f>(pima_data!F344-AVERAGE(pima_data!$F$1:$F$768))/_xlfn.STDEV.P(pima_data!$F$1:$F$768)</f>
        <v>0.343623941239598</v>
      </c>
      <c r="G344" s="5">
        <f>(pima_data!G344-AVERAGE(pima_data!$G$1:$G$768))/_xlfn.STDEV.P(pima_data!$G$1:$G$768)</f>
        <v>-0.549288016890313</v>
      </c>
      <c r="H344" s="5">
        <f>(pima_data!H344-AVERAGE(pima_data!$H$1:$H$768))/_xlfn.STDEV.P(pima_data!$H$1:$H$768)</f>
        <v>-0.0204963988670829</v>
      </c>
    </row>
    <row r="345" spans="1:8">
      <c r="A345" s="5">
        <f>(pima_data!A345-AVERAGE(pima_data!$A$1:$A$768))/_xlfn.STDEV.P(pima_data!$A$1:$A$768)</f>
        <v>1.23388018560032</v>
      </c>
      <c r="B345" s="5">
        <f>(pima_data!B345-AVERAGE(pima_data!$B$1:$B$768))/_xlfn.STDEV.P(pima_data!$B$1:$B$768)</f>
        <v>-0.810424907707686</v>
      </c>
      <c r="C345" s="5">
        <f>(pima_data!C345-AVERAGE(pima_data!$C$1:$C$768))/_xlfn.STDEV.P(pima_data!$C$1:$C$768)</f>
        <v>0.149640752628208</v>
      </c>
      <c r="D345" s="5">
        <f>(pima_data!D345-AVERAGE(pima_data!$D$1:$D$768))/_xlfn.STDEV.P(pima_data!$D$1:$D$768)</f>
        <v>-1.28821221294523</v>
      </c>
      <c r="E345" s="5">
        <f>(pima_data!E345-AVERAGE(pima_data!$E$1:$E$768))/_xlfn.STDEV.P(pima_data!$E$1:$E$768)</f>
        <v>-0.692890572295466</v>
      </c>
      <c r="F345" s="5">
        <f>(pima_data!F345-AVERAGE(pima_data!$F$1:$F$768))/_xlfn.STDEV.P(pima_data!$F$1:$F$768)</f>
        <v>0.610154356490508</v>
      </c>
      <c r="G345" s="5">
        <f>(pima_data!G345-AVERAGE(pima_data!$G$1:$G$768))/_xlfn.STDEV.P(pima_data!$G$1:$G$768)</f>
        <v>0.0396351251941048</v>
      </c>
      <c r="H345" s="5">
        <f>(pima_data!H345-AVERAGE(pima_data!$H$1:$H$768))/_xlfn.STDEV.P(pima_data!$H$1:$H$768)</f>
        <v>2.02160967636576</v>
      </c>
    </row>
    <row r="346" spans="1:8">
      <c r="A346" s="5">
        <f>(pima_data!A346-AVERAGE(pima_data!$A$1:$A$768))/_xlfn.STDEV.P(pima_data!$A$1:$A$768)</f>
        <v>1.23388018560032</v>
      </c>
      <c r="B346" s="5">
        <f>(pima_data!B346-AVERAGE(pima_data!$B$1:$B$768))/_xlfn.STDEV.P(pima_data!$B$1:$B$768)</f>
        <v>0.15978659743158</v>
      </c>
      <c r="C346" s="5">
        <f>(pima_data!C346-AVERAGE(pima_data!$C$1:$C$768))/_xlfn.STDEV.P(pima_data!$C$1:$C$768)</f>
        <v>0.97680475096173</v>
      </c>
      <c r="D346" s="5">
        <f>(pima_data!D346-AVERAGE(pima_data!$D$1:$D$768))/_xlfn.STDEV.P(pima_data!$D$1:$D$768)</f>
        <v>0.96999798636429</v>
      </c>
      <c r="E346" s="5">
        <f>(pima_data!E346-AVERAGE(pima_data!$E$1:$E$768))/_xlfn.STDEV.P(pima_data!$E$1:$E$768)</f>
        <v>0.244862187363757</v>
      </c>
      <c r="F346" s="5">
        <f>(pima_data!F346-AVERAGE(pima_data!$F$1:$F$768))/_xlfn.STDEV.P(pima_data!$F$1:$F$768)</f>
        <v>0.825917073598389</v>
      </c>
      <c r="G346" s="5">
        <f>(pima_data!G346-AVERAGE(pima_data!$G$1:$G$768))/_xlfn.STDEV.P(pima_data!$G$1:$G$768)</f>
        <v>-0.37110101492631</v>
      </c>
      <c r="H346" s="5">
        <f>(pima_data!H346-AVERAGE(pima_data!$H$1:$H$768))/_xlfn.STDEV.P(pima_data!$H$1:$H$768)</f>
        <v>1.34090765128814</v>
      </c>
    </row>
    <row r="347" spans="1:8">
      <c r="A347" s="5">
        <f>(pima_data!A347-AVERAGE(pima_data!$A$1:$A$768))/_xlfn.STDEV.P(pima_data!$A$1:$A$768)</f>
        <v>-0.844885053443025</v>
      </c>
      <c r="B347" s="5">
        <f>(pima_data!B347-AVERAGE(pima_data!$B$1:$B$768))/_xlfn.STDEV.P(pima_data!$B$1:$B$768)</f>
        <v>0.56664948668353</v>
      </c>
      <c r="C347" s="5">
        <f>(pima_data!C347-AVERAGE(pima_data!$C$1:$C$768))/_xlfn.STDEV.P(pima_data!$C$1:$C$768)</f>
        <v>-1.19450074466377</v>
      </c>
      <c r="D347" s="5">
        <f>(pima_data!D347-AVERAGE(pima_data!$D$1:$D$768))/_xlfn.STDEV.P(pima_data!$D$1:$D$768)</f>
        <v>-0.09637905219854</v>
      </c>
      <c r="E347" s="5">
        <f>(pima_data!E347-AVERAGE(pima_data!$E$1:$E$768))/_xlfn.STDEV.P(pima_data!$E$1:$E$768)</f>
        <v>0.0277897892944923</v>
      </c>
      <c r="F347" s="5">
        <f>(pima_data!F347-AVERAGE(pima_data!$F$1:$F$768))/_xlfn.STDEV.P(pima_data!$F$1:$F$768)</f>
        <v>-0.417891530905861</v>
      </c>
      <c r="G347" s="5">
        <f>(pima_data!G347-AVERAGE(pima_data!$G$1:$G$768))/_xlfn.STDEV.P(pima_data!$G$1:$G$768)</f>
        <v>0.550035181667267</v>
      </c>
      <c r="H347" s="5">
        <f>(pima_data!H347-AVERAGE(pima_data!$H$1:$H$768))/_xlfn.STDEV.P(pima_data!$H$1:$H$768)</f>
        <v>-0.956461683348801</v>
      </c>
    </row>
    <row r="348" spans="1:8">
      <c r="A348" s="5">
        <f>(pima_data!A348-AVERAGE(pima_data!$A$1:$A$768))/_xlfn.STDEV.P(pima_data!$A$1:$A$768)</f>
        <v>-0.25095212800207</v>
      </c>
      <c r="B348" s="5">
        <f>(pima_data!B348-AVERAGE(pima_data!$B$1:$B$768))/_xlfn.STDEV.P(pima_data!$B$1:$B$768)</f>
        <v>-0.153184855839151</v>
      </c>
      <c r="C348" s="5">
        <f>(pima_data!C348-AVERAGE(pima_data!$C$1:$C$768))/_xlfn.STDEV.P(pima_data!$C$1:$C$768)</f>
        <v>-3.57259723987264</v>
      </c>
      <c r="D348" s="5">
        <f>(pima_data!D348-AVERAGE(pima_data!$D$1:$D$768))/_xlfn.STDEV.P(pima_data!$D$1:$D$768)</f>
        <v>-1.28821221294523</v>
      </c>
      <c r="E348" s="5">
        <f>(pima_data!E348-AVERAGE(pima_data!$E$1:$E$768))/_xlfn.STDEV.P(pima_data!$E$1:$E$768)</f>
        <v>-0.692890572295466</v>
      </c>
      <c r="F348" s="5">
        <f>(pima_data!F348-AVERAGE(pima_data!$F$1:$F$768))/_xlfn.STDEV.P(pima_data!$F$1:$F$768)</f>
        <v>-1.07787160676526</v>
      </c>
      <c r="G348" s="5">
        <f>(pima_data!G348-AVERAGE(pima_data!$G$1:$G$768))/_xlfn.STDEV.P(pima_data!$G$1:$G$768)</f>
        <v>-0.86036024065798</v>
      </c>
      <c r="H348" s="5">
        <f>(pima_data!H348-AVERAGE(pima_data!$H$1:$H$768))/_xlfn.STDEV.P(pima_data!$H$1:$H$768)</f>
        <v>-0.871373930214099</v>
      </c>
    </row>
    <row r="349" spans="1:8">
      <c r="A349" s="5">
        <f>(pima_data!A349-AVERAGE(pima_data!$A$1:$A$768))/_xlfn.STDEV.P(pima_data!$A$1:$A$768)</f>
        <v>-0.25095212800207</v>
      </c>
      <c r="B349" s="5">
        <f>(pima_data!B349-AVERAGE(pima_data!$B$1:$B$768))/_xlfn.STDEV.P(pima_data!$B$1:$B$768)</f>
        <v>-0.685236326399393</v>
      </c>
      <c r="C349" s="5">
        <f>(pima_data!C349-AVERAGE(pima_data!$C$1:$C$768))/_xlfn.STDEV.P(pima_data!$C$1:$C$768)</f>
        <v>-0.367336746330243</v>
      </c>
      <c r="D349" s="5">
        <f>(pima_data!D349-AVERAGE(pima_data!$D$1:$D$768))/_xlfn.STDEV.P(pima_data!$D$1:$D$768)</f>
        <v>-0.09637905219854</v>
      </c>
      <c r="E349" s="5">
        <f>(pima_data!E349-AVERAGE(pima_data!$E$1:$E$768))/_xlfn.STDEV.P(pima_data!$E$1:$E$768)</f>
        <v>-0.050356274010443</v>
      </c>
      <c r="F349" s="5">
        <f>(pima_data!F349-AVERAGE(pima_data!$F$1:$F$768))/_xlfn.STDEV.P(pima_data!$F$1:$F$768)</f>
        <v>-1.29363432387314</v>
      </c>
      <c r="G349" s="5">
        <f>(pima_data!G349-AVERAGE(pima_data!$G$1:$G$768))/_xlfn.STDEV.P(pima_data!$G$1:$G$768)</f>
        <v>-0.582509322341229</v>
      </c>
      <c r="H349" s="5">
        <f>(pima_data!H349-AVERAGE(pima_data!$H$1:$H$768))/_xlfn.STDEV.P(pima_data!$H$1:$H$768)</f>
        <v>-0.616110670809994</v>
      </c>
    </row>
    <row r="350" spans="1:8">
      <c r="A350" s="5">
        <f>(pima_data!A350-AVERAGE(pima_data!$A$1:$A$768))/_xlfn.STDEV.P(pima_data!$A$1:$A$768)</f>
        <v>0.342980797438884</v>
      </c>
      <c r="B350" s="5">
        <f>(pima_data!B350-AVERAGE(pima_data!$B$1:$B$768))/_xlfn.STDEV.P(pima_data!$B$1:$B$768)</f>
        <v>-3.78365371377963</v>
      </c>
      <c r="C350" s="5">
        <f>(pima_data!C350-AVERAGE(pima_data!$C$1:$C$768))/_xlfn.STDEV.P(pima_data!$C$1:$C$768)</f>
        <v>0.563222751794969</v>
      </c>
      <c r="D350" s="5">
        <f>(pima_data!D350-AVERAGE(pima_data!$D$1:$D$768))/_xlfn.STDEV.P(pima_data!$D$1:$D$768)</f>
        <v>0.719085741996565</v>
      </c>
      <c r="E350" s="5">
        <f>(pima_data!E350-AVERAGE(pima_data!$E$1:$E$768))/_xlfn.STDEV.P(pima_data!$E$1:$E$768)</f>
        <v>-0.692890572295466</v>
      </c>
      <c r="F350" s="5">
        <f>(pima_data!F350-AVERAGE(pima_data!$F$1:$F$768))/_xlfn.STDEV.P(pima_data!$F$1:$F$768)</f>
        <v>1.14321518699233</v>
      </c>
      <c r="G350" s="5">
        <f>(pima_data!G350-AVERAGE(pima_data!$G$1:$G$768))/_xlfn.STDEV.P(pima_data!$G$1:$G$768)</f>
        <v>-0.380161370958378</v>
      </c>
      <c r="H350" s="5">
        <f>(pima_data!H350-AVERAGE(pima_data!$H$1:$H$768))/_xlfn.STDEV.P(pima_data!$H$1:$H$768)</f>
        <v>0.319854613671724</v>
      </c>
    </row>
    <row r="351" spans="1:8">
      <c r="A351" s="5">
        <f>(pima_data!A351-AVERAGE(pima_data!$A$1:$A$768))/_xlfn.STDEV.P(pima_data!$A$1:$A$768)</f>
        <v>0.0460143347184072</v>
      </c>
      <c r="B351" s="5">
        <f>(pima_data!B351-AVERAGE(pima_data!$B$1:$B$768))/_xlfn.STDEV.P(pima_data!$B$1:$B$768)</f>
        <v>-0.904316343688905</v>
      </c>
      <c r="C351" s="5">
        <f>(pima_data!C351-AVERAGE(pima_data!$C$1:$C$768))/_xlfn.STDEV.P(pima_data!$C$1:$C$768)</f>
        <v>0.563222751794969</v>
      </c>
      <c r="D351" s="5">
        <f>(pima_data!D351-AVERAGE(pima_data!$D$1:$D$768))/_xlfn.STDEV.P(pima_data!$D$1:$D$768)</f>
        <v>-1.28821221294523</v>
      </c>
      <c r="E351" s="5">
        <f>(pima_data!E351-AVERAGE(pima_data!$E$1:$E$768))/_xlfn.STDEV.P(pima_data!$E$1:$E$768)</f>
        <v>-0.692890572295466</v>
      </c>
      <c r="F351" s="5">
        <f>(pima_data!F351-AVERAGE(pima_data!$F$1:$F$768))/_xlfn.STDEV.P(pima_data!$F$1:$F$768)</f>
        <v>1.29551828142142</v>
      </c>
      <c r="G351" s="5">
        <f>(pima_data!G351-AVERAGE(pima_data!$G$1:$G$768))/_xlfn.STDEV.P(pima_data!$G$1:$G$768)</f>
        <v>-0.709354306790181</v>
      </c>
      <c r="H351" s="5">
        <f>(pima_data!H351-AVERAGE(pima_data!$H$1:$H$768))/_xlfn.STDEV.P(pima_data!$H$1:$H$768)</f>
        <v>-0.360847411405889</v>
      </c>
    </row>
    <row r="352" spans="1:8">
      <c r="A352" s="5">
        <f>(pima_data!A352-AVERAGE(pima_data!$A$1:$A$768))/_xlfn.STDEV.P(pima_data!$A$1:$A$768)</f>
        <v>0.0460143347184072</v>
      </c>
      <c r="B352" s="5">
        <f>(pima_data!B352-AVERAGE(pima_data!$B$1:$B$768))/_xlfn.STDEV.P(pima_data!$B$1:$B$768)</f>
        <v>0.504055196029384</v>
      </c>
      <c r="C352" s="5">
        <f>(pima_data!C352-AVERAGE(pima_data!$C$1:$C$768))/_xlfn.STDEV.P(pima_data!$C$1:$C$768)</f>
        <v>0.77001375137835</v>
      </c>
      <c r="D352" s="5">
        <f>(pima_data!D352-AVERAGE(pima_data!$D$1:$D$768))/_xlfn.STDEV.P(pima_data!$D$1:$D$768)</f>
        <v>-1.28821221294523</v>
      </c>
      <c r="E352" s="5">
        <f>(pima_data!E352-AVERAGE(pima_data!$E$1:$E$768))/_xlfn.STDEV.P(pima_data!$E$1:$E$768)</f>
        <v>-0.692890572295466</v>
      </c>
      <c r="F352" s="5">
        <f>(pima_data!F352-AVERAGE(pima_data!$F$1:$F$768))/_xlfn.STDEV.P(pima_data!$F$1:$F$768)</f>
        <v>-0.10059341751192</v>
      </c>
      <c r="G352" s="5">
        <f>(pima_data!G352-AVERAGE(pima_data!$G$1:$G$768))/_xlfn.STDEV.P(pima_data!$G$1:$G$768)</f>
        <v>-0.664052526629841</v>
      </c>
      <c r="H352" s="5">
        <f>(pima_data!H352-AVERAGE(pima_data!$H$1:$H$768))/_xlfn.STDEV.P(pima_data!$H$1:$H$768)</f>
        <v>-0.275759658271188</v>
      </c>
    </row>
    <row r="353" spans="1:8">
      <c r="A353" s="5">
        <f>(pima_data!A353-AVERAGE(pima_data!$A$1:$A$768))/_xlfn.STDEV.P(pima_data!$A$1:$A$768)</f>
        <v>-0.25095212800207</v>
      </c>
      <c r="B353" s="5">
        <f>(pima_data!B353-AVERAGE(pima_data!$B$1:$B$768))/_xlfn.STDEV.P(pima_data!$B$1:$B$768)</f>
        <v>-1.87452784882817</v>
      </c>
      <c r="C353" s="5">
        <f>(pima_data!C353-AVERAGE(pima_data!$C$1:$C$768))/_xlfn.STDEV.P(pima_data!$C$1:$C$768)</f>
        <v>0.666618251586659</v>
      </c>
      <c r="D353" s="5">
        <f>(pima_data!D353-AVERAGE(pima_data!$D$1:$D$768))/_xlfn.STDEV.P(pima_data!$D$1:$D$768)</f>
        <v>0.468173497628841</v>
      </c>
      <c r="E353" s="5">
        <f>(pima_data!E353-AVERAGE(pima_data!$E$1:$E$768))/_xlfn.STDEV.P(pima_data!$E$1:$E$768)</f>
        <v>-0.692890572295466</v>
      </c>
      <c r="F353" s="5">
        <f>(pima_data!F353-AVERAGE(pima_data!$F$1:$F$768))/_xlfn.STDEV.P(pima_data!$F$1:$F$768)</f>
        <v>0.305548167632325</v>
      </c>
      <c r="G353" s="5">
        <f>(pima_data!G353-AVERAGE(pima_data!$G$1:$G$768))/_xlfn.STDEV.P(pima_data!$G$1:$G$768)</f>
        <v>-0.691233594726045</v>
      </c>
      <c r="H353" s="5">
        <f>(pima_data!H353-AVERAGE(pima_data!$H$1:$H$768))/_xlfn.STDEV.P(pima_data!$H$1:$H$768)</f>
        <v>1.08564439188404</v>
      </c>
    </row>
    <row r="354" spans="1:8">
      <c r="A354" s="5">
        <f>(pima_data!A354-AVERAGE(pima_data!$A$1:$A$768))/_xlfn.STDEV.P(pima_data!$A$1:$A$768)</f>
        <v>-0.844885053443025</v>
      </c>
      <c r="B354" s="5">
        <f>(pima_data!B354-AVERAGE(pima_data!$B$1:$B$768))/_xlfn.STDEV.P(pima_data!$B$1:$B$768)</f>
        <v>-0.966910634343051</v>
      </c>
      <c r="C354" s="5">
        <f>(pima_data!C354-AVERAGE(pima_data!$C$1:$C$768))/_xlfn.STDEV.P(pima_data!$C$1:$C$768)</f>
        <v>-0.367336746330243</v>
      </c>
      <c r="D354" s="5">
        <f>(pima_data!D354-AVERAGE(pima_data!$D$1:$D$768))/_xlfn.STDEV.P(pima_data!$D$1:$D$768)</f>
        <v>-0.535475479842058</v>
      </c>
      <c r="E354" s="5">
        <f>(pima_data!E354-AVERAGE(pima_data!$E$1:$E$768))/_xlfn.STDEV.P(pima_data!$E$1:$E$768)</f>
        <v>-0.319526047616331</v>
      </c>
      <c r="F354" s="5">
        <f>(pima_data!F354-AVERAGE(pima_data!$F$1:$F$768))/_xlfn.STDEV.P(pima_data!$F$1:$F$768)</f>
        <v>-0.608270398942226</v>
      </c>
      <c r="G354" s="5">
        <f>(pima_data!G354-AVERAGE(pima_data!$G$1:$G$768))/_xlfn.STDEV.P(pima_data!$G$1:$G$768)</f>
        <v>0.326546399542924</v>
      </c>
      <c r="H354" s="5">
        <f>(pima_data!H354-AVERAGE(pima_data!$H$1:$H$768))/_xlfn.STDEV.P(pima_data!$H$1:$H$768)</f>
        <v>-0.786286177079398</v>
      </c>
    </row>
    <row r="355" spans="1:8">
      <c r="A355" s="5">
        <f>(pima_data!A355-AVERAGE(pima_data!$A$1:$A$768))/_xlfn.STDEV.P(pima_data!$A$1:$A$768)</f>
        <v>-0.25095212800207</v>
      </c>
      <c r="B355" s="5">
        <f>(pima_data!B355-AVERAGE(pima_data!$B$1:$B$768))/_xlfn.STDEV.P(pima_data!$B$1:$B$768)</f>
        <v>-0.966910634343051</v>
      </c>
      <c r="C355" s="5">
        <f>(pima_data!C355-AVERAGE(pima_data!$C$1:$C$768))/_xlfn.STDEV.P(pima_data!$C$1:$C$768)</f>
        <v>0.459827252003279</v>
      </c>
      <c r="D355" s="5">
        <f>(pima_data!D355-AVERAGE(pima_data!$D$1:$D$768))/_xlfn.STDEV.P(pima_data!$D$1:$D$768)</f>
        <v>-1.28821221294523</v>
      </c>
      <c r="E355" s="5">
        <f>(pima_data!E355-AVERAGE(pima_data!$E$1:$E$768))/_xlfn.STDEV.P(pima_data!$E$1:$E$768)</f>
        <v>-0.692890572295466</v>
      </c>
      <c r="F355" s="5">
        <f>(pima_data!F355-AVERAGE(pima_data!$F$1:$F$768))/_xlfn.STDEV.P(pima_data!$F$1:$F$768)</f>
        <v>1.35897790410021</v>
      </c>
      <c r="G355" s="5">
        <f>(pima_data!G355-AVERAGE(pima_data!$G$1:$G$768))/_xlfn.STDEV.P(pima_data!$G$1:$G$768)</f>
        <v>0.263123907318448</v>
      </c>
      <c r="H355" s="5">
        <f>(pima_data!H355-AVERAGE(pima_data!$H$1:$H$768))/_xlfn.STDEV.P(pima_data!$H$1:$H$768)</f>
        <v>-1.0415494364835</v>
      </c>
    </row>
    <row r="356" spans="1:8">
      <c r="A356" s="5">
        <f>(pima_data!A356-AVERAGE(pima_data!$A$1:$A$768))/_xlfn.STDEV.P(pima_data!$A$1:$A$768)</f>
        <v>1.53084664832079</v>
      </c>
      <c r="B356" s="5">
        <f>(pima_data!B356-AVERAGE(pima_data!$B$1:$B$768))/_xlfn.STDEV.P(pima_data!$B$1:$B$768)</f>
        <v>1.38037526518743</v>
      </c>
      <c r="C356" s="5">
        <f>(pima_data!C356-AVERAGE(pima_data!$C$1:$C$768))/_xlfn.STDEV.P(pima_data!$C$1:$C$768)</f>
        <v>0.97680475096173</v>
      </c>
      <c r="D356" s="5">
        <f>(pima_data!D356-AVERAGE(pima_data!$D$1:$D$768))/_xlfn.STDEV.P(pima_data!$D$1:$D$768)</f>
        <v>-1.28821221294523</v>
      </c>
      <c r="E356" s="5">
        <f>(pima_data!E356-AVERAGE(pima_data!$E$1:$E$768))/_xlfn.STDEV.P(pima_data!$E$1:$E$768)</f>
        <v>-0.692890572295466</v>
      </c>
      <c r="F356" s="5">
        <f>(pima_data!F356-AVERAGE(pima_data!$F$1:$F$768))/_xlfn.STDEV.P(pima_data!$F$1:$F$768)</f>
        <v>-0.202128813797981</v>
      </c>
      <c r="G356" s="5">
        <f>(pima_data!G356-AVERAGE(pima_data!$G$1:$G$768))/_xlfn.STDEV.P(pima_data!$G$1:$G$768)</f>
        <v>-0.513046592762041</v>
      </c>
      <c r="H356" s="5">
        <f>(pima_data!H356-AVERAGE(pima_data!$H$1:$H$768))/_xlfn.STDEV.P(pima_data!$H$1:$H$768)</f>
        <v>1.34090765128814</v>
      </c>
    </row>
    <row r="357" spans="1:8">
      <c r="A357" s="5">
        <f>(pima_data!A357-AVERAGE(pima_data!$A$1:$A$768))/_xlfn.STDEV.P(pima_data!$A$1:$A$768)</f>
        <v>-0.844885053443025</v>
      </c>
      <c r="B357" s="5">
        <f>(pima_data!B357-AVERAGE(pima_data!$B$1:$B$768))/_xlfn.STDEV.P(pima_data!$B$1:$B$768)</f>
        <v>0.128489452104507</v>
      </c>
      <c r="C357" s="5">
        <f>(pima_data!C357-AVERAGE(pima_data!$C$1:$C$768))/_xlfn.STDEV.P(pima_data!$C$1:$C$768)</f>
        <v>-0.987709745080385</v>
      </c>
      <c r="D357" s="5">
        <f>(pima_data!D357-AVERAGE(pima_data!$D$1:$D$768))/_xlfn.STDEV.P(pima_data!$D$1:$D$768)</f>
        <v>1.22091023073201</v>
      </c>
      <c r="E357" s="5">
        <f>(pima_data!E357-AVERAGE(pima_data!$E$1:$E$768))/_xlfn.STDEV.P(pima_data!$E$1:$E$768)</f>
        <v>0.757153046807222</v>
      </c>
      <c r="F357" s="5">
        <f>(pima_data!F357-AVERAGE(pima_data!$F$1:$F$768))/_xlfn.STDEV.P(pima_data!$F$1:$F$768)</f>
        <v>0.16593699773899</v>
      </c>
      <c r="G357" s="5">
        <f>(pima_data!G357-AVERAGE(pima_data!$G$1:$G$768))/_xlfn.STDEV.P(pima_data!$G$1:$G$768)</f>
        <v>1.48023173429291</v>
      </c>
      <c r="H357" s="5">
        <f>(pima_data!H357-AVERAGE(pima_data!$H$1:$H$768))/_xlfn.STDEV.P(pima_data!$H$1:$H$768)</f>
        <v>-0.445935164540591</v>
      </c>
    </row>
    <row r="358" spans="1:8">
      <c r="A358" s="5">
        <f>(pima_data!A358-AVERAGE(pima_data!$A$1:$A$768))/_xlfn.STDEV.P(pima_data!$A$1:$A$768)</f>
        <v>2.7187124992027</v>
      </c>
      <c r="B358" s="5">
        <f>(pima_data!B358-AVERAGE(pima_data!$B$1:$B$768))/_xlfn.STDEV.P(pima_data!$B$1:$B$768)</f>
        <v>0.253678033412799</v>
      </c>
      <c r="C358" s="5">
        <f>(pima_data!C358-AVERAGE(pima_data!$C$1:$C$768))/_xlfn.STDEV.P(pima_data!$C$1:$C$768)</f>
        <v>-3.57259723987264</v>
      </c>
      <c r="D358" s="5">
        <f>(pima_data!D358-AVERAGE(pima_data!$D$1:$D$768))/_xlfn.STDEV.P(pima_data!$D$1:$D$768)</f>
        <v>0.593629619812703</v>
      </c>
      <c r="E358" s="5">
        <f>(pima_data!E358-AVERAGE(pima_data!$E$1:$E$768))/_xlfn.STDEV.P(pima_data!$E$1:$E$768)</f>
        <v>-0.692890572295466</v>
      </c>
      <c r="F358" s="5">
        <f>(pima_data!F358-AVERAGE(pima_data!$F$1:$F$768))/_xlfn.STDEV.P(pima_data!$F$1:$F$768)</f>
        <v>1.003604017099</v>
      </c>
      <c r="G358" s="5">
        <f>(pima_data!G358-AVERAGE(pima_data!$G$1:$G$768))/_xlfn.STDEV.P(pima_data!$G$1:$G$768)</f>
        <v>0.293325094092008</v>
      </c>
      <c r="H358" s="5">
        <f>(pima_data!H358-AVERAGE(pima_data!$H$1:$H$768))/_xlfn.STDEV.P(pima_data!$H$1:$H$768)</f>
        <v>0.915468885614635</v>
      </c>
    </row>
    <row r="359" spans="1:8">
      <c r="A359" s="5">
        <f>(pima_data!A359-AVERAGE(pima_data!$A$1:$A$768))/_xlfn.STDEV.P(pima_data!$A$1:$A$768)</f>
        <v>2.42174603648223</v>
      </c>
      <c r="B359" s="5">
        <f>(pima_data!B359-AVERAGE(pima_data!$B$1:$B$768))/_xlfn.STDEV.P(pima_data!$B$1:$B$768)</f>
        <v>-1.0295049249972</v>
      </c>
      <c r="C359" s="5">
        <f>(pima_data!C359-AVERAGE(pima_data!$C$1:$C$768))/_xlfn.STDEV.P(pima_data!$C$1:$C$768)</f>
        <v>0.253036252419898</v>
      </c>
      <c r="D359" s="5">
        <f>(pima_data!D359-AVERAGE(pima_data!$D$1:$D$768))/_xlfn.STDEV.P(pima_data!$D$1:$D$768)</f>
        <v>1.22091023073201</v>
      </c>
      <c r="E359" s="5">
        <f>(pima_data!E359-AVERAGE(pima_data!$E$1:$E$768))/_xlfn.STDEV.P(pima_data!$E$1:$E$768)</f>
        <v>-0.224014192465855</v>
      </c>
      <c r="F359" s="5">
        <f>(pima_data!F359-AVERAGE(pima_data!$F$1:$F$768))/_xlfn.STDEV.P(pima_data!$F$1:$F$768)</f>
        <v>0.419775488454143</v>
      </c>
      <c r="G359" s="5">
        <f>(pima_data!G359-AVERAGE(pima_data!$G$1:$G$768))/_xlfn.STDEV.P(pima_data!$G$1:$G$768)</f>
        <v>-0.283517573282986</v>
      </c>
      <c r="H359" s="5">
        <f>(pima_data!H359-AVERAGE(pima_data!$H$1:$H$768))/_xlfn.STDEV.P(pima_data!$H$1:$H$768)</f>
        <v>1.25581989815344</v>
      </c>
    </row>
    <row r="360" spans="1:8">
      <c r="A360" s="5">
        <f>(pima_data!A360-AVERAGE(pima_data!$A$1:$A$768))/_xlfn.STDEV.P(pima_data!$A$1:$A$768)</f>
        <v>-0.844885053443025</v>
      </c>
      <c r="B360" s="5">
        <f>(pima_data!B360-AVERAGE(pima_data!$B$1:$B$768))/_xlfn.STDEV.P(pima_data!$B$1:$B$768)</f>
        <v>2.3505867703267</v>
      </c>
      <c r="C360" s="5">
        <f>(pima_data!C360-AVERAGE(pima_data!$C$1:$C$768))/_xlfn.STDEV.P(pima_data!$C$1:$C$768)</f>
        <v>0.356431752211589</v>
      </c>
      <c r="D360" s="5">
        <f>(pima_data!D360-AVERAGE(pima_data!$D$1:$D$768))/_xlfn.STDEV.P(pima_data!$D$1:$D$768)</f>
        <v>0.96999798636429</v>
      </c>
      <c r="E360" s="5">
        <f>(pima_data!E360-AVERAGE(pima_data!$E$1:$E$768))/_xlfn.STDEV.P(pima_data!$E$1:$E$768)</f>
        <v>1.46915051247441</v>
      </c>
      <c r="F360" s="5">
        <f>(pima_data!F360-AVERAGE(pima_data!$F$1:$F$768))/_xlfn.STDEV.P(pima_data!$F$1:$F$768)</f>
        <v>0.572078582883236</v>
      </c>
      <c r="G360" s="5">
        <f>(pima_data!G360-AVERAGE(pima_data!$G$1:$G$768))/_xlfn.STDEV.P(pima_data!$G$1:$G$768)</f>
        <v>1.21748140936294</v>
      </c>
      <c r="H360" s="5">
        <f>(pima_data!H360-AVERAGE(pima_data!$H$1:$H$768))/_xlfn.STDEV.P(pima_data!$H$1:$H$768)</f>
        <v>-0.360847411405889</v>
      </c>
    </row>
    <row r="361" spans="1:8">
      <c r="A361" s="5">
        <f>(pima_data!A361-AVERAGE(pima_data!$A$1:$A$768))/_xlfn.STDEV.P(pima_data!$A$1:$A$768)</f>
        <v>0.342980797438884</v>
      </c>
      <c r="B361" s="5">
        <f>(pima_data!B361-AVERAGE(pima_data!$B$1:$B$768))/_xlfn.STDEV.P(pima_data!$B$1:$B$768)</f>
        <v>2.13150675303719</v>
      </c>
      <c r="C361" s="5">
        <f>(pima_data!C361-AVERAGE(pima_data!$C$1:$C$768))/_xlfn.STDEV.P(pima_data!$C$1:$C$768)</f>
        <v>-0.263941246538553</v>
      </c>
      <c r="D361" s="5">
        <f>(pima_data!D361-AVERAGE(pima_data!$D$1:$D$768))/_xlfn.STDEV.P(pima_data!$D$1:$D$768)</f>
        <v>0.781813803088497</v>
      </c>
      <c r="E361" s="5">
        <f>(pima_data!E361-AVERAGE(pima_data!$E$1:$E$768))/_xlfn.STDEV.P(pima_data!$E$1:$E$768)</f>
        <v>2.12905060260497</v>
      </c>
      <c r="F361" s="5">
        <f>(pima_data!F361-AVERAGE(pima_data!$F$1:$F$768))/_xlfn.STDEV.P(pima_data!$F$1:$F$768)</f>
        <v>-0.10059341751192</v>
      </c>
      <c r="G361" s="5">
        <f>(pima_data!G361-AVERAGE(pima_data!$G$1:$G$768))/_xlfn.STDEV.P(pima_data!$G$1:$G$768)</f>
        <v>0.335606755574992</v>
      </c>
      <c r="H361" s="5">
        <f>(pima_data!H361-AVERAGE(pima_data!$H$1:$H$768))/_xlfn.STDEV.P(pima_data!$H$1:$H$768)</f>
        <v>-0.360847411405889</v>
      </c>
    </row>
    <row r="362" spans="1:8">
      <c r="A362" s="5">
        <f>(pima_data!A362-AVERAGE(pima_data!$A$1:$A$768))/_xlfn.STDEV.P(pima_data!$A$1:$A$768)</f>
        <v>0.342980797438884</v>
      </c>
      <c r="B362" s="5">
        <f>(pima_data!B362-AVERAGE(pima_data!$B$1:$B$768))/_xlfn.STDEV.P(pima_data!$B$1:$B$768)</f>
        <v>1.16129524789792</v>
      </c>
      <c r="C362" s="5">
        <f>(pima_data!C362-AVERAGE(pima_data!$C$1:$C$768))/_xlfn.STDEV.P(pima_data!$C$1:$C$768)</f>
        <v>0.0462452528365177</v>
      </c>
      <c r="D362" s="5">
        <f>(pima_data!D362-AVERAGE(pima_data!$D$1:$D$768))/_xlfn.STDEV.P(pima_data!$D$1:$D$768)</f>
        <v>-1.28821221294523</v>
      </c>
      <c r="E362" s="5">
        <f>(pima_data!E362-AVERAGE(pima_data!$E$1:$E$768))/_xlfn.STDEV.P(pima_data!$E$1:$E$768)</f>
        <v>-0.692890572295466</v>
      </c>
      <c r="F362" s="5">
        <f>(pima_data!F362-AVERAGE(pima_data!$F$1:$F$768))/_xlfn.STDEV.P(pima_data!$F$1:$F$768)</f>
        <v>-0.278280361012527</v>
      </c>
      <c r="G362" s="5">
        <f>(pima_data!G362-AVERAGE(pima_data!$G$1:$G$768))/_xlfn.STDEV.P(pima_data!$G$1:$G$768)</f>
        <v>-0.79995786711086</v>
      </c>
      <c r="H362" s="5">
        <f>(pima_data!H362-AVERAGE(pima_data!$H$1:$H$768))/_xlfn.STDEV.P(pima_data!$H$1:$H$768)</f>
        <v>2.53213619517397</v>
      </c>
    </row>
    <row r="363" spans="1:8">
      <c r="A363" s="5">
        <f>(pima_data!A363-AVERAGE(pima_data!$A$1:$A$768))/_xlfn.STDEV.P(pima_data!$A$1:$A$768)</f>
        <v>0.342980797438884</v>
      </c>
      <c r="B363" s="5">
        <f>(pima_data!B363-AVERAGE(pima_data!$B$1:$B$768))/_xlfn.STDEV.P(pima_data!$B$1:$B$768)</f>
        <v>-0.560047745091101</v>
      </c>
      <c r="C363" s="5">
        <f>(pima_data!C363-AVERAGE(pima_data!$C$1:$C$768))/_xlfn.STDEV.P(pima_data!$C$1:$C$768)</f>
        <v>2.01075974887863</v>
      </c>
      <c r="D363" s="5">
        <f>(pima_data!D363-AVERAGE(pima_data!$D$1:$D$768))/_xlfn.STDEV.P(pima_data!$D$1:$D$768)</f>
        <v>1.03272604745622</v>
      </c>
      <c r="E363" s="5">
        <f>(pima_data!E363-AVERAGE(pima_data!$E$1:$E$768))/_xlfn.STDEV.P(pima_data!$E$1:$E$768)</f>
        <v>-0.692890572295466</v>
      </c>
      <c r="F363" s="5">
        <f>(pima_data!F363-AVERAGE(pima_data!$F$1:$F$768))/_xlfn.STDEV.P(pima_data!$F$1:$F$768)</f>
        <v>0.914760545348693</v>
      </c>
      <c r="G363" s="5">
        <f>(pima_data!G363-AVERAGE(pima_data!$G$1:$G$768))/_xlfn.STDEV.P(pima_data!$G$1:$G$768)</f>
        <v>-0.503986236729973</v>
      </c>
      <c r="H363" s="5">
        <f>(pima_data!H363-AVERAGE(pima_data!$H$1:$H$768))/_xlfn.STDEV.P(pima_data!$H$1:$H$768)</f>
        <v>2.70231170144337</v>
      </c>
    </row>
    <row r="364" spans="1:8">
      <c r="A364" s="5">
        <f>(pima_data!A364-AVERAGE(pima_data!$A$1:$A$768))/_xlfn.STDEV.P(pima_data!$A$1:$A$768)</f>
        <v>0.0460143347184072</v>
      </c>
      <c r="B364" s="5">
        <f>(pima_data!B364-AVERAGE(pima_data!$B$1:$B$768))/_xlfn.STDEV.P(pima_data!$B$1:$B$768)</f>
        <v>0.785729503973042</v>
      </c>
      <c r="C364" s="5">
        <f>(pima_data!C364-AVERAGE(pima_data!$C$1:$C$768))/_xlfn.STDEV.P(pima_data!$C$1:$C$768)</f>
        <v>0.459827252003279</v>
      </c>
      <c r="D364" s="5">
        <f>(pima_data!D364-AVERAGE(pima_data!$D$1:$D$768))/_xlfn.STDEV.P(pima_data!$D$1:$D$768)</f>
        <v>-1.28821221294523</v>
      </c>
      <c r="E364" s="5">
        <f>(pima_data!E364-AVERAGE(pima_data!$E$1:$E$768))/_xlfn.STDEV.P(pima_data!$E$1:$E$768)</f>
        <v>-0.692890572295466</v>
      </c>
      <c r="F364" s="5">
        <f>(pima_data!F364-AVERAGE(pima_data!$F$1:$F$768))/_xlfn.STDEV.P(pima_data!$F$1:$F$768)</f>
        <v>0.825917073598389</v>
      </c>
      <c r="G364" s="5">
        <f>(pima_data!G364-AVERAGE(pima_data!$G$1:$G$768))/_xlfn.STDEV.P(pima_data!$G$1:$G$768)</f>
        <v>0.145339278901564</v>
      </c>
      <c r="H364" s="5">
        <f>(pima_data!H364-AVERAGE(pima_data!$H$1:$H$768))/_xlfn.STDEV.P(pima_data!$H$1:$H$768)</f>
        <v>2.87248720771277</v>
      </c>
    </row>
    <row r="365" spans="1:8">
      <c r="A365" s="5">
        <f>(pima_data!A365-AVERAGE(pima_data!$A$1:$A$768))/_xlfn.STDEV.P(pima_data!$A$1:$A$768)</f>
        <v>0.0460143347184072</v>
      </c>
      <c r="B365" s="5">
        <f>(pima_data!B365-AVERAGE(pima_data!$B$1:$B$768))/_xlfn.STDEV.P(pima_data!$B$1:$B$768)</f>
        <v>0.817026649300115</v>
      </c>
      <c r="C365" s="5">
        <f>(pima_data!C365-AVERAGE(pima_data!$C$1:$C$768))/_xlfn.STDEV.P(pima_data!$C$1:$C$768)</f>
        <v>0.253036252419898</v>
      </c>
      <c r="D365" s="5">
        <f>(pima_data!D365-AVERAGE(pima_data!$D$1:$D$768))/_xlfn.STDEV.P(pima_data!$D$1:$D$768)</f>
        <v>0.279989314353047</v>
      </c>
      <c r="E365" s="5">
        <f>(pima_data!E365-AVERAGE(pima_data!$E$1:$E$768))/_xlfn.STDEV.P(pima_data!$E$1:$E$768)</f>
        <v>1.85119793307632</v>
      </c>
      <c r="F365" s="5">
        <f>(pima_data!F365-AVERAGE(pima_data!$F$1:$F$768))/_xlfn.STDEV.P(pima_data!$F$1:$F$768)</f>
        <v>0.369007790311113</v>
      </c>
      <c r="G365" s="5">
        <f>(pima_data!G365-AVERAGE(pima_data!$G$1:$G$768))/_xlfn.STDEV.P(pima_data!$G$1:$G$768)</f>
        <v>-0.262376742541494</v>
      </c>
      <c r="H365" s="5">
        <f>(pima_data!H365-AVERAGE(pima_data!$H$1:$H$768))/_xlfn.STDEV.P(pima_data!$H$1:$H$768)</f>
        <v>-0.275759658271188</v>
      </c>
    </row>
    <row r="366" spans="1:8">
      <c r="A366" s="5">
        <f>(pima_data!A366-AVERAGE(pima_data!$A$1:$A$768))/_xlfn.STDEV.P(pima_data!$A$1:$A$768)</f>
        <v>0.342980797438884</v>
      </c>
      <c r="B366" s="5">
        <f>(pima_data!B366-AVERAGE(pima_data!$B$1:$B$768))/_xlfn.STDEV.P(pima_data!$B$1:$B$768)</f>
        <v>-0.685236326399393</v>
      </c>
      <c r="C366" s="5">
        <f>(pima_data!C366-AVERAGE(pima_data!$C$1:$C$768))/_xlfn.STDEV.P(pima_data!$C$1:$C$768)</f>
        <v>-0.780918745497004</v>
      </c>
      <c r="D366" s="5">
        <f>(pima_data!D366-AVERAGE(pima_data!$D$1:$D$768))/_xlfn.STDEV.P(pima_data!$D$1:$D$768)</f>
        <v>0.468173497628841</v>
      </c>
      <c r="E366" s="5">
        <f>(pima_data!E366-AVERAGE(pima_data!$E$1:$E$768))/_xlfn.STDEV.P(pima_data!$E$1:$E$768)</f>
        <v>0.0277897892944923</v>
      </c>
      <c r="F366" s="5">
        <f>(pima_data!F366-AVERAGE(pima_data!$F$1:$F$768))/_xlfn.STDEV.P(pima_data!$F$1:$F$768)</f>
        <v>0.254780469489294</v>
      </c>
      <c r="G366" s="5">
        <f>(pima_data!G366-AVERAGE(pima_data!$G$1:$G$768))/_xlfn.STDEV.P(pima_data!$G$1:$G$768)</f>
        <v>0.0819167866770886</v>
      </c>
      <c r="H366" s="5">
        <f>(pima_data!H366-AVERAGE(pima_data!$H$1:$H$768))/_xlfn.STDEV.P(pima_data!$H$1:$H$768)</f>
        <v>-0.275759658271188</v>
      </c>
    </row>
    <row r="367" spans="1:8">
      <c r="A367" s="5">
        <f>(pima_data!A367-AVERAGE(pima_data!$A$1:$A$768))/_xlfn.STDEV.P(pima_data!$A$1:$A$768)</f>
        <v>0.639947260159362</v>
      </c>
      <c r="B367" s="5">
        <f>(pima_data!B367-AVERAGE(pima_data!$B$1:$B$768))/_xlfn.STDEV.P(pima_data!$B$1:$B$768)</f>
        <v>0.097192306777434</v>
      </c>
      <c r="C367" s="5">
        <f>(pima_data!C367-AVERAGE(pima_data!$C$1:$C$768))/_xlfn.STDEV.P(pima_data!$C$1:$C$768)</f>
        <v>0.149640752628208</v>
      </c>
      <c r="D367" s="5">
        <f>(pima_data!D367-AVERAGE(pima_data!$D$1:$D$768))/_xlfn.STDEV.P(pima_data!$D$1:$D$768)</f>
        <v>-1.28821221294523</v>
      </c>
      <c r="E367" s="5">
        <f>(pima_data!E367-AVERAGE(pima_data!$E$1:$E$768))/_xlfn.STDEV.P(pima_data!$E$1:$E$768)</f>
        <v>-0.692890572295466</v>
      </c>
      <c r="F367" s="5">
        <f>(pima_data!F367-AVERAGE(pima_data!$F$1:$F$768))/_xlfn.STDEV.P(pima_data!$F$1:$F$768)</f>
        <v>-0.557502700799195</v>
      </c>
      <c r="G367" s="5">
        <f>(pima_data!G367-AVERAGE(pima_data!$G$1:$G$768))/_xlfn.STDEV.P(pima_data!$G$1:$G$768)</f>
        <v>-0.313718760056546</v>
      </c>
      <c r="H367" s="5">
        <f>(pima_data!H367-AVERAGE(pima_data!$H$1:$H$768))/_xlfn.STDEV.P(pima_data!$H$1:$H$768)</f>
        <v>-0.360847411405889</v>
      </c>
    </row>
    <row r="368" spans="1:8">
      <c r="A368" s="5">
        <f>(pima_data!A368-AVERAGE(pima_data!$A$1:$A$768))/_xlfn.STDEV.P(pima_data!$A$1:$A$768)</f>
        <v>-1.1418515161635</v>
      </c>
      <c r="B368" s="5">
        <f>(pima_data!B368-AVERAGE(pima_data!$B$1:$B$768))/_xlfn.STDEV.P(pima_data!$B$1:$B$768)</f>
        <v>-0.622642035745247</v>
      </c>
      <c r="C368" s="5">
        <f>(pima_data!C368-AVERAGE(pima_data!$C$1:$C$768))/_xlfn.STDEV.P(pima_data!$C$1:$C$768)</f>
        <v>-0.263941246538553</v>
      </c>
      <c r="D368" s="5">
        <f>(pima_data!D368-AVERAGE(pima_data!$D$1:$D$768))/_xlfn.STDEV.P(pima_data!$D$1:$D$768)</f>
        <v>-0.221835174382402</v>
      </c>
      <c r="E368" s="5">
        <f>(pima_data!E368-AVERAGE(pima_data!$E$1:$E$768))/_xlfn.STDEV.P(pima_data!$E$1:$E$768)</f>
        <v>-0.692890572295466</v>
      </c>
      <c r="F368" s="5">
        <f>(pima_data!F368-AVERAGE(pima_data!$F$1:$F$768))/_xlfn.STDEV.P(pima_data!$F$1:$F$768)</f>
        <v>-1.3951697201592</v>
      </c>
      <c r="G368" s="5">
        <f>(pima_data!G368-AVERAGE(pima_data!$G$1:$G$768))/_xlfn.STDEV.P(pima_data!$G$1:$G$768)</f>
        <v>-0.664052526629841</v>
      </c>
      <c r="H368" s="5">
        <f>(pima_data!H368-AVERAGE(pima_data!$H$1:$H$768))/_xlfn.STDEV.P(pima_data!$H$1:$H$768)</f>
        <v>-1.0415494364835</v>
      </c>
    </row>
    <row r="369" spans="1:8">
      <c r="A369" s="5">
        <f>(pima_data!A369-AVERAGE(pima_data!$A$1:$A$768))/_xlfn.STDEV.P(pima_data!$A$1:$A$768)</f>
        <v>-0.25095212800207</v>
      </c>
      <c r="B369" s="5">
        <f>(pima_data!B369-AVERAGE(pima_data!$B$1:$B$768))/_xlfn.STDEV.P(pima_data!$B$1:$B$768)</f>
        <v>-1.24858494228671</v>
      </c>
      <c r="C369" s="5">
        <f>(pima_data!C369-AVERAGE(pima_data!$C$1:$C$768))/_xlfn.STDEV.P(pima_data!$C$1:$C$768)</f>
        <v>0.87340925117004</v>
      </c>
      <c r="D369" s="5">
        <f>(pima_data!D369-AVERAGE(pima_data!$D$1:$D$768))/_xlfn.STDEV.P(pima_data!$D$1:$D$768)</f>
        <v>-0.284563235474334</v>
      </c>
      <c r="E369" s="5">
        <f>(pima_data!E369-AVERAGE(pima_data!$E$1:$E$768))/_xlfn.STDEV.P(pima_data!$E$1:$E$768)</f>
        <v>-0.119819441392608</v>
      </c>
      <c r="F369" s="5">
        <f>(pima_data!F369-AVERAGE(pima_data!$F$1:$F$768))/_xlfn.STDEV.P(pima_data!$F$1:$F$768)</f>
        <v>-0.570194625334953</v>
      </c>
      <c r="G369" s="5">
        <f>(pima_data!G369-AVERAGE(pima_data!$G$1:$G$768))/_xlfn.STDEV.P(pima_data!$G$1:$G$768)</f>
        <v>-0.500966118052617</v>
      </c>
      <c r="H369" s="5">
        <f>(pima_data!H369-AVERAGE(pima_data!$H$1:$H$768))/_xlfn.STDEV.P(pima_data!$H$1:$H$768)</f>
        <v>-0.956461683348801</v>
      </c>
    </row>
    <row r="370" spans="1:8">
      <c r="A370" s="5">
        <f>(pima_data!A370-AVERAGE(pima_data!$A$1:$A$768))/_xlfn.STDEV.P(pima_data!$A$1:$A$768)</f>
        <v>-0.844885053443025</v>
      </c>
      <c r="B370" s="5">
        <f>(pima_data!B370-AVERAGE(pima_data!$B$1:$B$768))/_xlfn.STDEV.P(pima_data!$B$1:$B$768)</f>
        <v>0.378866614721092</v>
      </c>
      <c r="C370" s="5">
        <f>(pima_data!C370-AVERAGE(pima_data!$C$1:$C$768))/_xlfn.STDEV.P(pima_data!$C$1:$C$768)</f>
        <v>1.70057324950356</v>
      </c>
      <c r="D370" s="5">
        <f>(pima_data!D370-AVERAGE(pima_data!$D$1:$D$768))/_xlfn.STDEV.P(pima_data!$D$1:$D$768)</f>
        <v>0.468173497628841</v>
      </c>
      <c r="E370" s="5">
        <f>(pima_data!E370-AVERAGE(pima_data!$E$1:$E$768))/_xlfn.STDEV.P(pima_data!$E$1:$E$768)</f>
        <v>0.522714856892416</v>
      </c>
      <c r="F370" s="5">
        <f>(pima_data!F370-AVERAGE(pima_data!$F$1:$F$768))/_xlfn.STDEV.P(pima_data!$F$1:$F$768)</f>
        <v>0.102477375060202</v>
      </c>
      <c r="G370" s="5">
        <f>(pima_data!G370-AVERAGE(pima_data!$G$1:$G$768))/_xlfn.STDEV.P(pima_data!$G$1:$G$768)</f>
        <v>-0.718414662822248</v>
      </c>
      <c r="H370" s="5">
        <f>(pima_data!H370-AVERAGE(pima_data!$H$1:$H$768))/_xlfn.STDEV.P(pima_data!$H$1:$H$768)</f>
        <v>1.00055663874934</v>
      </c>
    </row>
    <row r="371" spans="1:8">
      <c r="A371" s="5">
        <f>(pima_data!A371-AVERAGE(pima_data!$A$1:$A$768))/_xlfn.STDEV.P(pima_data!$A$1:$A$768)</f>
        <v>-0.25095212800207</v>
      </c>
      <c r="B371" s="5">
        <f>(pima_data!B371-AVERAGE(pima_data!$B$1:$B$768))/_xlfn.STDEV.P(pima_data!$B$1:$B$768)</f>
        <v>1.63075242780402</v>
      </c>
      <c r="C371" s="5">
        <f>(pima_data!C371-AVERAGE(pima_data!$C$1:$C$768))/_xlfn.STDEV.P(pima_data!$C$1:$C$768)</f>
        <v>0.666618251586659</v>
      </c>
      <c r="D371" s="5">
        <f>(pima_data!D371-AVERAGE(pima_data!$D$1:$D$768))/_xlfn.STDEV.P(pima_data!$D$1:$D$768)</f>
        <v>1.72273471946746</v>
      </c>
      <c r="E371" s="5">
        <f>(pima_data!E371-AVERAGE(pima_data!$E$1:$E$768))/_xlfn.STDEV.P(pima_data!$E$1:$E$768)</f>
        <v>3.34465603179286</v>
      </c>
      <c r="F371" s="5">
        <f>(pima_data!F371-AVERAGE(pima_data!$F$1:$F$768))/_xlfn.STDEV.P(pima_data!$F$1:$F$768)</f>
        <v>0.813225149062631</v>
      </c>
      <c r="G371" s="5">
        <f>(pima_data!G371-AVERAGE(pima_data!$G$1:$G$768))/_xlfn.STDEV.P(pima_data!$G$1:$G$768)</f>
        <v>5.0288711801862</v>
      </c>
      <c r="H371" s="5">
        <f>(pima_data!H371-AVERAGE(pima_data!$H$1:$H$768))/_xlfn.STDEV.P(pima_data!$H$1:$H$768)</f>
        <v>-0.701198423944696</v>
      </c>
    </row>
    <row r="372" spans="1:8">
      <c r="A372" s="5">
        <f>(pima_data!A372-AVERAGE(pima_data!$A$1:$A$768))/_xlfn.STDEV.P(pima_data!$A$1:$A$768)</f>
        <v>-1.1418515161635</v>
      </c>
      <c r="B372" s="5">
        <f>(pima_data!B372-AVERAGE(pima_data!$B$1:$B$768))/_xlfn.STDEV.P(pima_data!$B$1:$B$768)</f>
        <v>-0.0905905651850046</v>
      </c>
      <c r="C372" s="5">
        <f>(pima_data!C372-AVERAGE(pima_data!$C$1:$C$768))/_xlfn.STDEV.P(pima_data!$C$1:$C$768)</f>
        <v>-0.263941246538553</v>
      </c>
      <c r="D372" s="5">
        <f>(pima_data!D372-AVERAGE(pima_data!$D$1:$D$768))/_xlfn.STDEV.P(pima_data!$D$1:$D$768)</f>
        <v>0.154533192169185</v>
      </c>
      <c r="E372" s="5">
        <f>(pima_data!E372-AVERAGE(pima_data!$E$1:$E$768))/_xlfn.STDEV.P(pima_data!$E$1:$E$768)</f>
        <v>0.0798871648311158</v>
      </c>
      <c r="F372" s="5">
        <f>(pima_data!F372-AVERAGE(pima_data!$F$1:$F$768))/_xlfn.STDEV.P(pima_data!$F$1:$F$768)</f>
        <v>-4.06047387266831</v>
      </c>
      <c r="G372" s="5">
        <f>(pima_data!G372-AVERAGE(pima_data!$G$1:$G$768))/_xlfn.STDEV.P(pima_data!$G$1:$G$768)</f>
        <v>3.80270299717967</v>
      </c>
      <c r="H372" s="5">
        <f>(pima_data!H372-AVERAGE(pima_data!$H$1:$H$768))/_xlfn.STDEV.P(pima_data!$H$1:$H$768)</f>
        <v>-1.0415494364835</v>
      </c>
    </row>
    <row r="373" spans="1:8">
      <c r="A373" s="5">
        <f>(pima_data!A373-AVERAGE(pima_data!$A$1:$A$768))/_xlfn.STDEV.P(pima_data!$A$1:$A$768)</f>
        <v>-1.1418515161635</v>
      </c>
      <c r="B373" s="5">
        <f>(pima_data!B373-AVERAGE(pima_data!$B$1:$B$768))/_xlfn.STDEV.P(pima_data!$B$1:$B$768)</f>
        <v>-1.15469350630549</v>
      </c>
      <c r="C373" s="5">
        <f>(pima_data!C373-AVERAGE(pima_data!$C$1:$C$768))/_xlfn.STDEV.P(pima_data!$C$1:$C$768)</f>
        <v>-0.263941246538553</v>
      </c>
      <c r="D373" s="5">
        <f>(pima_data!D373-AVERAGE(pima_data!$D$1:$D$768))/_xlfn.STDEV.P(pima_data!$D$1:$D$768)</f>
        <v>0.0918051310772535</v>
      </c>
      <c r="E373" s="5">
        <f>(pima_data!E373-AVERAGE(pima_data!$E$1:$E$768))/_xlfn.STDEV.P(pima_data!$E$1:$E$768)</f>
        <v>-0.119819441392608</v>
      </c>
      <c r="F373" s="5">
        <f>(pima_data!F373-AVERAGE(pima_data!$F$1:$F$768))/_xlfn.STDEV.P(pima_data!$F$1:$F$768)</f>
        <v>0.483235111132932</v>
      </c>
      <c r="G373" s="5">
        <f>(pima_data!G373-AVERAGE(pima_data!$G$1:$G$768))/_xlfn.STDEV.P(pima_data!$G$1:$G$768)</f>
        <v>0.220842245835464</v>
      </c>
      <c r="H373" s="5">
        <f>(pima_data!H373-AVERAGE(pima_data!$H$1:$H$768))/_xlfn.STDEV.P(pima_data!$H$1:$H$768)</f>
        <v>-1.0415494364835</v>
      </c>
    </row>
    <row r="374" spans="1:8">
      <c r="A374" s="5">
        <f>(pima_data!A374-AVERAGE(pima_data!$A$1:$A$768))/_xlfn.STDEV.P(pima_data!$A$1:$A$768)</f>
        <v>-0.547918590722547</v>
      </c>
      <c r="B374" s="5">
        <f>(pima_data!B374-AVERAGE(pima_data!$B$1:$B$768))/_xlfn.STDEV.P(pima_data!$B$1:$B$768)</f>
        <v>-0.497453454436955</v>
      </c>
      <c r="C374" s="5">
        <f>(pima_data!C374-AVERAGE(pima_data!$C$1:$C$768))/_xlfn.STDEV.P(pima_data!$C$1:$C$768)</f>
        <v>-0.574127745913624</v>
      </c>
      <c r="D374" s="5">
        <f>(pima_data!D374-AVERAGE(pima_data!$D$1:$D$768))/_xlfn.STDEV.P(pima_data!$D$1:$D$768)</f>
        <v>1.22091023073201</v>
      </c>
      <c r="E374" s="5">
        <f>(pima_data!E374-AVERAGE(pima_data!$E$1:$E$768))/_xlfn.STDEV.P(pima_data!$E$1:$E$768)</f>
        <v>0.123301644444969</v>
      </c>
      <c r="F374" s="5">
        <f>(pima_data!F374-AVERAGE(pima_data!$F$1:$F$768))/_xlfn.STDEV.P(pima_data!$F$1:$F$768)</f>
        <v>0.369007790311113</v>
      </c>
      <c r="G374" s="5">
        <f>(pima_data!G374-AVERAGE(pima_data!$G$1:$G$768))/_xlfn.STDEV.P(pima_data!$G$1:$G$768)</f>
        <v>-0.745595730918452</v>
      </c>
      <c r="H374" s="5">
        <f>(pima_data!H374-AVERAGE(pima_data!$H$1:$H$768))/_xlfn.STDEV.P(pima_data!$H$1:$H$768)</f>
        <v>-0.701198423944696</v>
      </c>
    </row>
    <row r="375" spans="1:8">
      <c r="A375" s="5">
        <f>(pima_data!A375-AVERAGE(pima_data!$A$1:$A$768))/_xlfn.STDEV.P(pima_data!$A$1:$A$768)</f>
        <v>-0.547918590722547</v>
      </c>
      <c r="B375" s="5">
        <f>(pima_data!B375-AVERAGE(pima_data!$B$1:$B$768))/_xlfn.STDEV.P(pima_data!$B$1:$B$768)</f>
        <v>0.0345980161232878</v>
      </c>
      <c r="C375" s="5">
        <f>(pima_data!C375-AVERAGE(pima_data!$C$1:$C$768))/_xlfn.STDEV.P(pima_data!$C$1:$C$768)</f>
        <v>-0.884314245288695</v>
      </c>
      <c r="D375" s="5">
        <f>(pima_data!D375-AVERAGE(pima_data!$D$1:$D$768))/_xlfn.STDEV.P(pima_data!$D$1:$D$768)</f>
        <v>1.40909441400781</v>
      </c>
      <c r="E375" s="5">
        <f>(pima_data!E375-AVERAGE(pima_data!$E$1:$E$768))/_xlfn.STDEV.P(pima_data!$E$1:$E$768)</f>
        <v>0.679006983502286</v>
      </c>
      <c r="F375" s="5">
        <f>(pima_data!F375-AVERAGE(pima_data!$F$1:$F$768))/_xlfn.STDEV.P(pima_data!$F$1:$F$768)</f>
        <v>0.534002809275963</v>
      </c>
      <c r="G375" s="5">
        <f>(pima_data!G375-AVERAGE(pima_data!$G$1:$G$768))/_xlfn.STDEV.P(pima_data!$G$1:$G$768)</f>
        <v>1.03929440739894</v>
      </c>
      <c r="H375" s="5">
        <f>(pima_data!H375-AVERAGE(pima_data!$H$1:$H$768))/_xlfn.STDEV.P(pima_data!$H$1:$H$768)</f>
        <v>-0.445935164540591</v>
      </c>
    </row>
    <row r="376" spans="1:8">
      <c r="A376" s="5">
        <f>(pima_data!A376-AVERAGE(pima_data!$A$1:$A$768))/_xlfn.STDEV.P(pima_data!$A$1:$A$768)</f>
        <v>2.42174603648223</v>
      </c>
      <c r="B376" s="5">
        <f>(pima_data!B376-AVERAGE(pima_data!$B$1:$B$768))/_xlfn.STDEV.P(pima_data!$B$1:$B$768)</f>
        <v>0.597946632010604</v>
      </c>
      <c r="C376" s="5">
        <f>(pima_data!C376-AVERAGE(pima_data!$C$1:$C$768))/_xlfn.STDEV.P(pima_data!$C$1:$C$768)</f>
        <v>0.666618251586659</v>
      </c>
      <c r="D376" s="5">
        <f>(pima_data!D376-AVERAGE(pima_data!$D$1:$D$768))/_xlfn.STDEV.P(pima_data!$D$1:$D$768)</f>
        <v>1.40909441400781</v>
      </c>
      <c r="E376" s="5">
        <f>(pima_data!E376-AVERAGE(pima_data!$E$1:$E$768))/_xlfn.STDEV.P(pima_data!$E$1:$E$768)</f>
        <v>2.12905060260497</v>
      </c>
      <c r="F376" s="5">
        <f>(pima_data!F376-AVERAGE(pima_data!$F$1:$F$768))/_xlfn.STDEV.P(pima_data!$F$1:$F$768)</f>
        <v>0.914760545348693</v>
      </c>
      <c r="G376" s="5">
        <f>(pima_data!G376-AVERAGE(pima_data!$G$1:$G$768))/_xlfn.STDEV.P(pima_data!$G$1:$G$768)</f>
        <v>0.169500228320412</v>
      </c>
      <c r="H376" s="5">
        <f>(pima_data!H376-AVERAGE(pima_data!$H$1:$H$768))/_xlfn.STDEV.P(pima_data!$H$1:$H$768)</f>
        <v>2.10669742950046</v>
      </c>
    </row>
    <row r="377" spans="1:8">
      <c r="A377" s="5">
        <f>(pima_data!A377-AVERAGE(pima_data!$A$1:$A$768))/_xlfn.STDEV.P(pima_data!$A$1:$A$768)</f>
        <v>-1.1418515161635</v>
      </c>
      <c r="B377" s="5">
        <f>(pima_data!B377-AVERAGE(pima_data!$B$1:$B$768))/_xlfn.STDEV.P(pima_data!$B$1:$B$768)</f>
        <v>-0.716533471726466</v>
      </c>
      <c r="C377" s="5">
        <f>(pima_data!C377-AVERAGE(pima_data!$C$1:$C$768))/_xlfn.STDEV.P(pima_data!$C$1:$C$768)</f>
        <v>0.666618251586659</v>
      </c>
      <c r="D377" s="5">
        <f>(pima_data!D377-AVERAGE(pima_data!$D$1:$D$768))/_xlfn.STDEV.P(pima_data!$D$1:$D$768)</f>
        <v>-0.347291296566265</v>
      </c>
      <c r="E377" s="5">
        <f>(pima_data!E377-AVERAGE(pima_data!$E$1:$E$768))/_xlfn.STDEV.P(pima_data!$E$1:$E$768)</f>
        <v>0.0364726852172629</v>
      </c>
      <c r="F377" s="5">
        <f>(pima_data!F377-AVERAGE(pima_data!$F$1:$F$768))/_xlfn.STDEV.P(pima_data!$F$1:$F$768)</f>
        <v>-0.862108889657379</v>
      </c>
      <c r="G377" s="5">
        <f>(pima_data!G377-AVERAGE(pima_data!$G$1:$G$768))/_xlfn.STDEV.P(pima_data!$G$1:$G$768)</f>
        <v>-0.522106948794109</v>
      </c>
      <c r="H377" s="5">
        <f>(pima_data!H377-AVERAGE(pima_data!$H$1:$H$768))/_xlfn.STDEV.P(pima_data!$H$1:$H$768)</f>
        <v>-0.956461683348801</v>
      </c>
    </row>
    <row r="378" spans="1:8">
      <c r="A378" s="5">
        <f>(pima_data!A378-AVERAGE(pima_data!$A$1:$A$768))/_xlfn.STDEV.P(pima_data!$A$1:$A$768)</f>
        <v>-0.844885053443025</v>
      </c>
      <c r="B378" s="5">
        <f>(pima_data!B378-AVERAGE(pima_data!$B$1:$B$768))/_xlfn.STDEV.P(pima_data!$B$1:$B$768)</f>
        <v>-1.06080207032427</v>
      </c>
      <c r="C378" s="5">
        <f>(pima_data!C378-AVERAGE(pima_data!$C$1:$C$768))/_xlfn.STDEV.P(pima_data!$C$1:$C$768)</f>
        <v>-0.470732246121934</v>
      </c>
      <c r="D378" s="5">
        <f>(pima_data!D378-AVERAGE(pima_data!$D$1:$D$768))/_xlfn.STDEV.P(pima_data!$D$1:$D$768)</f>
        <v>1.03272604745622</v>
      </c>
      <c r="E378" s="5">
        <f>(pima_data!E378-AVERAGE(pima_data!$E$1:$E$768))/_xlfn.STDEV.P(pima_data!$E$1:$E$768)</f>
        <v>-0.0416733780876724</v>
      </c>
      <c r="F378" s="5">
        <f>(pima_data!F378-AVERAGE(pima_data!$F$1:$F$768))/_xlfn.STDEV.P(pima_data!$F$1:$F$768)</f>
        <v>0.66092205463354</v>
      </c>
      <c r="G378" s="5">
        <f>(pima_data!G378-AVERAGE(pima_data!$G$1:$G$768))/_xlfn.STDEV.P(pima_data!$G$1:$G$768)</f>
        <v>0.112117973450649</v>
      </c>
      <c r="H378" s="5">
        <f>(pima_data!H378-AVERAGE(pima_data!$H$1:$H$768))/_xlfn.STDEV.P(pima_data!$H$1:$H$768)</f>
        <v>-0.956461683348801</v>
      </c>
    </row>
    <row r="379" spans="1:8">
      <c r="A379" s="5">
        <f>(pima_data!A379-AVERAGE(pima_data!$A$1:$A$768))/_xlfn.STDEV.P(pima_data!$A$1:$A$768)</f>
        <v>0.0460143347184072</v>
      </c>
      <c r="B379" s="5">
        <f>(pima_data!B379-AVERAGE(pima_data!$B$1:$B$768))/_xlfn.STDEV.P(pima_data!$B$1:$B$768)</f>
        <v>1.09870095724377</v>
      </c>
      <c r="C379" s="5">
        <f>(pima_data!C379-AVERAGE(pima_data!$C$1:$C$768))/_xlfn.STDEV.P(pima_data!$C$1:$C$768)</f>
        <v>0.304734002315743</v>
      </c>
      <c r="D379" s="5">
        <f>(pima_data!D379-AVERAGE(pima_data!$D$1:$D$768))/_xlfn.STDEV.P(pima_data!$D$1:$D$768)</f>
        <v>-1.28821221294523</v>
      </c>
      <c r="E379" s="5">
        <f>(pima_data!E379-AVERAGE(pima_data!$E$1:$E$768))/_xlfn.STDEV.P(pima_data!$E$1:$E$768)</f>
        <v>-0.692890572295466</v>
      </c>
      <c r="F379" s="5">
        <f>(pima_data!F379-AVERAGE(pima_data!$F$1:$F$768))/_xlfn.STDEV.P(pima_data!$F$1:$F$768)</f>
        <v>2.06972567810264</v>
      </c>
      <c r="G379" s="5">
        <f>(pima_data!G379-AVERAGE(pima_data!$G$1:$G$768))/_xlfn.STDEV.P(pima_data!$G$1:$G$768)</f>
        <v>-0.706334188112825</v>
      </c>
      <c r="H379" s="5">
        <f>(pima_data!H379-AVERAGE(pima_data!$H$1:$H$768))/_xlfn.STDEV.P(pima_data!$H$1:$H$768)</f>
        <v>-0.105584152001785</v>
      </c>
    </row>
    <row r="380" spans="1:8">
      <c r="A380" s="5">
        <f>(pima_data!A380-AVERAGE(pima_data!$A$1:$A$768))/_xlfn.STDEV.P(pima_data!$A$1:$A$768)</f>
        <v>-1.1418515161635</v>
      </c>
      <c r="B380" s="5">
        <f>(pima_data!B380-AVERAGE(pima_data!$B$1:$B$768))/_xlfn.STDEV.P(pima_data!$B$1:$B$768)</f>
        <v>-0.873019198361832</v>
      </c>
      <c r="C380" s="5">
        <f>(pima_data!C380-AVERAGE(pima_data!$C$1:$C$768))/_xlfn.STDEV.P(pima_data!$C$1:$C$768)</f>
        <v>1.59717774971187</v>
      </c>
      <c r="D380" s="5">
        <f>(pima_data!D380-AVERAGE(pima_data!$D$1:$D$768))/_xlfn.STDEV.P(pima_data!$D$1:$D$768)</f>
        <v>1.15818216964008</v>
      </c>
      <c r="E380" s="5">
        <f>(pima_data!E380-AVERAGE(pima_data!$E$1:$E$768))/_xlfn.STDEV.P(pima_data!$E$1:$E$768)</f>
        <v>-0.0677220658559842</v>
      </c>
      <c r="F380" s="5">
        <f>(pima_data!F380-AVERAGE(pima_data!$F$1:$F$768))/_xlfn.STDEV.P(pima_data!$F$1:$F$768)</f>
        <v>1.44782137585051</v>
      </c>
      <c r="G380" s="5">
        <f>(pima_data!G380-AVERAGE(pima_data!$G$1:$G$768))/_xlfn.STDEV.P(pima_data!$G$1:$G$768)</f>
        <v>1.65841873625691</v>
      </c>
      <c r="H380" s="5">
        <f>(pima_data!H380-AVERAGE(pima_data!$H$1:$H$768))/_xlfn.STDEV.P(pima_data!$H$1:$H$768)</f>
        <v>0.14967910740232</v>
      </c>
    </row>
    <row r="381" spans="1:8">
      <c r="A381" s="5">
        <f>(pima_data!A381-AVERAGE(pima_data!$A$1:$A$768))/_xlfn.STDEV.P(pima_data!$A$1:$A$768)</f>
        <v>-0.844885053443025</v>
      </c>
      <c r="B381" s="5">
        <f>(pima_data!B381-AVERAGE(pima_data!$B$1:$B$768))/_xlfn.STDEV.P(pima_data!$B$1:$B$768)</f>
        <v>-0.434859163782809</v>
      </c>
      <c r="C381" s="5">
        <f>(pima_data!C381-AVERAGE(pima_data!$C$1:$C$768))/_xlfn.STDEV.P(pima_data!$C$1:$C$768)</f>
        <v>0.149640752628208</v>
      </c>
      <c r="D381" s="5">
        <f>(pima_data!D381-AVERAGE(pima_data!$D$1:$D$768))/_xlfn.STDEV.P(pima_data!$D$1:$D$768)</f>
        <v>0.593629619812703</v>
      </c>
      <c r="E381" s="5">
        <f>(pima_data!E381-AVERAGE(pima_data!$E$1:$E$768))/_xlfn.STDEV.P(pima_data!$E$1:$E$768)</f>
        <v>0.0191068933717217</v>
      </c>
      <c r="F381" s="5">
        <f>(pima_data!F381-AVERAGE(pima_data!$F$1:$F$768))/_xlfn.STDEV.P(pima_data!$F$1:$F$768)</f>
        <v>-0.151361115654951</v>
      </c>
      <c r="G381" s="5">
        <f>(pima_data!G381-AVERAGE(pima_data!$G$1:$G$768))/_xlfn.STDEV.P(pima_data!$G$1:$G$768)</f>
        <v>1.05439500078572</v>
      </c>
      <c r="H381" s="5">
        <f>(pima_data!H381-AVERAGE(pima_data!$H$1:$H$768))/_xlfn.STDEV.P(pima_data!$H$1:$H$768)</f>
        <v>-0.786286177079398</v>
      </c>
    </row>
    <row r="382" spans="1:8">
      <c r="A382" s="5">
        <f>(pima_data!A382-AVERAGE(pima_data!$A$1:$A$768))/_xlfn.STDEV.P(pima_data!$A$1:$A$768)</f>
        <v>-1.1418515161635</v>
      </c>
      <c r="B382" s="5">
        <f>(pima_data!B382-AVERAGE(pima_data!$B$1:$B$768))/_xlfn.STDEV.P(pima_data!$B$1:$B$768)</f>
        <v>-0.497453454436955</v>
      </c>
      <c r="C382" s="5">
        <f>(pima_data!C382-AVERAGE(pima_data!$C$1:$C$768))/_xlfn.STDEV.P(pima_data!$C$1:$C$768)</f>
        <v>-0.0571502469551726</v>
      </c>
      <c r="D382" s="5">
        <f>(pima_data!D382-AVERAGE(pima_data!$D$1:$D$768))/_xlfn.STDEV.P(pima_data!$D$1:$D$768)</f>
        <v>0.0918051310772535</v>
      </c>
      <c r="E382" s="5">
        <f>(pima_data!E382-AVERAGE(pima_data!$E$1:$E$768))/_xlfn.STDEV.P(pima_data!$E$1:$E$768)</f>
        <v>-0.692890572295466</v>
      </c>
      <c r="F382" s="5">
        <f>(pima_data!F382-AVERAGE(pima_data!$F$1:$F$768))/_xlfn.STDEV.P(pima_data!$F$1:$F$768)</f>
        <v>-1.52208896551678</v>
      </c>
      <c r="G382" s="5">
        <f>(pima_data!G382-AVERAGE(pima_data!$G$1:$G$768))/_xlfn.STDEV.P(pima_data!$G$1:$G$768)</f>
        <v>-0.712374425467536</v>
      </c>
      <c r="H382" s="5">
        <f>(pima_data!H382-AVERAGE(pima_data!$H$1:$H$768))/_xlfn.STDEV.P(pima_data!$H$1:$H$768)</f>
        <v>-0.956461683348801</v>
      </c>
    </row>
    <row r="383" spans="1:8">
      <c r="A383" s="5">
        <f>(pima_data!A383-AVERAGE(pima_data!$A$1:$A$768))/_xlfn.STDEV.P(pima_data!$A$1:$A$768)</f>
        <v>-0.844885053443025</v>
      </c>
      <c r="B383" s="5">
        <f>(pima_data!B383-AVERAGE(pima_data!$B$1:$B$768))/_xlfn.STDEV.P(pima_data!$B$1:$B$768)</f>
        <v>-0.372264873128662</v>
      </c>
      <c r="C383" s="5">
        <f>(pima_data!C383-AVERAGE(pima_data!$C$1:$C$768))/_xlfn.STDEV.P(pima_data!$C$1:$C$768)</f>
        <v>-0.470732246121934</v>
      </c>
      <c r="D383" s="5">
        <f>(pima_data!D383-AVERAGE(pima_data!$D$1:$D$768))/_xlfn.STDEV.P(pima_data!$D$1:$D$768)</f>
        <v>-0.786387724209783</v>
      </c>
      <c r="E383" s="5">
        <f>(pima_data!E383-AVERAGE(pima_data!$E$1:$E$768))/_xlfn.STDEV.P(pima_data!$E$1:$E$768)</f>
        <v>0.88739648564878</v>
      </c>
      <c r="F383" s="5">
        <f>(pima_data!F383-AVERAGE(pima_data!$F$1:$F$768))/_xlfn.STDEV.P(pima_data!$F$1:$F$768)</f>
        <v>-0.836725040585864</v>
      </c>
      <c r="G383" s="5">
        <f>(pima_data!G383-AVERAGE(pima_data!$G$1:$G$768))/_xlfn.STDEV.P(pima_data!$G$1:$G$768)</f>
        <v>1.43492995413257</v>
      </c>
      <c r="H383" s="5">
        <f>(pima_data!H383-AVERAGE(pima_data!$H$1:$H$768))/_xlfn.STDEV.P(pima_data!$H$1:$H$768)</f>
        <v>-1.0415494364835</v>
      </c>
    </row>
    <row r="384" spans="1:8">
      <c r="A384" s="5">
        <f>(pima_data!A384-AVERAGE(pima_data!$A$1:$A$768))/_xlfn.STDEV.P(pima_data!$A$1:$A$768)</f>
        <v>-0.844885053443025</v>
      </c>
      <c r="B384" s="5">
        <f>(pima_data!B384-AVERAGE(pima_data!$B$1:$B$768))/_xlfn.STDEV.P(pima_data!$B$1:$B$768)</f>
        <v>-0.966910634343051</v>
      </c>
      <c r="C384" s="5">
        <f>(pima_data!C384-AVERAGE(pima_data!$C$1:$C$768))/_xlfn.STDEV.P(pima_data!$C$1:$C$768)</f>
        <v>-0.367336746330243</v>
      </c>
      <c r="D384" s="5">
        <f>(pima_data!D384-AVERAGE(pima_data!$D$1:$D$768))/_xlfn.STDEV.P(pima_data!$D$1:$D$768)</f>
        <v>-0.159107113290471</v>
      </c>
      <c r="E384" s="5">
        <f>(pima_data!E384-AVERAGE(pima_data!$E$1:$E$768))/_xlfn.STDEV.P(pima_data!$E$1:$E$768)</f>
        <v>-0.180599712852002</v>
      </c>
      <c r="F384" s="5">
        <f>(pima_data!F384-AVERAGE(pima_data!$F$1:$F$768))/_xlfn.STDEV.P(pima_data!$F$1:$F$768)</f>
        <v>-0.874800814193137</v>
      </c>
      <c r="G384" s="5">
        <f>(pima_data!G384-AVERAGE(pima_data!$G$1:$G$768))/_xlfn.STDEV.P(pima_data!$G$1:$G$768)</f>
        <v>2.40438804956384</v>
      </c>
      <c r="H384" s="5">
        <f>(pima_data!H384-AVERAGE(pima_data!$H$1:$H$768))/_xlfn.STDEV.P(pima_data!$H$1:$H$768)</f>
        <v>-0.701198423944696</v>
      </c>
    </row>
    <row r="385" spans="1:8">
      <c r="A385" s="5">
        <f>(pima_data!A385-AVERAGE(pima_data!$A$1:$A$768))/_xlfn.STDEV.P(pima_data!$A$1:$A$768)</f>
        <v>-0.844885053443025</v>
      </c>
      <c r="B385" s="5">
        <f>(pima_data!B385-AVERAGE(pima_data!$B$1:$B$768))/_xlfn.STDEV.P(pima_data!$B$1:$B$768)</f>
        <v>0.128489452104507</v>
      </c>
      <c r="C385" s="5">
        <f>(pima_data!C385-AVERAGE(pima_data!$C$1:$C$768))/_xlfn.STDEV.P(pima_data!$C$1:$C$768)</f>
        <v>0.0462452528365177</v>
      </c>
      <c r="D385" s="5">
        <f>(pima_data!D385-AVERAGE(pima_data!$D$1:$D$768))/_xlfn.STDEV.P(pima_data!$D$1:$D$768)</f>
        <v>0.217261253261116</v>
      </c>
      <c r="E385" s="5">
        <f>(pima_data!E385-AVERAGE(pima_data!$E$1:$E$768))/_xlfn.STDEV.P(pima_data!$E$1:$E$768)</f>
        <v>0.262227979209298</v>
      </c>
      <c r="F385" s="5">
        <f>(pima_data!F385-AVERAGE(pima_data!$F$1:$F$768))/_xlfn.STDEV.P(pima_data!$F$1:$F$768)</f>
        <v>-0.976336210479198</v>
      </c>
      <c r="G385" s="5">
        <f>(pima_data!G385-AVERAGE(pima_data!$G$1:$G$768))/_xlfn.STDEV.P(pima_data!$G$1:$G$768)</f>
        <v>-0.757676205627876</v>
      </c>
      <c r="H385" s="5">
        <f>(pima_data!H385-AVERAGE(pima_data!$H$1:$H$768))/_xlfn.STDEV.P(pima_data!$H$1:$H$768)</f>
        <v>-0.701198423944696</v>
      </c>
    </row>
    <row r="386" spans="1:8">
      <c r="A386" s="5">
        <f>(pima_data!A386-AVERAGE(pima_data!$A$1:$A$768))/_xlfn.STDEV.P(pima_data!$A$1:$A$768)</f>
        <v>-0.844885053443025</v>
      </c>
      <c r="B386" s="5">
        <f>(pima_data!B386-AVERAGE(pima_data!$B$1:$B$768))/_xlfn.STDEV.P(pima_data!$B$1:$B$768)</f>
        <v>-0.0592934198579315</v>
      </c>
      <c r="C386" s="5">
        <f>(pima_data!C386-AVERAGE(pima_data!$C$1:$C$768))/_xlfn.STDEV.P(pima_data!$C$1:$C$768)</f>
        <v>-0.780918745497004</v>
      </c>
      <c r="D386" s="5">
        <f>(pima_data!D386-AVERAGE(pima_data!$D$1:$D$768))/_xlfn.STDEV.P(pima_data!$D$1:$D$768)</f>
        <v>-0.472747418750127</v>
      </c>
      <c r="E386" s="5">
        <f>(pima_data!E386-AVERAGE(pima_data!$E$1:$E$768))/_xlfn.STDEV.P(pima_data!$E$1:$E$768)</f>
        <v>-0.258745776156937</v>
      </c>
      <c r="F386" s="5">
        <f>(pima_data!F386-AVERAGE(pima_data!$F$1:$F$768))/_xlfn.STDEV.P(pima_data!$F$1:$F$768)</f>
        <v>-1.23017470119435</v>
      </c>
      <c r="G386" s="5">
        <f>(pima_data!G386-AVERAGE(pima_data!$G$1:$G$768))/_xlfn.STDEV.P(pima_data!$G$1:$G$768)</f>
        <v>-0.805998104465572</v>
      </c>
      <c r="H386" s="5">
        <f>(pima_data!H386-AVERAGE(pima_data!$H$1:$H$768))/_xlfn.STDEV.P(pima_data!$H$1:$H$768)</f>
        <v>-0.786286177079398</v>
      </c>
    </row>
    <row r="387" spans="1:8">
      <c r="A387" s="5">
        <f>(pima_data!A387-AVERAGE(pima_data!$A$1:$A$768))/_xlfn.STDEV.P(pima_data!$A$1:$A$768)</f>
        <v>0.342980797438884</v>
      </c>
      <c r="B387" s="5">
        <f>(pima_data!B387-AVERAGE(pima_data!$B$1:$B$768))/_xlfn.STDEV.P(pima_data!$B$1:$B$768)</f>
        <v>-0.153184855839151</v>
      </c>
      <c r="C387" s="5">
        <f>(pima_data!C387-AVERAGE(pima_data!$C$1:$C$768))/_xlfn.STDEV.P(pima_data!$C$1:$C$768)</f>
        <v>0.253036252419898</v>
      </c>
      <c r="D387" s="5">
        <f>(pima_data!D387-AVERAGE(pima_data!$D$1:$D$768))/_xlfn.STDEV.P(pima_data!$D$1:$D$768)</f>
        <v>0.530901558720772</v>
      </c>
      <c r="E387" s="5">
        <f>(pima_data!E387-AVERAGE(pima_data!$E$1:$E$768))/_xlfn.STDEV.P(pima_data!$E$1:$E$768)</f>
        <v>-0.692890572295466</v>
      </c>
      <c r="F387" s="5">
        <f>(pima_data!F387-AVERAGE(pima_data!$F$1:$F$768))/_xlfn.STDEV.P(pima_data!$F$1:$F$768)</f>
        <v>0.0390177523814138</v>
      </c>
      <c r="G387" s="5">
        <f>(pima_data!G387-AVERAGE(pima_data!$G$1:$G$768))/_xlfn.STDEV.P(pima_data!$G$1:$G$768)</f>
        <v>0.568155893731403</v>
      </c>
      <c r="H387" s="5">
        <f>(pima_data!H387-AVERAGE(pima_data!$H$1:$H$768))/_xlfn.STDEV.P(pima_data!$H$1:$H$768)</f>
        <v>0.14967910740232</v>
      </c>
    </row>
    <row r="388" spans="1:8">
      <c r="A388" s="5">
        <f>(pima_data!A388-AVERAGE(pima_data!$A$1:$A$768))/_xlfn.STDEV.P(pima_data!$A$1:$A$768)</f>
        <v>1.23388018560032</v>
      </c>
      <c r="B388" s="5">
        <f>(pima_data!B388-AVERAGE(pima_data!$B$1:$B$768))/_xlfn.STDEV.P(pima_data!$B$1:$B$768)</f>
        <v>-0.497453454436955</v>
      </c>
      <c r="C388" s="5">
        <f>(pima_data!C388-AVERAGE(pima_data!$C$1:$C$768))/_xlfn.STDEV.P(pima_data!$C$1:$C$768)</f>
        <v>1.59717774971187</v>
      </c>
      <c r="D388" s="5">
        <f>(pima_data!D388-AVERAGE(pima_data!$D$1:$D$768))/_xlfn.STDEV.P(pima_data!$D$1:$D$768)</f>
        <v>0.96999798636429</v>
      </c>
      <c r="E388" s="5">
        <f>(pima_data!E388-AVERAGE(pima_data!$E$1:$E$768))/_xlfn.STDEV.P(pima_data!$E$1:$E$768)</f>
        <v>-0.692890572295466</v>
      </c>
      <c r="F388" s="5">
        <f>(pima_data!F388-AVERAGE(pima_data!$F$1:$F$768))/_xlfn.STDEV.P(pima_data!$F$1:$F$768)</f>
        <v>1.43512945131476</v>
      </c>
      <c r="G388" s="5">
        <f>(pima_data!G388-AVERAGE(pima_data!$G$1:$G$768))/_xlfn.STDEV.P(pima_data!$G$1:$G$768)</f>
        <v>-0.703314069435468</v>
      </c>
      <c r="H388" s="5">
        <f>(pima_data!H388-AVERAGE(pima_data!$H$1:$H$768))/_xlfn.STDEV.P(pima_data!$H$1:$H$768)</f>
        <v>1.00055663874934</v>
      </c>
    </row>
    <row r="389" spans="1:8">
      <c r="A389" s="5">
        <f>(pima_data!A389-AVERAGE(pima_data!$A$1:$A$768))/_xlfn.STDEV.P(pima_data!$A$1:$A$768)</f>
        <v>0.342980797438884</v>
      </c>
      <c r="B389" s="5">
        <f>(pima_data!B389-AVERAGE(pima_data!$B$1:$B$768))/_xlfn.STDEV.P(pima_data!$B$1:$B$768)</f>
        <v>0.723135213318896</v>
      </c>
      <c r="C389" s="5">
        <f>(pima_data!C389-AVERAGE(pima_data!$C$1:$C$768))/_xlfn.STDEV.P(pima_data!$C$1:$C$768)</f>
        <v>0.666618251586659</v>
      </c>
      <c r="D389" s="5">
        <f>(pima_data!D389-AVERAGE(pima_data!$D$1:$D$768))/_xlfn.STDEV.P(pima_data!$D$1:$D$768)</f>
        <v>0.342717375444978</v>
      </c>
      <c r="E389" s="5">
        <f>(pima_data!E389-AVERAGE(pima_data!$E$1:$E$768))/_xlfn.STDEV.P(pima_data!$E$1:$E$768)</f>
        <v>1.78173476569415</v>
      </c>
      <c r="F389" s="5">
        <f>(pima_data!F389-AVERAGE(pima_data!$F$1:$F$768))/_xlfn.STDEV.P(pima_data!$F$1:$F$768)</f>
        <v>0.000941978774141239</v>
      </c>
      <c r="G389" s="5">
        <f>(pima_data!G389-AVERAGE(pima_data!$G$1:$G$768))/_xlfn.STDEV.P(pima_data!$G$1:$G$768)</f>
        <v>-0.0600287911586428</v>
      </c>
      <c r="H389" s="5">
        <f>(pima_data!H389-AVERAGE(pima_data!$H$1:$H$768))/_xlfn.STDEV.P(pima_data!$H$1:$H$768)</f>
        <v>2.10669742950046</v>
      </c>
    </row>
    <row r="390" spans="1:8">
      <c r="A390" s="5">
        <f>(pima_data!A390-AVERAGE(pima_data!$A$1:$A$768))/_xlfn.STDEV.P(pima_data!$A$1:$A$768)</f>
        <v>-0.25095212800207</v>
      </c>
      <c r="B390" s="5">
        <f>(pima_data!B390-AVERAGE(pima_data!$B$1:$B$768))/_xlfn.STDEV.P(pima_data!$B$1:$B$768)</f>
        <v>-0.65393918107232</v>
      </c>
      <c r="C390" s="5">
        <f>(pima_data!C390-AVERAGE(pima_data!$C$1:$C$768))/_xlfn.STDEV.P(pima_data!$C$1:$C$768)</f>
        <v>-0.0571502469551726</v>
      </c>
      <c r="D390" s="5">
        <f>(pima_data!D390-AVERAGE(pima_data!$D$1:$D$768))/_xlfn.STDEV.P(pima_data!$D$1:$D$768)</f>
        <v>0.154533192169185</v>
      </c>
      <c r="E390" s="5">
        <f>(pima_data!E390-AVERAGE(pima_data!$E$1:$E$768))/_xlfn.STDEV.P(pima_data!$E$1:$E$768)</f>
        <v>0.0104239974489511</v>
      </c>
      <c r="F390" s="5">
        <f>(pima_data!F390-AVERAGE(pima_data!$F$1:$F$768))/_xlfn.STDEV.P(pima_data!$F$1:$F$768)</f>
        <v>-0.0498257193688892</v>
      </c>
      <c r="G390" s="5">
        <f>(pima_data!G390-AVERAGE(pima_data!$G$1:$G$768))/_xlfn.STDEV.P(pima_data!$G$1:$G$768)</f>
        <v>1.44097019148728</v>
      </c>
      <c r="H390" s="5">
        <f>(pima_data!H390-AVERAGE(pima_data!$H$1:$H$768))/_xlfn.STDEV.P(pima_data!$H$1:$H$768)</f>
        <v>-0.445935164540591</v>
      </c>
    </row>
    <row r="391" spans="1:8">
      <c r="A391" s="5">
        <f>(pima_data!A391-AVERAGE(pima_data!$A$1:$A$768))/_xlfn.STDEV.P(pima_data!$A$1:$A$768)</f>
        <v>-0.844885053443025</v>
      </c>
      <c r="B391" s="5">
        <f>(pima_data!B391-AVERAGE(pima_data!$B$1:$B$768))/_xlfn.STDEV.P(pima_data!$B$1:$B$768)</f>
        <v>-0.65393918107232</v>
      </c>
      <c r="C391" s="5">
        <f>(pima_data!C391-AVERAGE(pima_data!$C$1:$C$768))/_xlfn.STDEV.P(pima_data!$C$1:$C$768)</f>
        <v>-0.160545746746863</v>
      </c>
      <c r="D391" s="5">
        <f>(pima_data!D391-AVERAGE(pima_data!$D$1:$D$768))/_xlfn.STDEV.P(pima_data!$D$1:$D$768)</f>
        <v>0.530901558720772</v>
      </c>
      <c r="E391" s="5">
        <f>(pima_data!E391-AVERAGE(pima_data!$E$1:$E$768))/_xlfn.STDEV.P(pima_data!$E$1:$E$768)</f>
        <v>1.00895702856757</v>
      </c>
      <c r="F391" s="5">
        <f>(pima_data!F391-AVERAGE(pima_data!$F$1:$F$768))/_xlfn.STDEV.P(pima_data!$F$1:$F$768)</f>
        <v>0.000941978774141239</v>
      </c>
      <c r="G391" s="5">
        <f>(pima_data!G391-AVERAGE(pima_data!$G$1:$G$768))/_xlfn.STDEV.P(pima_data!$G$1:$G$768)</f>
        <v>-0.0841897405774907</v>
      </c>
      <c r="H391" s="5">
        <f>(pima_data!H391-AVERAGE(pima_data!$H$1:$H$768))/_xlfn.STDEV.P(pima_data!$H$1:$H$768)</f>
        <v>0.745293379345232</v>
      </c>
    </row>
    <row r="392" spans="1:8">
      <c r="A392" s="5">
        <f>(pima_data!A392-AVERAGE(pima_data!$A$1:$A$768))/_xlfn.STDEV.P(pima_data!$A$1:$A$768)</f>
        <v>0.342980797438884</v>
      </c>
      <c r="B392" s="5">
        <f>(pima_data!B392-AVERAGE(pima_data!$B$1:$B$768))/_xlfn.STDEV.P(pima_data!$B$1:$B$768)</f>
        <v>1.4116724105145</v>
      </c>
      <c r="C392" s="5">
        <f>(pima_data!C392-AVERAGE(pima_data!$C$1:$C$768))/_xlfn.STDEV.P(pima_data!$C$1:$C$768)</f>
        <v>0.356431752211589</v>
      </c>
      <c r="D392" s="5">
        <f>(pima_data!D392-AVERAGE(pima_data!$D$1:$D$768))/_xlfn.STDEV.P(pima_data!$D$1:$D$768)</f>
        <v>-1.28821221294523</v>
      </c>
      <c r="E392" s="5">
        <f>(pima_data!E392-AVERAGE(pima_data!$E$1:$E$768))/_xlfn.STDEV.P(pima_data!$E$1:$E$768)</f>
        <v>-0.692890572295466</v>
      </c>
      <c r="F392" s="5">
        <f>(pima_data!F392-AVERAGE(pima_data!$F$1:$F$768))/_xlfn.STDEV.P(pima_data!$F$1:$F$768)</f>
        <v>1.73973564017294</v>
      </c>
      <c r="G392" s="5">
        <f>(pima_data!G392-AVERAGE(pima_data!$G$1:$G$768))/_xlfn.STDEV.P(pima_data!$G$1:$G$768)</f>
        <v>-0.398282083022514</v>
      </c>
      <c r="H392" s="5">
        <f>(pima_data!H392-AVERAGE(pima_data!$H$1:$H$768))/_xlfn.STDEV.P(pima_data!$H$1:$H$768)</f>
        <v>-0.531022917675293</v>
      </c>
    </row>
    <row r="393" spans="1:8">
      <c r="A393" s="5">
        <f>(pima_data!A393-AVERAGE(pima_data!$A$1:$A$768))/_xlfn.STDEV.P(pima_data!$A$1:$A$768)</f>
        <v>-0.844885053443025</v>
      </c>
      <c r="B393" s="5">
        <f>(pima_data!B393-AVERAGE(pima_data!$B$1:$B$768))/_xlfn.STDEV.P(pima_data!$B$1:$B$768)</f>
        <v>0.316272324066946</v>
      </c>
      <c r="C393" s="5">
        <f>(pima_data!C393-AVERAGE(pima_data!$C$1:$C$768))/_xlfn.STDEV.P(pima_data!$C$1:$C$768)</f>
        <v>-0.263941246538553</v>
      </c>
      <c r="D393" s="5">
        <f>(pima_data!D393-AVERAGE(pima_data!$D$1:$D$768))/_xlfn.STDEV.P(pima_data!$D$1:$D$768)</f>
        <v>-0.410019357658196</v>
      </c>
      <c r="E393" s="5">
        <f>(pima_data!E393-AVERAGE(pima_data!$E$1:$E$768))/_xlfn.STDEV.P(pima_data!$E$1:$E$768)</f>
        <v>2.91051123565433</v>
      </c>
      <c r="F393" s="5">
        <f>(pima_data!F393-AVERAGE(pima_data!$F$1:$F$768))/_xlfn.STDEV.P(pima_data!$F$1:$F$768)</f>
        <v>-1.05248775769374</v>
      </c>
      <c r="G393" s="5">
        <f>(pima_data!G393-AVERAGE(pima_data!$G$1:$G$768))/_xlfn.STDEV.P(pima_data!$G$1:$G$768)</f>
        <v>-0.25029626783207</v>
      </c>
      <c r="H393" s="5">
        <f>(pima_data!H393-AVERAGE(pima_data!$H$1:$H$768))/_xlfn.STDEV.P(pima_data!$H$1:$H$768)</f>
        <v>-1.0415494364835</v>
      </c>
    </row>
    <row r="394" spans="1:8">
      <c r="A394" s="5">
        <f>(pima_data!A394-AVERAGE(pima_data!$A$1:$A$768))/_xlfn.STDEV.P(pima_data!$A$1:$A$768)</f>
        <v>0.0460143347184072</v>
      </c>
      <c r="B394" s="5">
        <f>(pima_data!B394-AVERAGE(pima_data!$B$1:$B$768))/_xlfn.STDEV.P(pima_data!$B$1:$B$768)</f>
        <v>-0.153184855839151</v>
      </c>
      <c r="C394" s="5">
        <f>(pima_data!C394-AVERAGE(pima_data!$C$1:$C$768))/_xlfn.STDEV.P(pima_data!$C$1:$C$768)</f>
        <v>0.149640752628208</v>
      </c>
      <c r="D394" s="5">
        <f>(pima_data!D394-AVERAGE(pima_data!$D$1:$D$768))/_xlfn.STDEV.P(pima_data!$D$1:$D$768)</f>
        <v>-0.535475479842058</v>
      </c>
      <c r="E394" s="5">
        <f>(pima_data!E394-AVERAGE(pima_data!$E$1:$E$768))/_xlfn.STDEV.P(pima_data!$E$1:$E$768)</f>
        <v>0.0625213729855746</v>
      </c>
      <c r="F394" s="5">
        <f>(pima_data!F394-AVERAGE(pima_data!$F$1:$F$768))/_xlfn.STDEV.P(pima_data!$F$1:$F$768)</f>
        <v>-1.25555855026587</v>
      </c>
      <c r="G394" s="5">
        <f>(pima_data!G394-AVERAGE(pima_data!$G$1:$G$768))/_xlfn.STDEV.P(pima_data!$G$1:$G$768)</f>
        <v>-0.0268074857077269</v>
      </c>
      <c r="H394" s="5">
        <f>(pima_data!H394-AVERAGE(pima_data!$H$1:$H$768))/_xlfn.STDEV.P(pima_data!$H$1:$H$768)</f>
        <v>0.319854613671724</v>
      </c>
    </row>
    <row r="395" spans="1:8">
      <c r="A395" s="5">
        <f>(pima_data!A395-AVERAGE(pima_data!$A$1:$A$768))/_xlfn.STDEV.P(pima_data!$A$1:$A$768)</f>
        <v>0.0460143347184072</v>
      </c>
      <c r="B395" s="5">
        <f>(pima_data!B395-AVERAGE(pima_data!$B$1:$B$768))/_xlfn.STDEV.P(pima_data!$B$1:$B$768)</f>
        <v>1.16129524789792</v>
      </c>
      <c r="C395" s="5">
        <f>(pima_data!C395-AVERAGE(pima_data!$C$1:$C$768))/_xlfn.STDEV.P(pima_data!$C$1:$C$768)</f>
        <v>0.459827252003279</v>
      </c>
      <c r="D395" s="5">
        <f>(pima_data!D395-AVERAGE(pima_data!$D$1:$D$768))/_xlfn.STDEV.P(pima_data!$D$1:$D$768)</f>
        <v>-1.28821221294523</v>
      </c>
      <c r="E395" s="5">
        <f>(pima_data!E395-AVERAGE(pima_data!$E$1:$E$768))/_xlfn.STDEV.P(pima_data!$E$1:$E$768)</f>
        <v>-0.692890572295466</v>
      </c>
      <c r="F395" s="5">
        <f>(pima_data!F395-AVERAGE(pima_data!$F$1:$F$768))/_xlfn.STDEV.P(pima_data!$F$1:$F$768)</f>
        <v>0.11516929959596</v>
      </c>
      <c r="G395" s="5">
        <f>(pima_data!G395-AVERAGE(pima_data!$G$1:$G$768))/_xlfn.STDEV.P(pima_data!$G$1:$G$768)</f>
        <v>1.00003286459331</v>
      </c>
      <c r="H395" s="5">
        <f>(pima_data!H395-AVERAGE(pima_data!$H$1:$H$768))/_xlfn.STDEV.P(pima_data!$H$1:$H$768)</f>
        <v>-0.190671905136486</v>
      </c>
    </row>
    <row r="396" spans="1:8">
      <c r="A396" s="5">
        <f>(pima_data!A396-AVERAGE(pima_data!$A$1:$A$768))/_xlfn.STDEV.P(pima_data!$A$1:$A$768)</f>
        <v>-0.547918590722547</v>
      </c>
      <c r="B396" s="5">
        <f>(pima_data!B396-AVERAGE(pima_data!$B$1:$B$768))/_xlfn.STDEV.P(pima_data!$B$1:$B$768)</f>
        <v>0.191083742758653</v>
      </c>
      <c r="C396" s="5">
        <f>(pima_data!C396-AVERAGE(pima_data!$C$1:$C$768))/_xlfn.STDEV.P(pima_data!$C$1:$C$768)</f>
        <v>-0.574127745913624</v>
      </c>
      <c r="D396" s="5">
        <f>(pima_data!D396-AVERAGE(pima_data!$D$1:$D$768))/_xlfn.STDEV.P(pima_data!$D$1:$D$768)</f>
        <v>0.217261253261116</v>
      </c>
      <c r="E396" s="5">
        <f>(pima_data!E396-AVERAGE(pima_data!$E$1:$E$768))/_xlfn.STDEV.P(pima_data!$E$1:$E$768)</f>
        <v>1.69490580646644</v>
      </c>
      <c r="F396" s="5">
        <f>(pima_data!F396-AVERAGE(pima_data!$F$1:$F$768))/_xlfn.STDEV.P(pima_data!$F$1:$F$768)</f>
        <v>-0.544810776263438</v>
      </c>
      <c r="G396" s="5">
        <f>(pima_data!G396-AVERAGE(pima_data!$G$1:$G$768))/_xlfn.STDEV.P(pima_data!$G$1:$G$768)</f>
        <v>3.40706745044603</v>
      </c>
      <c r="H396" s="5">
        <f>(pima_data!H396-AVERAGE(pima_data!$H$1:$H$768))/_xlfn.STDEV.P(pima_data!$H$1:$H$768)</f>
        <v>-0.701198423944696</v>
      </c>
    </row>
    <row r="397" spans="1:8">
      <c r="A397" s="5">
        <f>(pima_data!A397-AVERAGE(pima_data!$A$1:$A$768))/_xlfn.STDEV.P(pima_data!$A$1:$A$768)</f>
        <v>-0.25095212800207</v>
      </c>
      <c r="B397" s="5">
        <f>(pima_data!B397-AVERAGE(pima_data!$B$1:$B$768))/_xlfn.STDEV.P(pima_data!$B$1:$B$768)</f>
        <v>-0.779127762380613</v>
      </c>
      <c r="C397" s="5">
        <f>(pima_data!C397-AVERAGE(pima_data!$C$1:$C$768))/_xlfn.STDEV.P(pima_data!$C$1:$C$768)</f>
        <v>-0.677523245705314</v>
      </c>
      <c r="D397" s="5">
        <f>(pima_data!D397-AVERAGE(pima_data!$D$1:$D$768))/_xlfn.STDEV.P(pima_data!$D$1:$D$768)</f>
        <v>0.844541864180428</v>
      </c>
      <c r="E397" s="5">
        <f>(pima_data!E397-AVERAGE(pima_data!$E$1:$E$768))/_xlfn.STDEV.P(pima_data!$E$1:$E$768)</f>
        <v>0.305642458823151</v>
      </c>
      <c r="F397" s="5">
        <f>(pima_data!F397-AVERAGE(pima_data!$F$1:$F$768))/_xlfn.STDEV.P(pima_data!$F$1:$F$768)</f>
        <v>-0.925568512336168</v>
      </c>
      <c r="G397" s="5">
        <f>(pima_data!G397-AVERAGE(pima_data!$G$1:$G$768))/_xlfn.STDEV.P(pima_data!$G$1:$G$768)</f>
        <v>1.4258695981005</v>
      </c>
      <c r="H397" s="5">
        <f>(pima_data!H397-AVERAGE(pima_data!$H$1:$H$768))/_xlfn.STDEV.P(pima_data!$H$1:$H$768)</f>
        <v>0.490030119941127</v>
      </c>
    </row>
    <row r="398" spans="1:8">
      <c r="A398" s="5">
        <f>(pima_data!A398-AVERAGE(pima_data!$A$1:$A$768))/_xlfn.STDEV.P(pima_data!$A$1:$A$768)</f>
        <v>-1.1418515161635</v>
      </c>
      <c r="B398" s="5">
        <f>(pima_data!B398-AVERAGE(pima_data!$B$1:$B$768))/_xlfn.STDEV.P(pima_data!$B$1:$B$768)</f>
        <v>0.316272324066946</v>
      </c>
      <c r="C398" s="5">
        <f>(pima_data!C398-AVERAGE(pima_data!$C$1:$C$768))/_xlfn.STDEV.P(pima_data!$C$1:$C$768)</f>
        <v>-0.160545746746863</v>
      </c>
      <c r="D398" s="5">
        <f>(pima_data!D398-AVERAGE(pima_data!$D$1:$D$768))/_xlfn.STDEV.P(pima_data!$D$1:$D$768)</f>
        <v>1.22091023073201</v>
      </c>
      <c r="E398" s="5">
        <f>(pima_data!E398-AVERAGE(pima_data!$E$1:$E$768))/_xlfn.STDEV.P(pima_data!$E$1:$E$768)</f>
        <v>-0.692890572295466</v>
      </c>
      <c r="F398" s="5">
        <f>(pima_data!F398-AVERAGE(pima_data!$F$1:$F$768))/_xlfn.STDEV.P(pima_data!$F$1:$F$768)</f>
        <v>0.292856243096567</v>
      </c>
      <c r="G398" s="5">
        <f>(pima_data!G398-AVERAGE(pima_data!$G$1:$G$768))/_xlfn.STDEV.P(pima_data!$G$1:$G$768)</f>
        <v>-0.833179172561776</v>
      </c>
      <c r="H398" s="5">
        <f>(pima_data!H398-AVERAGE(pima_data!$H$1:$H$768))/_xlfn.STDEV.P(pima_data!$H$1:$H$768)</f>
        <v>-0.956461683348801</v>
      </c>
    </row>
    <row r="399" spans="1:8">
      <c r="A399" s="5">
        <f>(pima_data!A399-AVERAGE(pima_data!$A$1:$A$768))/_xlfn.STDEV.P(pima_data!$A$1:$A$768)</f>
        <v>-0.25095212800207</v>
      </c>
      <c r="B399" s="5">
        <f>(pima_data!B399-AVERAGE(pima_data!$B$1:$B$768))/_xlfn.STDEV.P(pima_data!$B$1:$B$768)</f>
        <v>-1.21728779695964</v>
      </c>
      <c r="C399" s="5">
        <f>(pima_data!C399-AVERAGE(pima_data!$C$1:$C$768))/_xlfn.STDEV.P(pima_data!$C$1:$C$768)</f>
        <v>0.0462452528365177</v>
      </c>
      <c r="D399" s="5">
        <f>(pima_data!D399-AVERAGE(pima_data!$D$1:$D$768))/_xlfn.STDEV.P(pima_data!$D$1:$D$768)</f>
        <v>-1.28821221294523</v>
      </c>
      <c r="E399" s="5">
        <f>(pima_data!E399-AVERAGE(pima_data!$E$1:$E$768))/_xlfn.STDEV.P(pima_data!$E$1:$E$768)</f>
        <v>-0.692890572295466</v>
      </c>
      <c r="F399" s="5">
        <f>(pima_data!F399-AVERAGE(pima_data!$F$1:$F$768))/_xlfn.STDEV.P(pima_data!$F$1:$F$768)</f>
        <v>-1.38247779562344</v>
      </c>
      <c r="G399" s="5">
        <f>(pima_data!G399-AVERAGE(pima_data!$G$1:$G$768))/_xlfn.STDEV.P(pima_data!$G$1:$G$768)</f>
        <v>-0.25029626783207</v>
      </c>
      <c r="H399" s="5">
        <f>(pima_data!H399-AVERAGE(pima_data!$H$1:$H$768))/_xlfn.STDEV.P(pima_data!$H$1:$H$768)</f>
        <v>-0.701198423944696</v>
      </c>
    </row>
    <row r="400" spans="1:8">
      <c r="A400" s="5">
        <f>(pima_data!A400-AVERAGE(pima_data!$A$1:$A$768))/_xlfn.STDEV.P(pima_data!$A$1:$A$768)</f>
        <v>-0.25095212800207</v>
      </c>
      <c r="B400" s="5">
        <f>(pima_data!B400-AVERAGE(pima_data!$B$1:$B$768))/_xlfn.STDEV.P(pima_data!$B$1:$B$768)</f>
        <v>2.25669533434548</v>
      </c>
      <c r="C400" s="5">
        <f>(pima_data!C400-AVERAGE(pima_data!$C$1:$C$768))/_xlfn.STDEV.P(pima_data!$C$1:$C$768)</f>
        <v>0.0462452528365177</v>
      </c>
      <c r="D400" s="5">
        <f>(pima_data!D400-AVERAGE(pima_data!$D$1:$D$768))/_xlfn.STDEV.P(pima_data!$D$1:$D$768)</f>
        <v>0.656357680904634</v>
      </c>
      <c r="E400" s="5">
        <f>(pima_data!E400-AVERAGE(pima_data!$E$1:$E$768))/_xlfn.STDEV.P(pima_data!$E$1:$E$768)</f>
        <v>-0.692890572295466</v>
      </c>
      <c r="F400" s="5">
        <f>(pima_data!F400-AVERAGE(pima_data!$F$1:$F$768))/_xlfn.STDEV.P(pima_data!$F$1:$F$768)</f>
        <v>0.369007790311113</v>
      </c>
      <c r="G400" s="5">
        <f>(pima_data!G400-AVERAGE(pima_data!$G$1:$G$768))/_xlfn.STDEV.P(pima_data!$G$1:$G$768)</f>
        <v>-0.697273832080757</v>
      </c>
      <c r="H400" s="5">
        <f>(pima_data!H400-AVERAGE(pima_data!$H$1:$H$768))/_xlfn.STDEV.P(pima_data!$H$1:$H$768)</f>
        <v>-0.701198423944696</v>
      </c>
    </row>
    <row r="401" spans="1:8">
      <c r="A401" s="5">
        <f>(pima_data!A401-AVERAGE(pima_data!$A$1:$A$768))/_xlfn.STDEV.P(pima_data!$A$1:$A$768)</f>
        <v>0.0460143347184072</v>
      </c>
      <c r="B401" s="5">
        <f>(pima_data!B401-AVERAGE(pima_data!$B$1:$B$768))/_xlfn.STDEV.P(pima_data!$B$1:$B$768)</f>
        <v>-0.810424907707686</v>
      </c>
      <c r="C401" s="5">
        <f>(pima_data!C401-AVERAGE(pima_data!$C$1:$C$768))/_xlfn.STDEV.P(pima_data!$C$1:$C$768)</f>
        <v>-0.263941246538553</v>
      </c>
      <c r="D401" s="5">
        <f>(pima_data!D401-AVERAGE(pima_data!$D$1:$D$768))/_xlfn.STDEV.P(pima_data!$D$1:$D$768)</f>
        <v>-1.28821221294523</v>
      </c>
      <c r="E401" s="5">
        <f>(pima_data!E401-AVERAGE(pima_data!$E$1:$E$768))/_xlfn.STDEV.P(pima_data!$E$1:$E$768)</f>
        <v>-0.692890572295466</v>
      </c>
      <c r="F401" s="5">
        <f>(pima_data!F401-AVERAGE(pima_data!$F$1:$F$768))/_xlfn.STDEV.P(pima_data!$F$1:$F$768)</f>
        <v>0.000941978774141239</v>
      </c>
      <c r="G401" s="5">
        <f>(pima_data!G401-AVERAGE(pima_data!$G$1:$G$768))/_xlfn.STDEV.P(pima_data!$G$1:$G$768)</f>
        <v>-0.938883326269236</v>
      </c>
      <c r="H401" s="5">
        <f>(pima_data!H401-AVERAGE(pima_data!$H$1:$H$768))/_xlfn.STDEV.P(pima_data!$H$1:$H$768)</f>
        <v>-0.190671905136486</v>
      </c>
    </row>
    <row r="402" spans="1:8">
      <c r="A402" s="5">
        <f>(pima_data!A402-AVERAGE(pima_data!$A$1:$A$768))/_xlfn.STDEV.P(pima_data!$A$1:$A$768)</f>
        <v>0.639947260159362</v>
      </c>
      <c r="B402" s="5">
        <f>(pima_data!B402-AVERAGE(pima_data!$B$1:$B$768))/_xlfn.STDEV.P(pima_data!$B$1:$B$768)</f>
        <v>0.504055196029384</v>
      </c>
      <c r="C402" s="5">
        <f>(pima_data!C402-AVERAGE(pima_data!$C$1:$C$768))/_xlfn.STDEV.P(pima_data!$C$1:$C$768)</f>
        <v>-0.419034496226089</v>
      </c>
      <c r="D402" s="5">
        <f>(pima_data!D402-AVERAGE(pima_data!$D$1:$D$768))/_xlfn.STDEV.P(pima_data!$D$1:$D$768)</f>
        <v>-1.28821221294523</v>
      </c>
      <c r="E402" s="5">
        <f>(pima_data!E402-AVERAGE(pima_data!$E$1:$E$768))/_xlfn.STDEV.P(pima_data!$E$1:$E$768)</f>
        <v>-0.692890572295466</v>
      </c>
      <c r="F402" s="5">
        <f>(pima_data!F402-AVERAGE(pima_data!$F$1:$F$768))/_xlfn.STDEV.P(pima_data!$F$1:$F$768)</f>
        <v>-0.989028135014956</v>
      </c>
      <c r="G402" s="5">
        <f>(pima_data!G402-AVERAGE(pima_data!$G$1:$G$768))/_xlfn.STDEV.P(pima_data!$G$1:$G$768)</f>
        <v>-0.969084513042796</v>
      </c>
      <c r="H402" s="5">
        <f>(pima_data!H402-AVERAGE(pima_data!$H$1:$H$768))/_xlfn.STDEV.P(pima_data!$H$1:$H$768)</f>
        <v>1.85143417009635</v>
      </c>
    </row>
    <row r="403" spans="1:8">
      <c r="A403" s="5">
        <f>(pima_data!A403-AVERAGE(pima_data!$A$1:$A$768))/_xlfn.STDEV.P(pima_data!$A$1:$A$768)</f>
        <v>0.342980797438884</v>
      </c>
      <c r="B403" s="5">
        <f>(pima_data!B403-AVERAGE(pima_data!$B$1:$B$768))/_xlfn.STDEV.P(pima_data!$B$1:$B$768)</f>
        <v>0.472758050702311</v>
      </c>
      <c r="C403" s="5">
        <f>(pima_data!C403-AVERAGE(pima_data!$C$1:$C$768))/_xlfn.STDEV.P(pima_data!$C$1:$C$768)</f>
        <v>0.77001375137835</v>
      </c>
      <c r="D403" s="5">
        <f>(pima_data!D403-AVERAGE(pima_data!$D$1:$D$768))/_xlfn.STDEV.P(pima_data!$D$1:$D$768)</f>
        <v>1.28363829182395</v>
      </c>
      <c r="E403" s="5">
        <f>(pima_data!E403-AVERAGE(pima_data!$E$1:$E$768))/_xlfn.STDEV.P(pima_data!$E$1:$E$768)</f>
        <v>0.0712042689083452</v>
      </c>
      <c r="F403" s="5">
        <f>(pima_data!F403-AVERAGE(pima_data!$F$1:$F$768))/_xlfn.STDEV.P(pima_data!$F$1:$F$768)</f>
        <v>0.381699714846871</v>
      </c>
      <c r="G403" s="5">
        <f>(pima_data!G403-AVERAGE(pima_data!$G$1:$G$768))/_xlfn.STDEV.P(pima_data!$G$1:$G$768)</f>
        <v>-0.561368491599737</v>
      </c>
      <c r="H403" s="5">
        <f>(pima_data!H403-AVERAGE(pima_data!$H$1:$H$768))/_xlfn.STDEV.P(pima_data!$H$1:$H$768)</f>
        <v>0.14967910740232</v>
      </c>
    </row>
    <row r="404" spans="1:8">
      <c r="A404" s="5">
        <f>(pima_data!A404-AVERAGE(pima_data!$A$1:$A$768))/_xlfn.STDEV.P(pima_data!$A$1:$A$768)</f>
        <v>1.53084664832079</v>
      </c>
      <c r="B404" s="5">
        <f>(pima_data!B404-AVERAGE(pima_data!$B$1:$B$768))/_xlfn.STDEV.P(pima_data!$B$1:$B$768)</f>
        <v>-1.53025925023037</v>
      </c>
      <c r="C404" s="5">
        <f>(pima_data!C404-AVERAGE(pima_data!$C$1:$C$768))/_xlfn.STDEV.P(pima_data!$C$1:$C$768)</f>
        <v>0.459827252003279</v>
      </c>
      <c r="D404" s="5">
        <f>(pima_data!D404-AVERAGE(pima_data!$D$1:$D$768))/_xlfn.STDEV.P(pima_data!$D$1:$D$768)</f>
        <v>0.279989314353047</v>
      </c>
      <c r="E404" s="5">
        <f>(pima_data!E404-AVERAGE(pima_data!$E$1:$E$768))/_xlfn.STDEV.P(pima_data!$E$1:$E$768)</f>
        <v>-0.692890572295466</v>
      </c>
      <c r="F404" s="5">
        <f>(pima_data!F404-AVERAGE(pima_data!$F$1:$F$768))/_xlfn.STDEV.P(pima_data!$F$1:$F$768)</f>
        <v>-0.0498257193688892</v>
      </c>
      <c r="G404" s="5">
        <f>(pima_data!G404-AVERAGE(pima_data!$G$1:$G$768))/_xlfn.STDEV.P(pima_data!$G$1:$G$768)</f>
        <v>-0.579489203663873</v>
      </c>
      <c r="H404" s="5">
        <f>(pima_data!H404-AVERAGE(pima_data!$H$1:$H$768))/_xlfn.STDEV.P(pima_data!$H$1:$H$768)</f>
        <v>0.404942366806425</v>
      </c>
    </row>
    <row r="405" spans="1:8">
      <c r="A405" s="5">
        <f>(pima_data!A405-AVERAGE(pima_data!$A$1:$A$768))/_xlfn.STDEV.P(pima_data!$A$1:$A$768)</f>
        <v>0.342980797438884</v>
      </c>
      <c r="B405" s="5">
        <f>(pima_data!B405-AVERAGE(pima_data!$B$1:$B$768))/_xlfn.STDEV.P(pima_data!$B$1:$B$768)</f>
        <v>1.47426670116865</v>
      </c>
      <c r="C405" s="5">
        <f>(pima_data!C405-AVERAGE(pima_data!$C$1:$C$768))/_xlfn.STDEV.P(pima_data!$C$1:$C$768)</f>
        <v>-0.263941246538553</v>
      </c>
      <c r="D405" s="5">
        <f>(pima_data!D405-AVERAGE(pima_data!$D$1:$D$768))/_xlfn.STDEV.P(pima_data!$D$1:$D$768)</f>
        <v>-1.28821221294523</v>
      </c>
      <c r="E405" s="5">
        <f>(pima_data!E405-AVERAGE(pima_data!$E$1:$E$768))/_xlfn.STDEV.P(pima_data!$E$1:$E$768)</f>
        <v>-0.692890572295466</v>
      </c>
      <c r="F405" s="5">
        <f>(pima_data!F405-AVERAGE(pima_data!$F$1:$F$768))/_xlfn.STDEV.P(pima_data!$F$1:$F$768)</f>
        <v>0.11516929959596</v>
      </c>
      <c r="G405" s="5">
        <f>(pima_data!G405-AVERAGE(pima_data!$G$1:$G$768))/_xlfn.STDEV.P(pima_data!$G$1:$G$768)</f>
        <v>-1.01740641188049</v>
      </c>
      <c r="H405" s="5">
        <f>(pima_data!H405-AVERAGE(pima_data!$H$1:$H$768))/_xlfn.STDEV.P(pima_data!$H$1:$H$768)</f>
        <v>0.66020562621053</v>
      </c>
    </row>
    <row r="406" spans="1:8">
      <c r="A406" s="5">
        <f>(pima_data!A406-AVERAGE(pima_data!$A$1:$A$768))/_xlfn.STDEV.P(pima_data!$A$1:$A$768)</f>
        <v>-0.547918590722547</v>
      </c>
      <c r="B406" s="5">
        <f>(pima_data!B406-AVERAGE(pima_data!$B$1:$B$768))/_xlfn.STDEV.P(pima_data!$B$1:$B$768)</f>
        <v>0.0658951614503609</v>
      </c>
      <c r="C406" s="5">
        <f>(pima_data!C406-AVERAGE(pima_data!$C$1:$C$768))/_xlfn.STDEV.P(pima_data!$C$1:$C$768)</f>
        <v>-1.09110524487208</v>
      </c>
      <c r="D406" s="5">
        <f>(pima_data!D406-AVERAGE(pima_data!$D$1:$D$768))/_xlfn.STDEV.P(pima_data!$D$1:$D$768)</f>
        <v>0.719085741996565</v>
      </c>
      <c r="E406" s="5">
        <f>(pima_data!E406-AVERAGE(pima_data!$E$1:$E$768))/_xlfn.STDEV.P(pima_data!$E$1:$E$768)</f>
        <v>0.73978725496168</v>
      </c>
      <c r="F406" s="5">
        <f>(pima_data!F406-AVERAGE(pima_data!$F$1:$F$768))/_xlfn.STDEV.P(pima_data!$F$1:$F$768)</f>
        <v>1.28282635688566</v>
      </c>
      <c r="G406" s="5">
        <f>(pima_data!G406-AVERAGE(pima_data!$G$1:$G$768))/_xlfn.STDEV.P(pima_data!$G$1:$G$768)</f>
        <v>0.145339278901564</v>
      </c>
      <c r="H406" s="5">
        <f>(pima_data!H406-AVERAGE(pima_data!$H$1:$H$768))/_xlfn.STDEV.P(pima_data!$H$1:$H$768)</f>
        <v>-0.616110670809994</v>
      </c>
    </row>
    <row r="407" spans="1:8">
      <c r="A407" s="5">
        <f>(pima_data!A407-AVERAGE(pima_data!$A$1:$A$768))/_xlfn.STDEV.P(pima_data!$A$1:$A$768)</f>
        <v>0.0460143347184072</v>
      </c>
      <c r="B407" s="5">
        <f>(pima_data!B407-AVERAGE(pima_data!$B$1:$B$768))/_xlfn.STDEV.P(pima_data!$B$1:$B$768)</f>
        <v>-0.184482001166224</v>
      </c>
      <c r="C407" s="5">
        <f>(pima_data!C407-AVERAGE(pima_data!$C$1:$C$768))/_xlfn.STDEV.P(pima_data!$C$1:$C$768)</f>
        <v>0.149640752628208</v>
      </c>
      <c r="D407" s="5">
        <f>(pima_data!D407-AVERAGE(pima_data!$D$1:$D$768))/_xlfn.STDEV.P(pima_data!$D$1:$D$768)</f>
        <v>-1.28821221294523</v>
      </c>
      <c r="E407" s="5">
        <f>(pima_data!E407-AVERAGE(pima_data!$E$1:$E$768))/_xlfn.STDEV.P(pima_data!$E$1:$E$768)</f>
        <v>-0.692890572295466</v>
      </c>
      <c r="F407" s="5">
        <f>(pima_data!F407-AVERAGE(pima_data!$F$1:$F$768))/_xlfn.STDEV.P(pima_data!$F$1:$F$768)</f>
        <v>-0.392507681834346</v>
      </c>
      <c r="G407" s="5">
        <f>(pima_data!G407-AVERAGE(pima_data!$G$1:$G$768))/_xlfn.STDEV.P(pima_data!$G$1:$G$768)</f>
        <v>-0.289557810637698</v>
      </c>
      <c r="H407" s="5">
        <f>(pima_data!H407-AVERAGE(pima_data!$H$1:$H$768))/_xlfn.STDEV.P(pima_data!$H$1:$H$768)</f>
        <v>1.08564439188404</v>
      </c>
    </row>
    <row r="408" spans="1:8">
      <c r="A408" s="5">
        <f>(pima_data!A408-AVERAGE(pima_data!$A$1:$A$768))/_xlfn.STDEV.P(pima_data!$A$1:$A$768)</f>
        <v>-1.1418515161635</v>
      </c>
      <c r="B408" s="5">
        <f>(pima_data!B408-AVERAGE(pima_data!$B$1:$B$768))/_xlfn.STDEV.P(pima_data!$B$1:$B$768)</f>
        <v>-0.622642035745247</v>
      </c>
      <c r="C408" s="5">
        <f>(pima_data!C408-AVERAGE(pima_data!$C$1:$C$768))/_xlfn.STDEV.P(pima_data!$C$1:$C$768)</f>
        <v>-0.367336746330243</v>
      </c>
      <c r="D408" s="5">
        <f>(pima_data!D408-AVERAGE(pima_data!$D$1:$D$768))/_xlfn.STDEV.P(pima_data!$D$1:$D$768)</f>
        <v>-1.28821221294523</v>
      </c>
      <c r="E408" s="5">
        <f>(pima_data!E408-AVERAGE(pima_data!$E$1:$E$768))/_xlfn.STDEV.P(pima_data!$E$1:$E$768)</f>
        <v>-0.692890572295466</v>
      </c>
      <c r="F408" s="5">
        <f>(pima_data!F408-AVERAGE(pima_data!$F$1:$F$768))/_xlfn.STDEV.P(pima_data!$F$1:$F$768)</f>
        <v>-1.28094239933738</v>
      </c>
      <c r="G408" s="5">
        <f>(pima_data!G408-AVERAGE(pima_data!$G$1:$G$768))/_xlfn.STDEV.P(pima_data!$G$1:$G$768)</f>
        <v>-0.410362557731938</v>
      </c>
      <c r="H408" s="5">
        <f>(pima_data!H408-AVERAGE(pima_data!$H$1:$H$768))/_xlfn.STDEV.P(pima_data!$H$1:$H$768)</f>
        <v>-0.701198423944696</v>
      </c>
    </row>
    <row r="409" spans="1:8">
      <c r="A409" s="5">
        <f>(pima_data!A409-AVERAGE(pima_data!$A$1:$A$768))/_xlfn.STDEV.P(pima_data!$A$1:$A$768)</f>
        <v>1.23388018560032</v>
      </c>
      <c r="B409" s="5">
        <f>(pima_data!B409-AVERAGE(pima_data!$B$1:$B$768))/_xlfn.STDEV.P(pima_data!$B$1:$B$768)</f>
        <v>2.38188391565377</v>
      </c>
      <c r="C409" s="5">
        <f>(pima_data!C409-AVERAGE(pima_data!$C$1:$C$768))/_xlfn.STDEV.P(pima_data!$C$1:$C$768)</f>
        <v>0.253036252419898</v>
      </c>
      <c r="D409" s="5">
        <f>(pima_data!D409-AVERAGE(pima_data!$D$1:$D$768))/_xlfn.STDEV.P(pima_data!$D$1:$D$768)</f>
        <v>-1.28821221294523</v>
      </c>
      <c r="E409" s="5">
        <f>(pima_data!E409-AVERAGE(pima_data!$E$1:$E$768))/_xlfn.STDEV.P(pima_data!$E$1:$E$768)</f>
        <v>-0.692890572295466</v>
      </c>
      <c r="F409" s="5">
        <f>(pima_data!F409-AVERAGE(pima_data!$F$1:$F$768))/_xlfn.STDEV.P(pima_data!$F$1:$F$768)</f>
        <v>-0.773265417907076</v>
      </c>
      <c r="G409" s="5">
        <f>(pima_data!G409-AVERAGE(pima_data!$G$1:$G$768))/_xlfn.STDEV.P(pima_data!$G$1:$G$768)</f>
        <v>2.17183891140743</v>
      </c>
      <c r="H409" s="5">
        <f>(pima_data!H409-AVERAGE(pima_data!$H$1:$H$768))/_xlfn.STDEV.P(pima_data!$H$1:$H$768)</f>
        <v>0.490030119941127</v>
      </c>
    </row>
    <row r="410" spans="1:8">
      <c r="A410" s="5">
        <f>(pima_data!A410-AVERAGE(pima_data!$A$1:$A$768))/_xlfn.STDEV.P(pima_data!$A$1:$A$768)</f>
        <v>-0.844885053443025</v>
      </c>
      <c r="B410" s="5">
        <f>(pima_data!B410-AVERAGE(pima_data!$B$1:$B$768))/_xlfn.STDEV.P(pima_data!$B$1:$B$768)</f>
        <v>1.59945528247694</v>
      </c>
      <c r="C410" s="5">
        <f>(pima_data!C410-AVERAGE(pima_data!$C$1:$C$768))/_xlfn.STDEV.P(pima_data!$C$1:$C$768)</f>
        <v>-0.0571502469551726</v>
      </c>
      <c r="D410" s="5">
        <f>(pima_data!D410-AVERAGE(pima_data!$D$1:$D$768))/_xlfn.STDEV.P(pima_data!$D$1:$D$768)</f>
        <v>1.7854627805594</v>
      </c>
      <c r="E410" s="5">
        <f>(pima_data!E410-AVERAGE(pima_data!$E$1:$E$768))/_xlfn.STDEV.P(pima_data!$E$1:$E$768)</f>
        <v>4.3345061669887</v>
      </c>
      <c r="F410" s="5">
        <f>(pima_data!F410-AVERAGE(pima_data!$F$1:$F$768))/_xlfn.STDEV.P(pima_data!$F$1:$F$768)</f>
        <v>1.32090213049294</v>
      </c>
      <c r="G410" s="5">
        <f>(pima_data!G410-AVERAGE(pima_data!$G$1:$G$768))/_xlfn.STDEV.P(pima_data!$G$1:$G$768)</f>
        <v>0.695000878180354</v>
      </c>
      <c r="H410" s="5">
        <f>(pima_data!H410-AVERAGE(pima_data!$H$1:$H$768))/_xlfn.STDEV.P(pima_data!$H$1:$H$768)</f>
        <v>-0.445935164540591</v>
      </c>
    </row>
    <row r="411" spans="1:8">
      <c r="A411" s="5">
        <f>(pima_data!A411-AVERAGE(pima_data!$A$1:$A$768))/_xlfn.STDEV.P(pima_data!$A$1:$A$768)</f>
        <v>0.639947260159362</v>
      </c>
      <c r="B411" s="5">
        <f>(pima_data!B411-AVERAGE(pima_data!$B$1:$B$768))/_xlfn.STDEV.P(pima_data!$B$1:$B$768)</f>
        <v>-0.591344890418174</v>
      </c>
      <c r="C411" s="5">
        <f>(pima_data!C411-AVERAGE(pima_data!$C$1:$C$768))/_xlfn.STDEV.P(pima_data!$C$1:$C$768)</f>
        <v>1.08020025075342</v>
      </c>
      <c r="D411" s="5">
        <f>(pima_data!D411-AVERAGE(pima_data!$D$1:$D$768))/_xlfn.STDEV.P(pima_data!$D$1:$D$768)</f>
        <v>1.15818216964008</v>
      </c>
      <c r="E411" s="5">
        <f>(pima_data!E411-AVERAGE(pima_data!$E$1:$E$768))/_xlfn.STDEV.P(pima_data!$E$1:$E$768)</f>
        <v>-0.692890572295466</v>
      </c>
      <c r="F411" s="5">
        <f>(pima_data!F411-AVERAGE(pima_data!$F$1:$F$768))/_xlfn.STDEV.P(pima_data!$F$1:$F$768)</f>
        <v>0.470543186597175</v>
      </c>
      <c r="G411" s="5">
        <f>(pima_data!G411-AVERAGE(pima_data!$G$1:$G$768))/_xlfn.STDEV.P(pima_data!$G$1:$G$768)</f>
        <v>0.610437555214387</v>
      </c>
      <c r="H411" s="5">
        <f>(pima_data!H411-AVERAGE(pima_data!$H$1:$H$768))/_xlfn.STDEV.P(pima_data!$H$1:$H$768)</f>
        <v>-0.445935164540591</v>
      </c>
    </row>
    <row r="412" spans="1:8">
      <c r="A412" s="5">
        <f>(pima_data!A412-AVERAGE(pima_data!$A$1:$A$768))/_xlfn.STDEV.P(pima_data!$A$1:$A$768)</f>
        <v>-0.844885053443025</v>
      </c>
      <c r="B412" s="5">
        <f>(pima_data!B412-AVERAGE(pima_data!$B$1:$B$768))/_xlfn.STDEV.P(pima_data!$B$1:$B$768)</f>
        <v>-0.278373437147443</v>
      </c>
      <c r="C412" s="5">
        <f>(pima_data!C412-AVERAGE(pima_data!$C$1:$C$768))/_xlfn.STDEV.P(pima_data!$C$1:$C$768)</f>
        <v>0.149640752628208</v>
      </c>
      <c r="D412" s="5">
        <f>(pima_data!D412-AVERAGE(pima_data!$D$1:$D$768))/_xlfn.STDEV.P(pima_data!$D$1:$D$768)</f>
        <v>0.593629619812703</v>
      </c>
      <c r="E412" s="5">
        <f>(pima_data!E412-AVERAGE(pima_data!$E$1:$E$768))/_xlfn.STDEV.P(pima_data!$E$1:$E$768)</f>
        <v>0.835299110112157</v>
      </c>
      <c r="F412" s="5">
        <f>(pima_data!F412-AVERAGE(pima_data!$F$1:$F$768))/_xlfn.STDEV.P(pima_data!$F$1:$F$768)</f>
        <v>0.305548167632325</v>
      </c>
      <c r="G412" s="5">
        <f>(pima_data!G412-AVERAGE(pima_data!$G$1:$G$768))/_xlfn.STDEV.P(pima_data!$G$1:$G$768)</f>
        <v>0.169500228320412</v>
      </c>
      <c r="H412" s="5">
        <f>(pima_data!H412-AVERAGE(pima_data!$H$1:$H$768))/_xlfn.STDEV.P(pima_data!$H$1:$H$768)</f>
        <v>-0.701198423944696</v>
      </c>
    </row>
    <row r="413" spans="1:8">
      <c r="A413" s="5">
        <f>(pima_data!A413-AVERAGE(pima_data!$A$1:$A$768))/_xlfn.STDEV.P(pima_data!$A$1:$A$768)</f>
        <v>-0.844885053443025</v>
      </c>
      <c r="B413" s="5">
        <f>(pima_data!B413-AVERAGE(pima_data!$B$1:$B$768))/_xlfn.STDEV.P(pima_data!$B$1:$B$768)</f>
        <v>0.691838067991823</v>
      </c>
      <c r="C413" s="5">
        <f>(pima_data!C413-AVERAGE(pima_data!$C$1:$C$768))/_xlfn.STDEV.P(pima_data!$C$1:$C$768)</f>
        <v>0.77001375137835</v>
      </c>
      <c r="D413" s="5">
        <f>(pima_data!D413-AVERAGE(pima_data!$D$1:$D$768))/_xlfn.STDEV.P(pima_data!$D$1:$D$768)</f>
        <v>0.154533192169185</v>
      </c>
      <c r="E413" s="5">
        <f>(pima_data!E413-AVERAGE(pima_data!$E$1:$E$768))/_xlfn.STDEV.P(pima_data!$E$1:$E$768)</f>
        <v>1.99880716376342</v>
      </c>
      <c r="F413" s="5">
        <f>(pima_data!F413-AVERAGE(pima_data!$F$1:$F$768))/_xlfn.STDEV.P(pima_data!$F$1:$F$768)</f>
        <v>1.32090213049294</v>
      </c>
      <c r="G413" s="5">
        <f>(pima_data!G413-AVERAGE(pima_data!$G$1:$G$768))/_xlfn.STDEV.P(pima_data!$G$1:$G$768)</f>
        <v>1.82452526351149</v>
      </c>
      <c r="H413" s="5">
        <f>(pima_data!H413-AVERAGE(pima_data!$H$1:$H$768))/_xlfn.STDEV.P(pima_data!$H$1:$H$768)</f>
        <v>-0.956461683348801</v>
      </c>
    </row>
    <row r="414" spans="1:8">
      <c r="A414" s="5">
        <f>(pima_data!A414-AVERAGE(pima_data!$A$1:$A$768))/_xlfn.STDEV.P(pima_data!$A$1:$A$768)</f>
        <v>-0.844885053443025</v>
      </c>
      <c r="B414" s="5">
        <f>(pima_data!B414-AVERAGE(pima_data!$B$1:$B$768))/_xlfn.STDEV.P(pima_data!$B$1:$B$768)</f>
        <v>0.691838067991823</v>
      </c>
      <c r="C414" s="5">
        <f>(pima_data!C414-AVERAGE(pima_data!$C$1:$C$768))/_xlfn.STDEV.P(pima_data!$C$1:$C$768)</f>
        <v>0.253036252419898</v>
      </c>
      <c r="D414" s="5">
        <f>(pima_data!D414-AVERAGE(pima_data!$D$1:$D$768))/_xlfn.STDEV.P(pima_data!$D$1:$D$768)</f>
        <v>0.0918051310772535</v>
      </c>
      <c r="E414" s="5">
        <f>(pima_data!E414-AVERAGE(pima_data!$E$1:$E$768))/_xlfn.STDEV.P(pima_data!$E$1:$E$768)</f>
        <v>-0.163233921006461</v>
      </c>
      <c r="F414" s="5">
        <f>(pima_data!F414-AVERAGE(pima_data!$F$1:$F$768))/_xlfn.STDEV.P(pima_data!$F$1:$F$768)</f>
        <v>-0.735189644299803</v>
      </c>
      <c r="G414" s="5">
        <f>(pima_data!G414-AVERAGE(pima_data!$G$1:$G$768))/_xlfn.STDEV.P(pima_data!$G$1:$G$768)</f>
        <v>-0.651972051920417</v>
      </c>
      <c r="H414" s="5">
        <f>(pima_data!H414-AVERAGE(pima_data!$H$1:$H$768))/_xlfn.STDEV.P(pima_data!$H$1:$H$768)</f>
        <v>-1.0415494364835</v>
      </c>
    </row>
    <row r="415" spans="1:8">
      <c r="A415" s="5">
        <f>(pima_data!A415-AVERAGE(pima_data!$A$1:$A$768))/_xlfn.STDEV.P(pima_data!$A$1:$A$768)</f>
        <v>-1.1418515161635</v>
      </c>
      <c r="B415" s="5">
        <f>(pima_data!B415-AVERAGE(pima_data!$B$1:$B$768))/_xlfn.STDEV.P(pima_data!$B$1:$B$768)</f>
        <v>0.535352341356457</v>
      </c>
      <c r="C415" s="5">
        <f>(pima_data!C415-AVERAGE(pima_data!$C$1:$C$768))/_xlfn.STDEV.P(pima_data!$C$1:$C$768)</f>
        <v>-0.470732246121934</v>
      </c>
      <c r="D415" s="5">
        <f>(pima_data!D415-AVERAGE(pima_data!$D$1:$D$768))/_xlfn.STDEV.P(pima_data!$D$1:$D$768)</f>
        <v>0.907269925272359</v>
      </c>
      <c r="E415" s="5">
        <f>(pima_data!E415-AVERAGE(pima_data!$E$1:$E$768))/_xlfn.STDEV.P(pima_data!$E$1:$E$768)</f>
        <v>0.757153046807222</v>
      </c>
      <c r="F415" s="5">
        <f>(pima_data!F415-AVERAGE(pima_data!$F$1:$F$768))/_xlfn.STDEV.P(pima_data!$F$1:$F$768)</f>
        <v>0.33093201670384</v>
      </c>
      <c r="G415" s="5">
        <f>(pima_data!G415-AVERAGE(pima_data!$G$1:$G$768))/_xlfn.STDEV.P(pima_data!$G$1:$G$768)</f>
        <v>0.187620940384548</v>
      </c>
      <c r="H415" s="5">
        <f>(pima_data!H415-AVERAGE(pima_data!$H$1:$H$768))/_xlfn.STDEV.P(pima_data!$H$1:$H$768)</f>
        <v>-1.0415494364835</v>
      </c>
    </row>
    <row r="416" spans="1:8">
      <c r="A416" s="5">
        <f>(pima_data!A416-AVERAGE(pima_data!$A$1:$A$768))/_xlfn.STDEV.P(pima_data!$A$1:$A$768)</f>
        <v>-0.25095212800207</v>
      </c>
      <c r="B416" s="5">
        <f>(pima_data!B416-AVERAGE(pima_data!$B$1:$B$768))/_xlfn.STDEV.P(pima_data!$B$1:$B$768)</f>
        <v>1.63075242780402</v>
      </c>
      <c r="C416" s="5">
        <f>(pima_data!C416-AVERAGE(pima_data!$C$1:$C$768))/_xlfn.STDEV.P(pima_data!$C$1:$C$768)</f>
        <v>0.77001375137835</v>
      </c>
      <c r="D416" s="5">
        <f>(pima_data!D416-AVERAGE(pima_data!$D$1:$D$768))/_xlfn.STDEV.P(pima_data!$D$1:$D$768)</f>
        <v>0.781813803088497</v>
      </c>
      <c r="E416" s="5">
        <f>(pima_data!E416-AVERAGE(pima_data!$E$1:$E$768))/_xlfn.STDEV.P(pima_data!$E$1:$E$768)</f>
        <v>3.42280209509779</v>
      </c>
      <c r="F416" s="5">
        <f>(pima_data!F416-AVERAGE(pima_data!$F$1:$F$768))/_xlfn.STDEV.P(pima_data!$F$1:$F$768)</f>
        <v>0.470543186597175</v>
      </c>
      <c r="G416" s="5">
        <f>(pima_data!G416-AVERAGE(pima_data!$G$1:$G$768))/_xlfn.STDEV.P(pima_data!$G$1:$G$768)</f>
        <v>-0.645931814565705</v>
      </c>
      <c r="H416" s="5">
        <f>(pima_data!H416-AVERAGE(pima_data!$H$1:$H$768))/_xlfn.STDEV.P(pima_data!$H$1:$H$768)</f>
        <v>-0.956461683348801</v>
      </c>
    </row>
    <row r="417" spans="1:8">
      <c r="A417" s="5">
        <f>(pima_data!A417-AVERAGE(pima_data!$A$1:$A$768))/_xlfn.STDEV.P(pima_data!$A$1:$A$768)</f>
        <v>-0.844885053443025</v>
      </c>
      <c r="B417" s="5">
        <f>(pima_data!B417-AVERAGE(pima_data!$B$1:$B$768))/_xlfn.STDEV.P(pima_data!$B$1:$B$768)</f>
        <v>-0.74783061705354</v>
      </c>
      <c r="C417" s="5">
        <f>(pima_data!C417-AVERAGE(pima_data!$C$1:$C$768))/_xlfn.STDEV.P(pima_data!$C$1:$C$768)</f>
        <v>-0.0571502469551726</v>
      </c>
      <c r="D417" s="5">
        <f>(pima_data!D417-AVERAGE(pima_data!$D$1:$D$768))/_xlfn.STDEV.P(pima_data!$D$1:$D$768)</f>
        <v>0.0290770699853223</v>
      </c>
      <c r="E417" s="5">
        <f>(pima_data!E417-AVERAGE(pima_data!$E$1:$E$768))/_xlfn.STDEV.P(pima_data!$E$1:$E$768)</f>
        <v>-0.692890572295466</v>
      </c>
      <c r="F417" s="5">
        <f>(pima_data!F417-AVERAGE(pima_data!$F$1:$F$768))/_xlfn.STDEV.P(pima_data!$F$1:$F$768)</f>
        <v>-0.608270398942226</v>
      </c>
      <c r="G417" s="5">
        <f>(pima_data!G417-AVERAGE(pima_data!$G$1:$G$768))/_xlfn.STDEV.P(pima_data!$G$1:$G$768)</f>
        <v>1.88190751838126</v>
      </c>
      <c r="H417" s="5">
        <f>(pima_data!H417-AVERAGE(pima_data!$H$1:$H$768))/_xlfn.STDEV.P(pima_data!$H$1:$H$768)</f>
        <v>-0.956461683348801</v>
      </c>
    </row>
    <row r="418" spans="1:8">
      <c r="A418" s="5">
        <f>(pima_data!A418-AVERAGE(pima_data!$A$1:$A$768))/_xlfn.STDEV.P(pima_data!$A$1:$A$768)</f>
        <v>0.0460143347184072</v>
      </c>
      <c r="B418" s="5">
        <f>(pima_data!B418-AVERAGE(pima_data!$B$1:$B$768))/_xlfn.STDEV.P(pima_data!$B$1:$B$768)</f>
        <v>0.723135213318896</v>
      </c>
      <c r="C418" s="5">
        <f>(pima_data!C418-AVERAGE(pima_data!$C$1:$C$768))/_xlfn.STDEV.P(pima_data!$C$1:$C$768)</f>
        <v>0.666618251586659</v>
      </c>
      <c r="D418" s="5">
        <f>(pima_data!D418-AVERAGE(pima_data!$D$1:$D$768))/_xlfn.STDEV.P(pima_data!$D$1:$D$768)</f>
        <v>0.719085741996565</v>
      </c>
      <c r="E418" s="5">
        <f>(pima_data!E418-AVERAGE(pima_data!$E$1:$E$768))/_xlfn.STDEV.P(pima_data!$E$1:$E$768)</f>
        <v>-0.692890572295466</v>
      </c>
      <c r="F418" s="5">
        <f>(pima_data!F418-AVERAGE(pima_data!$F$1:$F$768))/_xlfn.STDEV.P(pima_data!$F$1:$F$768)</f>
        <v>0.825917073598389</v>
      </c>
      <c r="G418" s="5">
        <f>(pima_data!G418-AVERAGE(pima_data!$G$1:$G$768))/_xlfn.STDEV.P(pima_data!$G$1:$G$768)</f>
        <v>0.248023313931668</v>
      </c>
      <c r="H418" s="5">
        <f>(pima_data!H418-AVERAGE(pima_data!$H$1:$H$768))/_xlfn.STDEV.P(pima_data!$H$1:$H$768)</f>
        <v>0.319854613671724</v>
      </c>
    </row>
    <row r="419" spans="1:8">
      <c r="A419" s="5">
        <f>(pima_data!A419-AVERAGE(pima_data!$A$1:$A$768))/_xlfn.STDEV.P(pima_data!$A$1:$A$768)</f>
        <v>-0.844885053443025</v>
      </c>
      <c r="B419" s="5">
        <f>(pima_data!B419-AVERAGE(pima_data!$B$1:$B$768))/_xlfn.STDEV.P(pima_data!$B$1:$B$768)</f>
        <v>-1.18599065163256</v>
      </c>
      <c r="C419" s="5">
        <f>(pima_data!C419-AVERAGE(pima_data!$C$1:$C$768))/_xlfn.STDEV.P(pima_data!$C$1:$C$768)</f>
        <v>-0.0571502469551726</v>
      </c>
      <c r="D419" s="5">
        <f>(pima_data!D419-AVERAGE(pima_data!$D$1:$D$768))/_xlfn.STDEV.P(pima_data!$D$1:$D$768)</f>
        <v>-1.28821221294523</v>
      </c>
      <c r="E419" s="5">
        <f>(pima_data!E419-AVERAGE(pima_data!$E$1:$E$768))/_xlfn.STDEV.P(pima_data!$E$1:$E$768)</f>
        <v>-0.692890572295466</v>
      </c>
      <c r="F419" s="5">
        <f>(pima_data!F419-AVERAGE(pima_data!$F$1:$F$768))/_xlfn.STDEV.P(pima_data!$F$1:$F$768)</f>
        <v>-1.75054360716042</v>
      </c>
      <c r="G419" s="5">
        <f>(pima_data!G419-AVERAGE(pima_data!$G$1:$G$768))/_xlfn.STDEV.P(pima_data!$G$1:$G$768)</f>
        <v>0.459431621346587</v>
      </c>
      <c r="H419" s="5">
        <f>(pima_data!H419-AVERAGE(pima_data!$H$1:$H$768))/_xlfn.STDEV.P(pima_data!$H$1:$H$768)</f>
        <v>-0.531022917675293</v>
      </c>
    </row>
    <row r="420" spans="1:8">
      <c r="A420" s="5">
        <f>(pima_data!A420-AVERAGE(pima_data!$A$1:$A$768))/_xlfn.STDEV.P(pima_data!$A$1:$A$768)</f>
        <v>-0.25095212800207</v>
      </c>
      <c r="B420" s="5">
        <f>(pima_data!B420-AVERAGE(pima_data!$B$1:$B$768))/_xlfn.STDEV.P(pima_data!$B$1:$B$768)</f>
        <v>0.253678033412799</v>
      </c>
      <c r="C420" s="5">
        <f>(pima_data!C420-AVERAGE(pima_data!$C$1:$C$768))/_xlfn.STDEV.P(pima_data!$C$1:$C$768)</f>
        <v>-0.263941246538553</v>
      </c>
      <c r="D420" s="5">
        <f>(pima_data!D420-AVERAGE(pima_data!$D$1:$D$768))/_xlfn.STDEV.P(pima_data!$D$1:$D$768)</f>
        <v>0.530901558720772</v>
      </c>
      <c r="E420" s="5">
        <f>(pima_data!E420-AVERAGE(pima_data!$E$1:$E$768))/_xlfn.STDEV.P(pima_data!$E$1:$E$768)</f>
        <v>0.305642458823151</v>
      </c>
      <c r="F420" s="5">
        <f>(pima_data!F420-AVERAGE(pima_data!$F$1:$F$768))/_xlfn.STDEV.P(pima_data!$F$1:$F$768)</f>
        <v>-0.709805795228287</v>
      </c>
      <c r="G420" s="5">
        <f>(pima_data!G420-AVERAGE(pima_data!$G$1:$G$768))/_xlfn.STDEV.P(pima_data!$G$1:$G$768)</f>
        <v>-0.763716442982588</v>
      </c>
      <c r="H420" s="5">
        <f>(pima_data!H420-AVERAGE(pima_data!$H$1:$H$768))/_xlfn.STDEV.P(pima_data!$H$1:$H$768)</f>
        <v>-0.445935164540591</v>
      </c>
    </row>
    <row r="421" spans="1:8">
      <c r="A421" s="5">
        <f>(pima_data!A421-AVERAGE(pima_data!$A$1:$A$768))/_xlfn.STDEV.P(pima_data!$A$1:$A$768)</f>
        <v>-0.844885053443025</v>
      </c>
      <c r="B421" s="5">
        <f>(pima_data!B421-AVERAGE(pima_data!$B$1:$B$768))/_xlfn.STDEV.P(pima_data!$B$1:$B$768)</f>
        <v>-0.0592934198579315</v>
      </c>
      <c r="C421" s="5">
        <f>(pima_data!C421-AVERAGE(pima_data!$C$1:$C$768))/_xlfn.STDEV.P(pima_data!$C$1:$C$768)</f>
        <v>0.97680475096173</v>
      </c>
      <c r="D421" s="5">
        <f>(pima_data!D421-AVERAGE(pima_data!$D$1:$D$768))/_xlfn.STDEV.P(pima_data!$D$1:$D$768)</f>
        <v>1.28363829182395</v>
      </c>
      <c r="E421" s="5">
        <f>(pima_data!E421-AVERAGE(pima_data!$E$1:$E$768))/_xlfn.STDEV.P(pima_data!$E$1:$E$768)</f>
        <v>0.783201734575533</v>
      </c>
      <c r="F421" s="5">
        <f>(pima_data!F421-AVERAGE(pima_data!$F$1:$F$768))/_xlfn.STDEV.P(pima_data!$F$1:$F$768)</f>
        <v>1.68896794202991</v>
      </c>
      <c r="G421" s="5">
        <f>(pima_data!G421-AVERAGE(pima_data!$G$1:$G$768))/_xlfn.STDEV.P(pima_data!$G$1:$G$768)</f>
        <v>0.106077736095937</v>
      </c>
      <c r="H421" s="5">
        <f>(pima_data!H421-AVERAGE(pima_data!$H$1:$H$768))/_xlfn.STDEV.P(pima_data!$H$1:$H$768)</f>
        <v>-0.616110670809994</v>
      </c>
    </row>
    <row r="422" spans="1:8">
      <c r="A422" s="5">
        <f>(pima_data!A422-AVERAGE(pima_data!$A$1:$A$768))/_xlfn.STDEV.P(pima_data!$A$1:$A$768)</f>
        <v>-0.547918590722547</v>
      </c>
      <c r="B422" s="5">
        <f>(pima_data!B422-AVERAGE(pima_data!$B$1:$B$768))/_xlfn.STDEV.P(pima_data!$B$1:$B$768)</f>
        <v>-0.841722053034759</v>
      </c>
      <c r="C422" s="5">
        <f>(pima_data!C422-AVERAGE(pima_data!$C$1:$C$768))/_xlfn.STDEV.P(pima_data!$C$1:$C$768)</f>
        <v>-0.0571502469551726</v>
      </c>
      <c r="D422" s="5">
        <f>(pima_data!D422-AVERAGE(pima_data!$D$1:$D$768))/_xlfn.STDEV.P(pima_data!$D$1:$D$768)</f>
        <v>-0.159107113290471</v>
      </c>
      <c r="E422" s="5">
        <f>(pima_data!E422-AVERAGE(pima_data!$E$1:$E$768))/_xlfn.STDEV.P(pima_data!$E$1:$E$768)</f>
        <v>-0.0329904821649018</v>
      </c>
      <c r="F422" s="5">
        <f>(pima_data!F422-AVERAGE(pima_data!$F$1:$F$768))/_xlfn.STDEV.P(pima_data!$F$1:$F$768)</f>
        <v>-0.760573493371318</v>
      </c>
      <c r="G422" s="5">
        <f>(pima_data!G422-AVERAGE(pima_data!$G$1:$G$768))/_xlfn.STDEV.P(pima_data!$G$1:$G$768)</f>
        <v>0.26916414467316</v>
      </c>
      <c r="H422" s="5">
        <f>(pima_data!H422-AVERAGE(pima_data!$H$1:$H$768))/_xlfn.STDEV.P(pima_data!$H$1:$H$768)</f>
        <v>-1.0415494364835</v>
      </c>
    </row>
    <row r="423" spans="1:8">
      <c r="A423" s="5">
        <f>(pima_data!A423-AVERAGE(pima_data!$A$1:$A$768))/_xlfn.STDEV.P(pima_data!$A$1:$A$768)</f>
        <v>-1.1418515161635</v>
      </c>
      <c r="B423" s="5">
        <f>(pima_data!B423-AVERAGE(pima_data!$B$1:$B$768))/_xlfn.STDEV.P(pima_data!$B$1:$B$768)</f>
        <v>-0.591344890418174</v>
      </c>
      <c r="C423" s="5">
        <f>(pima_data!C423-AVERAGE(pima_data!$C$1:$C$768))/_xlfn.STDEV.P(pima_data!$C$1:$C$768)</f>
        <v>-0.263941246538553</v>
      </c>
      <c r="D423" s="5">
        <f>(pima_data!D423-AVERAGE(pima_data!$D$1:$D$768))/_xlfn.STDEV.P(pima_data!$D$1:$D$768)</f>
        <v>1.5972785972836</v>
      </c>
      <c r="E423" s="5">
        <f>(pima_data!E423-AVERAGE(pima_data!$E$1:$E$768))/_xlfn.STDEV.P(pima_data!$E$1:$E$768)</f>
        <v>-0.0156246903193607</v>
      </c>
      <c r="F423" s="5">
        <f>(pima_data!F423-AVERAGE(pima_data!$F$1:$F$768))/_xlfn.STDEV.P(pima_data!$F$1:$F$768)</f>
        <v>1.0924474888493</v>
      </c>
      <c r="G423" s="5">
        <f>(pima_data!G423-AVERAGE(pima_data!$G$1:$G$768))/_xlfn.STDEV.P(pima_data!$G$1:$G$768)</f>
        <v>0.0728564306450207</v>
      </c>
      <c r="H423" s="5">
        <f>(pima_data!H423-AVERAGE(pima_data!$H$1:$H$768))/_xlfn.STDEV.P(pima_data!$H$1:$H$768)</f>
        <v>-1.0415494364835</v>
      </c>
    </row>
    <row r="424" spans="1:8">
      <c r="A424" s="5">
        <f>(pima_data!A424-AVERAGE(pima_data!$A$1:$A$768))/_xlfn.STDEV.P(pima_data!$A$1:$A$768)</f>
        <v>-0.547918590722547</v>
      </c>
      <c r="B424" s="5">
        <f>(pima_data!B424-AVERAGE(pima_data!$B$1:$B$768))/_xlfn.STDEV.P(pima_data!$B$1:$B$768)</f>
        <v>-0.184482001166224</v>
      </c>
      <c r="C424" s="5">
        <f>(pima_data!C424-AVERAGE(pima_data!$C$1:$C$768))/_xlfn.STDEV.P(pima_data!$C$1:$C$768)</f>
        <v>-0.263941246538553</v>
      </c>
      <c r="D424" s="5">
        <f>(pima_data!D424-AVERAGE(pima_data!$D$1:$D$768))/_xlfn.STDEV.P(pima_data!$D$1:$D$768)</f>
        <v>0.0918051310772535</v>
      </c>
      <c r="E424" s="5">
        <f>(pima_data!E424-AVERAGE(pima_data!$E$1:$E$768))/_xlfn.STDEV.P(pima_data!$E$1:$E$768)</f>
        <v>-0.692890572295466</v>
      </c>
      <c r="F424" s="5">
        <f>(pima_data!F424-AVERAGE(pima_data!$F$1:$F$768))/_xlfn.STDEV.P(pima_data!$F$1:$F$768)</f>
        <v>-0.151361115654951</v>
      </c>
      <c r="G424" s="5">
        <f>(pima_data!G424-AVERAGE(pima_data!$G$1:$G$768))/_xlfn.STDEV.P(pima_data!$G$1:$G$768)</f>
        <v>-0.153652470156679</v>
      </c>
      <c r="H424" s="5">
        <f>(pima_data!H424-AVERAGE(pima_data!$H$1:$H$768))/_xlfn.STDEV.P(pima_data!$H$1:$H$768)</f>
        <v>-1.0415494364835</v>
      </c>
    </row>
    <row r="425" spans="1:8">
      <c r="A425" s="5">
        <f>(pima_data!A425-AVERAGE(pima_data!$A$1:$A$768))/_xlfn.STDEV.P(pima_data!$A$1:$A$768)</f>
        <v>1.23388018560032</v>
      </c>
      <c r="B425" s="5">
        <f>(pima_data!B425-AVERAGE(pima_data!$B$1:$B$768))/_xlfn.STDEV.P(pima_data!$B$1:$B$768)</f>
        <v>0.942215230608408</v>
      </c>
      <c r="C425" s="5">
        <f>(pima_data!C425-AVERAGE(pima_data!$C$1:$C$768))/_xlfn.STDEV.P(pima_data!$C$1:$C$768)</f>
        <v>0.459827252003279</v>
      </c>
      <c r="D425" s="5">
        <f>(pima_data!D425-AVERAGE(pima_data!$D$1:$D$768))/_xlfn.STDEV.P(pima_data!$D$1:$D$768)</f>
        <v>0.719085741996565</v>
      </c>
      <c r="E425" s="5">
        <f>(pima_data!E425-AVERAGE(pima_data!$E$1:$E$768))/_xlfn.STDEV.P(pima_data!$E$1:$E$768)</f>
        <v>1.13051757148636</v>
      </c>
      <c r="F425" s="5">
        <f>(pima_data!F425-AVERAGE(pima_data!$F$1:$F$768))/_xlfn.STDEV.P(pima_data!$F$1:$F$768)</f>
        <v>1.38436175317173</v>
      </c>
      <c r="G425" s="5">
        <f>(pima_data!G425-AVERAGE(pima_data!$G$1:$G$768))/_xlfn.STDEV.P(pima_data!$G$1:$G$768)</f>
        <v>0.133258804192141</v>
      </c>
      <c r="H425" s="5">
        <f>(pima_data!H425-AVERAGE(pima_data!$H$1:$H$768))/_xlfn.STDEV.P(pima_data!$H$1:$H$768)</f>
        <v>0.234766860537022</v>
      </c>
    </row>
    <row r="426" spans="1:8">
      <c r="A426" s="5">
        <f>(pima_data!A426-AVERAGE(pima_data!$A$1:$A$768))/_xlfn.STDEV.P(pima_data!$A$1:$A$768)</f>
        <v>0.0460143347184072</v>
      </c>
      <c r="B426" s="5">
        <f>(pima_data!B426-AVERAGE(pima_data!$B$1:$B$768))/_xlfn.STDEV.P(pima_data!$B$1:$B$768)</f>
        <v>1.97502102640182</v>
      </c>
      <c r="C426" s="5">
        <f>(pima_data!C426-AVERAGE(pima_data!$C$1:$C$768))/_xlfn.STDEV.P(pima_data!$C$1:$C$768)</f>
        <v>0.459827252003279</v>
      </c>
      <c r="D426" s="5">
        <f>(pima_data!D426-AVERAGE(pima_data!$D$1:$D$768))/_xlfn.STDEV.P(pima_data!$D$1:$D$768)</f>
        <v>1.15818216964008</v>
      </c>
      <c r="E426" s="5">
        <f>(pima_data!E426-AVERAGE(pima_data!$E$1:$E$768))/_xlfn.STDEV.P(pima_data!$E$1:$E$768)</f>
        <v>1.71227159831199</v>
      </c>
      <c r="F426" s="5">
        <f>(pima_data!F426-AVERAGE(pima_data!$F$1:$F$768))/_xlfn.STDEV.P(pima_data!$F$1:$F$768)</f>
        <v>0.635538205562024</v>
      </c>
      <c r="G426" s="5">
        <f>(pima_data!G426-AVERAGE(pima_data!$G$1:$G$768))/_xlfn.STDEV.P(pima_data!$G$1:$G$768)</f>
        <v>-0.627811102501569</v>
      </c>
      <c r="H426" s="5">
        <f>(pima_data!H426-AVERAGE(pima_data!$H$1:$H$768))/_xlfn.STDEV.P(pima_data!$H$1:$H$768)</f>
        <v>-0.190671905136486</v>
      </c>
    </row>
    <row r="427" spans="1:8">
      <c r="A427" s="5">
        <f>(pima_data!A427-AVERAGE(pima_data!$A$1:$A$768))/_xlfn.STDEV.P(pima_data!$A$1:$A$768)</f>
        <v>-1.1418515161635</v>
      </c>
      <c r="B427" s="5">
        <f>(pima_data!B427-AVERAGE(pima_data!$B$1:$B$768))/_xlfn.STDEV.P(pima_data!$B$1:$B$768)</f>
        <v>-0.841722053034759</v>
      </c>
      <c r="C427" s="5">
        <f>(pima_data!C427-AVERAGE(pima_data!$C$1:$C$768))/_xlfn.STDEV.P(pima_data!$C$1:$C$768)</f>
        <v>-3.57259723987264</v>
      </c>
      <c r="D427" s="5">
        <f>(pima_data!D427-AVERAGE(pima_data!$D$1:$D$768))/_xlfn.STDEV.P(pima_data!$D$1:$D$768)</f>
        <v>-1.28821221294523</v>
      </c>
      <c r="E427" s="5">
        <f>(pima_data!E427-AVERAGE(pima_data!$E$1:$E$768))/_xlfn.STDEV.P(pima_data!$E$1:$E$768)</f>
        <v>-0.692890572295466</v>
      </c>
      <c r="F427" s="5">
        <f>(pima_data!F427-AVERAGE(pima_data!$F$1:$F$768))/_xlfn.STDEV.P(pima_data!$F$1:$F$768)</f>
        <v>-4.06047387266831</v>
      </c>
      <c r="G427" s="5">
        <f>(pima_data!G427-AVERAGE(pima_data!$G$1:$G$768))/_xlfn.STDEV.P(pima_data!$G$1:$G$768)</f>
        <v>-0.651972051920417</v>
      </c>
      <c r="H427" s="5">
        <f>(pima_data!H427-AVERAGE(pima_data!$H$1:$H$768))/_xlfn.STDEV.P(pima_data!$H$1:$H$768)</f>
        <v>-0.701198423944696</v>
      </c>
    </row>
    <row r="428" spans="1:8">
      <c r="A428" s="5">
        <f>(pima_data!A428-AVERAGE(pima_data!$A$1:$A$768))/_xlfn.STDEV.P(pima_data!$A$1:$A$768)</f>
        <v>-0.844885053443025</v>
      </c>
      <c r="B428" s="5">
        <f>(pima_data!B428-AVERAGE(pima_data!$B$1:$B$768))/_xlfn.STDEV.P(pima_data!$B$1:$B$768)</f>
        <v>1.8811295904206</v>
      </c>
      <c r="C428" s="5">
        <f>(pima_data!C428-AVERAGE(pima_data!$C$1:$C$768))/_xlfn.STDEV.P(pima_data!$C$1:$C$768)</f>
        <v>-0.263941246538553</v>
      </c>
      <c r="D428" s="5">
        <f>(pima_data!D428-AVERAGE(pima_data!$D$1:$D$768))/_xlfn.STDEV.P(pima_data!$D$1:$D$768)</f>
        <v>0.593629619812703</v>
      </c>
      <c r="E428" s="5">
        <f>(pima_data!E428-AVERAGE(pima_data!$E$1:$E$768))/_xlfn.STDEV.P(pima_data!$E$1:$E$768)</f>
        <v>0.870030693803239</v>
      </c>
      <c r="F428" s="5">
        <f>(pima_data!F428-AVERAGE(pima_data!$F$1:$F$768))/_xlfn.STDEV.P(pima_data!$F$1:$F$768)</f>
        <v>0.267472394025052</v>
      </c>
      <c r="G428" s="5">
        <f>(pima_data!G428-AVERAGE(pima_data!$G$1:$G$768))/_xlfn.STDEV.P(pima_data!$G$1:$G$768)</f>
        <v>-0.434523507150785</v>
      </c>
      <c r="H428" s="5">
        <f>(pima_data!H428-AVERAGE(pima_data!$H$1:$H$768))/_xlfn.STDEV.P(pima_data!$H$1:$H$768)</f>
        <v>0.404942366806425</v>
      </c>
    </row>
    <row r="429" spans="1:8">
      <c r="A429" s="5">
        <f>(pima_data!A429-AVERAGE(pima_data!$A$1:$A$768))/_xlfn.STDEV.P(pima_data!$A$1:$A$768)</f>
        <v>-1.1418515161635</v>
      </c>
      <c r="B429" s="5">
        <f>(pima_data!B429-AVERAGE(pima_data!$B$1:$B$768))/_xlfn.STDEV.P(pima_data!$B$1:$B$768)</f>
        <v>0.441460905375238</v>
      </c>
      <c r="C429" s="5">
        <f>(pima_data!C429-AVERAGE(pima_data!$C$1:$C$768))/_xlfn.STDEV.P(pima_data!$C$1:$C$768)</f>
        <v>1.2869912503368</v>
      </c>
      <c r="D429" s="5">
        <f>(pima_data!D429-AVERAGE(pima_data!$D$1:$D$768))/_xlfn.STDEV.P(pima_data!$D$1:$D$768)</f>
        <v>1.5972785972836</v>
      </c>
      <c r="E429" s="5">
        <f>(pima_data!E429-AVERAGE(pima_data!$E$1:$E$768))/_xlfn.STDEV.P(pima_data!$E$1:$E$768)</f>
        <v>0.566129336506269</v>
      </c>
      <c r="F429" s="5">
        <f>(pima_data!F429-AVERAGE(pima_data!$F$1:$F$768))/_xlfn.STDEV.P(pima_data!$F$1:$F$768)</f>
        <v>1.0924474888493</v>
      </c>
      <c r="G429" s="5">
        <f>(pima_data!G429-AVERAGE(pima_data!$G$1:$G$768))/_xlfn.STDEV.P(pima_data!$G$1:$G$768)</f>
        <v>-0.567408728954449</v>
      </c>
      <c r="H429" s="5">
        <f>(pima_data!H429-AVERAGE(pima_data!$H$1:$H$768))/_xlfn.STDEV.P(pima_data!$H$1:$H$768)</f>
        <v>-0.616110670809994</v>
      </c>
    </row>
    <row r="430" spans="1:8">
      <c r="A430" s="5">
        <f>(pima_data!A430-AVERAGE(pima_data!$A$1:$A$768))/_xlfn.STDEV.P(pima_data!$A$1:$A$768)</f>
        <v>-0.844885053443025</v>
      </c>
      <c r="B430" s="5">
        <f>(pima_data!B430-AVERAGE(pima_data!$B$1:$B$768))/_xlfn.STDEV.P(pima_data!$B$1:$B$768)</f>
        <v>-0.810424907707686</v>
      </c>
      <c r="C430" s="5">
        <f>(pima_data!C430-AVERAGE(pima_data!$C$1:$C$768))/_xlfn.STDEV.P(pima_data!$C$1:$C$768)</f>
        <v>0.666618251586659</v>
      </c>
      <c r="D430" s="5">
        <f>(pima_data!D430-AVERAGE(pima_data!$D$1:$D$768))/_xlfn.STDEV.P(pima_data!$D$1:$D$768)</f>
        <v>0.279989314353047</v>
      </c>
      <c r="E430" s="5">
        <f>(pima_data!E430-AVERAGE(pima_data!$E$1:$E$768))/_xlfn.STDEV.P(pima_data!$E$1:$E$768)</f>
        <v>0.870030693803239</v>
      </c>
      <c r="F430" s="5">
        <f>(pima_data!F430-AVERAGE(pima_data!$F$1:$F$768))/_xlfn.STDEV.P(pima_data!$F$1:$F$768)</f>
        <v>0.381699714846871</v>
      </c>
      <c r="G430" s="5">
        <f>(pima_data!G430-AVERAGE(pima_data!$G$1:$G$768))/_xlfn.STDEV.P(pima_data!$G$1:$G$768)</f>
        <v>-0.721434781499604</v>
      </c>
      <c r="H430" s="5">
        <f>(pima_data!H430-AVERAGE(pima_data!$H$1:$H$768))/_xlfn.STDEV.P(pima_data!$H$1:$H$768)</f>
        <v>0.830381132479934</v>
      </c>
    </row>
    <row r="431" spans="1:8">
      <c r="A431" s="5">
        <f>(pima_data!A431-AVERAGE(pima_data!$A$1:$A$768))/_xlfn.STDEV.P(pima_data!$A$1:$A$768)</f>
        <v>-0.547918590722547</v>
      </c>
      <c r="B431" s="5">
        <f>(pima_data!B431-AVERAGE(pima_data!$B$1:$B$768))/_xlfn.STDEV.P(pima_data!$B$1:$B$768)</f>
        <v>-0.685236326399393</v>
      </c>
      <c r="C431" s="5">
        <f>(pima_data!C431-AVERAGE(pima_data!$C$1:$C$768))/_xlfn.STDEV.P(pima_data!$C$1:$C$768)</f>
        <v>-3.57259723987264</v>
      </c>
      <c r="D431" s="5">
        <f>(pima_data!D431-AVERAGE(pima_data!$D$1:$D$768))/_xlfn.STDEV.P(pima_data!$D$1:$D$768)</f>
        <v>-1.28821221294523</v>
      </c>
      <c r="E431" s="5">
        <f>(pima_data!E431-AVERAGE(pima_data!$E$1:$E$768))/_xlfn.STDEV.P(pima_data!$E$1:$E$768)</f>
        <v>-0.692890572295466</v>
      </c>
      <c r="F431" s="5">
        <f>(pima_data!F431-AVERAGE(pima_data!$F$1:$F$768))/_xlfn.STDEV.P(pima_data!$F$1:$F$768)</f>
        <v>-1.24286662573011</v>
      </c>
      <c r="G431" s="5">
        <f>(pima_data!G431-AVERAGE(pima_data!$G$1:$G$768))/_xlfn.STDEV.P(pima_data!$G$1:$G$768)</f>
        <v>-1.0989496161691</v>
      </c>
      <c r="H431" s="5">
        <f>(pima_data!H431-AVERAGE(pima_data!$H$1:$H$768))/_xlfn.STDEV.P(pima_data!$H$1:$H$768)</f>
        <v>-0.871373930214099</v>
      </c>
    </row>
    <row r="432" spans="1:8">
      <c r="A432" s="5">
        <f>(pima_data!A432-AVERAGE(pima_data!$A$1:$A$768))/_xlfn.STDEV.P(pima_data!$A$1:$A$768)</f>
        <v>-0.25095212800207</v>
      </c>
      <c r="B432" s="5">
        <f>(pima_data!B432-AVERAGE(pima_data!$B$1:$B$768))/_xlfn.STDEV.P(pima_data!$B$1:$B$768)</f>
        <v>-0.998207779670124</v>
      </c>
      <c r="C432" s="5">
        <f>(pima_data!C432-AVERAGE(pima_data!$C$1:$C$768))/_xlfn.STDEV.P(pima_data!$C$1:$C$768)</f>
        <v>0.253036252419898</v>
      </c>
      <c r="D432" s="5">
        <f>(pima_data!D432-AVERAGE(pima_data!$D$1:$D$768))/_xlfn.STDEV.P(pima_data!$D$1:$D$768)</f>
        <v>-0.284563235474334</v>
      </c>
      <c r="E432" s="5">
        <f>(pima_data!E432-AVERAGE(pima_data!$E$1:$E$768))/_xlfn.STDEV.P(pima_data!$E$1:$E$768)</f>
        <v>0.0451555811400335</v>
      </c>
      <c r="F432" s="5">
        <f>(pima_data!F432-AVERAGE(pima_data!$F$1:$F$768))/_xlfn.STDEV.P(pima_data!$F$1:$F$768)</f>
        <v>-0.202128813797981</v>
      </c>
      <c r="G432" s="5">
        <f>(pima_data!G432-AVERAGE(pima_data!$G$1:$G$768))/_xlfn.STDEV.P(pima_data!$G$1:$G$768)</f>
        <v>0.2389629578996</v>
      </c>
      <c r="H432" s="5">
        <f>(pima_data!H432-AVERAGE(pima_data!$H$1:$H$768))/_xlfn.STDEV.P(pima_data!$H$1:$H$768)</f>
        <v>0.404942366806425</v>
      </c>
    </row>
    <row r="433" spans="1:8">
      <c r="A433" s="5">
        <f>(pima_data!A433-AVERAGE(pima_data!$A$1:$A$768))/_xlfn.STDEV.P(pima_data!$A$1:$A$768)</f>
        <v>-0.844885053443025</v>
      </c>
      <c r="B433" s="5">
        <f>(pima_data!B433-AVERAGE(pima_data!$B$1:$B$768))/_xlfn.STDEV.P(pima_data!$B$1:$B$768)</f>
        <v>-1.27988208761378</v>
      </c>
      <c r="C433" s="5">
        <f>(pima_data!C433-AVERAGE(pima_data!$C$1:$C$768))/_xlfn.STDEV.P(pima_data!$C$1:$C$768)</f>
        <v>0.253036252419898</v>
      </c>
      <c r="D433" s="5">
        <f>(pima_data!D433-AVERAGE(pima_data!$D$1:$D$768))/_xlfn.STDEV.P(pima_data!$D$1:$D$768)</f>
        <v>-0.59820354093399</v>
      </c>
      <c r="E433" s="5">
        <f>(pima_data!E433-AVERAGE(pima_data!$E$1:$E$768))/_xlfn.STDEV.P(pima_data!$E$1:$E$768)</f>
        <v>-0.171916816929231</v>
      </c>
      <c r="F433" s="5">
        <f>(pima_data!F433-AVERAGE(pima_data!$F$1:$F$768))/_xlfn.STDEV.P(pima_data!$F$1:$F$768)</f>
        <v>-0.252896511941012</v>
      </c>
      <c r="G433" s="5">
        <f>(pima_data!G433-AVERAGE(pima_data!$G$1:$G$768))/_xlfn.STDEV.P(pima_data!$G$1:$G$768)</f>
        <v>0.166480109643056</v>
      </c>
      <c r="H433" s="5">
        <f>(pima_data!H433-AVERAGE(pima_data!$H$1:$H$768))/_xlfn.STDEV.P(pima_data!$H$1:$H$768)</f>
        <v>-0.956461683348801</v>
      </c>
    </row>
    <row r="434" spans="1:8">
      <c r="A434" s="5">
        <f>(pima_data!A434-AVERAGE(pima_data!$A$1:$A$768))/_xlfn.STDEV.P(pima_data!$A$1:$A$768)</f>
        <v>-0.547918590722547</v>
      </c>
      <c r="B434" s="5">
        <f>(pima_data!B434-AVERAGE(pima_data!$B$1:$B$768))/_xlfn.STDEV.P(pima_data!$B$1:$B$768)</f>
        <v>0.56664948668353</v>
      </c>
      <c r="C434" s="5">
        <f>(pima_data!C434-AVERAGE(pima_data!$C$1:$C$768))/_xlfn.STDEV.P(pima_data!$C$1:$C$768)</f>
        <v>0.304734002315743</v>
      </c>
      <c r="D434" s="5">
        <f>(pima_data!D434-AVERAGE(pima_data!$D$1:$D$768))/_xlfn.STDEV.P(pima_data!$D$1:$D$768)</f>
        <v>-1.28821221294523</v>
      </c>
      <c r="E434" s="5">
        <f>(pima_data!E434-AVERAGE(pima_data!$E$1:$E$768))/_xlfn.STDEV.P(pima_data!$E$1:$E$768)</f>
        <v>-0.692890572295466</v>
      </c>
      <c r="F434" s="5">
        <f>(pima_data!F434-AVERAGE(pima_data!$F$1:$F$768))/_xlfn.STDEV.P(pima_data!$F$1:$F$768)</f>
        <v>-0.811341191514348</v>
      </c>
      <c r="G434" s="5">
        <f>(pima_data!G434-AVERAGE(pima_data!$G$1:$G$768))/_xlfn.STDEV.P(pima_data!$G$1:$G$768)</f>
        <v>-0.9207626142051</v>
      </c>
      <c r="H434" s="5">
        <f>(pima_data!H434-AVERAGE(pima_data!$H$1:$H$768))/_xlfn.STDEV.P(pima_data!$H$1:$H$768)</f>
        <v>-0.360847411405889</v>
      </c>
    </row>
    <row r="435" spans="1:8">
      <c r="A435" s="5">
        <f>(pima_data!A435-AVERAGE(pima_data!$A$1:$A$768))/_xlfn.STDEV.P(pima_data!$A$1:$A$768)</f>
        <v>-0.844885053443025</v>
      </c>
      <c r="B435" s="5">
        <f>(pima_data!B435-AVERAGE(pima_data!$B$1:$B$768))/_xlfn.STDEV.P(pima_data!$B$1:$B$768)</f>
        <v>-0.966910634343051</v>
      </c>
      <c r="C435" s="5">
        <f>(pima_data!C435-AVERAGE(pima_data!$C$1:$C$768))/_xlfn.STDEV.P(pima_data!$C$1:$C$768)</f>
        <v>-0.0571502469551726</v>
      </c>
      <c r="D435" s="5">
        <f>(pima_data!D435-AVERAGE(pima_data!$D$1:$D$768))/_xlfn.STDEV.P(pima_data!$D$1:$D$768)</f>
        <v>-0.786387724209783</v>
      </c>
      <c r="E435" s="5">
        <f>(pima_data!E435-AVERAGE(pima_data!$E$1:$E$768))/_xlfn.STDEV.P(pima_data!$E$1:$E$768)</f>
        <v>-0.692890572295466</v>
      </c>
      <c r="F435" s="5">
        <f>(pima_data!F435-AVERAGE(pima_data!$F$1:$F$768))/_xlfn.STDEV.P(pima_data!$F$1:$F$768)</f>
        <v>-0.950952361407683</v>
      </c>
      <c r="G435" s="5">
        <f>(pima_data!G435-AVERAGE(pima_data!$G$1:$G$768))/_xlfn.STDEV.P(pima_data!$G$1:$G$768)</f>
        <v>2.01177262150756</v>
      </c>
      <c r="H435" s="5">
        <f>(pima_data!H435-AVERAGE(pima_data!$H$1:$H$768))/_xlfn.STDEV.P(pima_data!$H$1:$H$768)</f>
        <v>0.234766860537022</v>
      </c>
    </row>
    <row r="436" spans="1:8">
      <c r="A436" s="5">
        <f>(pima_data!A436-AVERAGE(pima_data!$A$1:$A$768))/_xlfn.STDEV.P(pima_data!$A$1:$A$768)</f>
        <v>-1.1418515161635</v>
      </c>
      <c r="B436" s="5">
        <f>(pima_data!B436-AVERAGE(pima_data!$B$1:$B$768))/_xlfn.STDEV.P(pima_data!$B$1:$B$768)</f>
        <v>0.629243777337677</v>
      </c>
      <c r="C436" s="5">
        <f>(pima_data!C436-AVERAGE(pima_data!$C$1:$C$768))/_xlfn.STDEV.P(pima_data!$C$1:$C$768)</f>
        <v>-3.57259723987264</v>
      </c>
      <c r="D436" s="5">
        <f>(pima_data!D436-AVERAGE(pima_data!$D$1:$D$768))/_xlfn.STDEV.P(pima_data!$D$1:$D$768)</f>
        <v>-1.28821221294523</v>
      </c>
      <c r="E436" s="5">
        <f>(pima_data!E436-AVERAGE(pima_data!$E$1:$E$768))/_xlfn.STDEV.P(pima_data!$E$1:$E$768)</f>
        <v>-0.692890572295466</v>
      </c>
      <c r="F436" s="5">
        <f>(pima_data!F436-AVERAGE(pima_data!$F$1:$F$768))/_xlfn.STDEV.P(pima_data!$F$1:$F$768)</f>
        <v>1.32090213049294</v>
      </c>
      <c r="G436" s="5">
        <f>(pima_data!G436-AVERAGE(pima_data!$G$1:$G$768))/_xlfn.STDEV.P(pima_data!$G$1:$G$768)</f>
        <v>-0.805998104465572</v>
      </c>
      <c r="H436" s="5">
        <f>(pima_data!H436-AVERAGE(pima_data!$H$1:$H$768))/_xlfn.STDEV.P(pima_data!$H$1:$H$768)</f>
        <v>-0.360847411405889</v>
      </c>
    </row>
    <row r="437" spans="1:8">
      <c r="A437" s="5">
        <f>(pima_data!A437-AVERAGE(pima_data!$A$1:$A$768))/_xlfn.STDEV.P(pima_data!$A$1:$A$768)</f>
        <v>2.42174603648223</v>
      </c>
      <c r="B437" s="5">
        <f>(pima_data!B437-AVERAGE(pima_data!$B$1:$B$768))/_xlfn.STDEV.P(pima_data!$B$1:$B$768)</f>
        <v>0.597946632010604</v>
      </c>
      <c r="C437" s="5">
        <f>(pima_data!C437-AVERAGE(pima_data!$C$1:$C$768))/_xlfn.STDEV.P(pima_data!$C$1:$C$768)</f>
        <v>0.821711501274195</v>
      </c>
      <c r="D437" s="5">
        <f>(pima_data!D437-AVERAGE(pima_data!$D$1:$D$768))/_xlfn.STDEV.P(pima_data!$D$1:$D$768)</f>
        <v>0.781813803088497</v>
      </c>
      <c r="E437" s="5">
        <f>(pima_data!E437-AVERAGE(pima_data!$E$1:$E$768))/_xlfn.STDEV.P(pima_data!$E$1:$E$768)</f>
        <v>-0.692890572295466</v>
      </c>
      <c r="F437" s="5">
        <f>(pima_data!F437-AVERAGE(pima_data!$F$1:$F$768))/_xlfn.STDEV.P(pima_data!$F$1:$F$768)</f>
        <v>0.686305903705054</v>
      </c>
      <c r="G437" s="5">
        <f>(pima_data!G437-AVERAGE(pima_data!$G$1:$G$768))/_xlfn.STDEV.P(pima_data!$G$1:$G$768)</f>
        <v>-0.688213476048689</v>
      </c>
      <c r="H437" s="5">
        <f>(pima_data!H437-AVERAGE(pima_data!$H$1:$H$768))/_xlfn.STDEV.P(pima_data!$H$1:$H$768)</f>
        <v>0.66020562621053</v>
      </c>
    </row>
    <row r="438" spans="1:8">
      <c r="A438" s="5">
        <f>(pima_data!A438-AVERAGE(pima_data!$A$1:$A$768))/_xlfn.STDEV.P(pima_data!$A$1:$A$768)</f>
        <v>0.342980797438884</v>
      </c>
      <c r="B438" s="5">
        <f>(pima_data!B438-AVERAGE(pima_data!$B$1:$B$768))/_xlfn.STDEV.P(pima_data!$B$1:$B$768)</f>
        <v>0.817026649300115</v>
      </c>
      <c r="C438" s="5">
        <f>(pima_data!C438-AVERAGE(pima_data!$C$1:$C$768))/_xlfn.STDEV.P(pima_data!$C$1:$C$768)</f>
        <v>0.304734002315743</v>
      </c>
      <c r="D438" s="5">
        <f>(pima_data!D438-AVERAGE(pima_data!$D$1:$D$768))/_xlfn.STDEV.P(pima_data!$D$1:$D$768)</f>
        <v>-1.28821221294523</v>
      </c>
      <c r="E438" s="5">
        <f>(pima_data!E438-AVERAGE(pima_data!$E$1:$E$768))/_xlfn.STDEV.P(pima_data!$E$1:$E$768)</f>
        <v>-0.692890572295466</v>
      </c>
      <c r="F438" s="5">
        <f>(pima_data!F438-AVERAGE(pima_data!$F$1:$F$768))/_xlfn.STDEV.P(pima_data!$F$1:$F$768)</f>
        <v>-0.26558843647677</v>
      </c>
      <c r="G438" s="5">
        <f>(pima_data!G438-AVERAGE(pima_data!$G$1:$G$768))/_xlfn.STDEV.P(pima_data!$G$1:$G$768)</f>
        <v>-0.114390927351051</v>
      </c>
      <c r="H438" s="5">
        <f>(pima_data!H438-AVERAGE(pima_data!$H$1:$H$768))/_xlfn.STDEV.P(pima_data!$H$1:$H$768)</f>
        <v>-0.445935164540591</v>
      </c>
    </row>
    <row r="439" spans="1:8">
      <c r="A439" s="5">
        <f>(pima_data!A439-AVERAGE(pima_data!$A$1:$A$768))/_xlfn.STDEV.P(pima_data!$A$1:$A$768)</f>
        <v>-0.844885053443025</v>
      </c>
      <c r="B439" s="5">
        <f>(pima_data!B439-AVERAGE(pima_data!$B$1:$B$768))/_xlfn.STDEV.P(pima_data!$B$1:$B$768)</f>
        <v>-0.74783061705354</v>
      </c>
      <c r="C439" s="5">
        <f>(pima_data!C439-AVERAGE(pima_data!$C$1:$C$768))/_xlfn.STDEV.P(pima_data!$C$1:$C$768)</f>
        <v>0.0462452528365177</v>
      </c>
      <c r="D439" s="5">
        <f>(pima_data!D439-AVERAGE(pima_data!$D$1:$D$768))/_xlfn.STDEV.P(pima_data!$D$1:$D$768)</f>
        <v>-0.347291296566265</v>
      </c>
      <c r="E439" s="5">
        <f>(pima_data!E439-AVERAGE(pima_data!$E$1:$E$768))/_xlfn.STDEV.P(pima_data!$E$1:$E$768)</f>
        <v>-0.692890572295466</v>
      </c>
      <c r="F439" s="5">
        <f>(pima_data!F439-AVERAGE(pima_data!$F$1:$F$768))/_xlfn.STDEV.P(pima_data!$F$1:$F$768)</f>
        <v>-1.75054360716042</v>
      </c>
      <c r="G439" s="5">
        <f>(pima_data!G439-AVERAGE(pima_data!$G$1:$G$768))/_xlfn.STDEV.P(pima_data!$G$1:$G$768)</f>
        <v>-0.98116498775222</v>
      </c>
      <c r="H439" s="5">
        <f>(pima_data!H439-AVERAGE(pima_data!$H$1:$H$768))/_xlfn.STDEV.P(pima_data!$H$1:$H$768)</f>
        <v>-1.0415494364835</v>
      </c>
    </row>
    <row r="440" spans="1:8">
      <c r="A440" s="5">
        <f>(pima_data!A440-AVERAGE(pima_data!$A$1:$A$768))/_xlfn.STDEV.P(pima_data!$A$1:$A$768)</f>
        <v>0.639947260159362</v>
      </c>
      <c r="B440" s="5">
        <f>(pima_data!B440-AVERAGE(pima_data!$B$1:$B$768))/_xlfn.STDEV.P(pima_data!$B$1:$B$768)</f>
        <v>-0.434859163782809</v>
      </c>
      <c r="C440" s="5">
        <f>(pima_data!C440-AVERAGE(pima_data!$C$1:$C$768))/_xlfn.STDEV.P(pima_data!$C$1:$C$768)</f>
        <v>0.97680475096173</v>
      </c>
      <c r="D440" s="5">
        <f>(pima_data!D440-AVERAGE(pima_data!$D$1:$D$768))/_xlfn.STDEV.P(pima_data!$D$1:$D$768)</f>
        <v>-1.28821221294523</v>
      </c>
      <c r="E440" s="5">
        <f>(pima_data!E440-AVERAGE(pima_data!$E$1:$E$768))/_xlfn.STDEV.P(pima_data!$E$1:$E$768)</f>
        <v>-0.692890572295466</v>
      </c>
      <c r="F440" s="5">
        <f>(pima_data!F440-AVERAGE(pima_data!$F$1:$F$768))/_xlfn.STDEV.P(pima_data!$F$1:$F$768)</f>
        <v>0.610154356490508</v>
      </c>
      <c r="G440" s="5">
        <f>(pima_data!G440-AVERAGE(pima_data!$G$1:$G$768))/_xlfn.STDEV.P(pima_data!$G$1:$G$768)</f>
        <v>0.770503845114254</v>
      </c>
      <c r="H440" s="5">
        <f>(pima_data!H440-AVERAGE(pima_data!$H$1:$H$768))/_xlfn.STDEV.P(pima_data!$H$1:$H$768)</f>
        <v>-0.190671905136486</v>
      </c>
    </row>
    <row r="441" spans="1:8">
      <c r="A441" s="5">
        <f>(pima_data!A441-AVERAGE(pima_data!$A$1:$A$768))/_xlfn.STDEV.P(pima_data!$A$1:$A$768)</f>
        <v>-1.1418515161635</v>
      </c>
      <c r="B441" s="5">
        <f>(pima_data!B441-AVERAGE(pima_data!$B$1:$B$768))/_xlfn.STDEV.P(pima_data!$B$1:$B$768)</f>
        <v>2.13150675303719</v>
      </c>
      <c r="C441" s="5">
        <f>(pima_data!C441-AVERAGE(pima_data!$C$1:$C$768))/_xlfn.STDEV.P(pima_data!$C$1:$C$768)</f>
        <v>1.80396874929525</v>
      </c>
      <c r="D441" s="5">
        <f>(pima_data!D441-AVERAGE(pima_data!$D$1:$D$768))/_xlfn.STDEV.P(pima_data!$D$1:$D$768)</f>
        <v>0.279989314353047</v>
      </c>
      <c r="E441" s="5">
        <f>(pima_data!E441-AVERAGE(pima_data!$E$1:$E$768))/_xlfn.STDEV.P(pima_data!$E$1:$E$768)</f>
        <v>-0.692890572295466</v>
      </c>
      <c r="F441" s="5">
        <f>(pima_data!F441-AVERAGE(pima_data!$F$1:$F$768))/_xlfn.STDEV.P(pima_data!$F$1:$F$768)</f>
        <v>0.292856243096567</v>
      </c>
      <c r="G441" s="5">
        <f>(pima_data!G441-AVERAGE(pima_data!$G$1:$G$768))/_xlfn.STDEV.P(pima_data!$G$1:$G$768)</f>
        <v>-0.111370808673695</v>
      </c>
      <c r="H441" s="5">
        <f>(pima_data!H441-AVERAGE(pima_data!$H$1:$H$768))/_xlfn.STDEV.P(pima_data!$H$1:$H$768)</f>
        <v>0.66020562621053</v>
      </c>
    </row>
    <row r="442" spans="1:8">
      <c r="A442" s="5">
        <f>(pima_data!A442-AVERAGE(pima_data!$A$1:$A$768))/_xlfn.STDEV.P(pima_data!$A$1:$A$768)</f>
        <v>-0.547918590722547</v>
      </c>
      <c r="B442" s="5">
        <f>(pima_data!B442-AVERAGE(pima_data!$B$1:$B$768))/_xlfn.STDEV.P(pima_data!$B$1:$B$768)</f>
        <v>-1.18599065163256</v>
      </c>
      <c r="C442" s="5">
        <f>(pima_data!C442-AVERAGE(pima_data!$C$1:$C$768))/_xlfn.STDEV.P(pima_data!$C$1:$C$768)</f>
        <v>-0.160545746746863</v>
      </c>
      <c r="D442" s="5">
        <f>(pima_data!D442-AVERAGE(pima_data!$D$1:$D$768))/_xlfn.STDEV.P(pima_data!$D$1:$D$768)</f>
        <v>0.154533192169185</v>
      </c>
      <c r="E442" s="5">
        <f>(pima_data!E442-AVERAGE(pima_data!$E$1:$E$768))/_xlfn.STDEV.P(pima_data!$E$1:$E$768)</f>
        <v>-0.258745776156937</v>
      </c>
      <c r="F442" s="5">
        <f>(pima_data!F442-AVERAGE(pima_data!$F$1:$F$768))/_xlfn.STDEV.P(pima_data!$F$1:$F$768)</f>
        <v>0.0263258278456569</v>
      </c>
      <c r="G442" s="5">
        <f>(pima_data!G442-AVERAGE(pima_data!$G$1:$G$768))/_xlfn.STDEV.P(pima_data!$G$1:$G$768)</f>
        <v>0.0758765493223767</v>
      </c>
      <c r="H442" s="5">
        <f>(pima_data!H442-AVERAGE(pima_data!$H$1:$H$768))/_xlfn.STDEV.P(pima_data!$H$1:$H$768)</f>
        <v>-0.956461683348801</v>
      </c>
    </row>
    <row r="443" spans="1:8">
      <c r="A443" s="5">
        <f>(pima_data!A443-AVERAGE(pima_data!$A$1:$A$768))/_xlfn.STDEV.P(pima_data!$A$1:$A$768)</f>
        <v>0.0460143347184072</v>
      </c>
      <c r="B443" s="5">
        <f>(pima_data!B443-AVERAGE(pima_data!$B$1:$B$768))/_xlfn.STDEV.P(pima_data!$B$1:$B$768)</f>
        <v>-0.121887710512078</v>
      </c>
      <c r="C443" s="5">
        <f>(pima_data!C443-AVERAGE(pima_data!$C$1:$C$768))/_xlfn.STDEV.P(pima_data!$C$1:$C$768)</f>
        <v>-0.263941246538553</v>
      </c>
      <c r="D443" s="5">
        <f>(pima_data!D443-AVERAGE(pima_data!$D$1:$D$768))/_xlfn.STDEV.P(pima_data!$D$1:$D$768)</f>
        <v>0.40544543653691</v>
      </c>
      <c r="E443" s="5">
        <f>(pima_data!E443-AVERAGE(pima_data!$E$1:$E$768))/_xlfn.STDEV.P(pima_data!$E$1:$E$768)</f>
        <v>0.349056938437004</v>
      </c>
      <c r="F443" s="5">
        <f>(pima_data!F443-AVERAGE(pima_data!$F$1:$F$768))/_xlfn.STDEV.P(pima_data!$F$1:$F$768)</f>
        <v>0.153245073203233</v>
      </c>
      <c r="G443" s="5">
        <f>(pima_data!G443-AVERAGE(pima_data!$G$1:$G$768))/_xlfn.STDEV.P(pima_data!$G$1:$G$768)</f>
        <v>-0.730495137531672</v>
      </c>
      <c r="H443" s="5">
        <f>(pima_data!H443-AVERAGE(pima_data!$H$1:$H$768))/_xlfn.STDEV.P(pima_data!$H$1:$H$768)</f>
        <v>-0.786286177079398</v>
      </c>
    </row>
    <row r="444" spans="1:8">
      <c r="A444" s="5">
        <f>(pima_data!A444-AVERAGE(pima_data!$A$1:$A$768))/_xlfn.STDEV.P(pima_data!$A$1:$A$768)</f>
        <v>1.23388018560032</v>
      </c>
      <c r="B444" s="5">
        <f>(pima_data!B444-AVERAGE(pima_data!$B$1:$B$768))/_xlfn.STDEV.P(pima_data!$B$1:$B$768)</f>
        <v>-0.403562018455736</v>
      </c>
      <c r="C444" s="5">
        <f>(pima_data!C444-AVERAGE(pima_data!$C$1:$C$768))/_xlfn.STDEV.P(pima_data!$C$1:$C$768)</f>
        <v>0.0462452528365177</v>
      </c>
      <c r="D444" s="5">
        <f>(pima_data!D444-AVERAGE(pima_data!$D$1:$D$768))/_xlfn.STDEV.P(pima_data!$D$1:$D$768)</f>
        <v>-1.28821221294523</v>
      </c>
      <c r="E444" s="5">
        <f>(pima_data!E444-AVERAGE(pima_data!$E$1:$E$768))/_xlfn.STDEV.P(pima_data!$E$1:$E$768)</f>
        <v>-0.692890572295466</v>
      </c>
      <c r="F444" s="5">
        <f>(pima_data!F444-AVERAGE(pima_data!$F$1:$F$768))/_xlfn.STDEV.P(pima_data!$F$1:$F$768)</f>
        <v>-0.189436889262224</v>
      </c>
      <c r="G444" s="5">
        <f>(pima_data!G444-AVERAGE(pima_data!$G$1:$G$768))/_xlfn.STDEV.P(pima_data!$G$1:$G$768)</f>
        <v>1.45909090355142</v>
      </c>
      <c r="H444" s="5">
        <f>(pima_data!H444-AVERAGE(pima_data!$H$1:$H$768))/_xlfn.STDEV.P(pima_data!$H$1:$H$768)</f>
        <v>-0.0204963988670829</v>
      </c>
    </row>
    <row r="445" spans="1:8">
      <c r="A445" s="5">
        <f>(pima_data!A445-AVERAGE(pima_data!$A$1:$A$768))/_xlfn.STDEV.P(pima_data!$A$1:$A$768)</f>
        <v>0.0460143347184072</v>
      </c>
      <c r="B445" s="5">
        <f>(pima_data!B445-AVERAGE(pima_data!$B$1:$B$768))/_xlfn.STDEV.P(pima_data!$B$1:$B$768)</f>
        <v>-0.121887710512078</v>
      </c>
      <c r="C445" s="5">
        <f>(pima_data!C445-AVERAGE(pima_data!$C$1:$C$768))/_xlfn.STDEV.P(pima_data!$C$1:$C$768)</f>
        <v>-0.367336746330243</v>
      </c>
      <c r="D445" s="5">
        <f>(pima_data!D445-AVERAGE(pima_data!$D$1:$D$768))/_xlfn.STDEV.P(pima_data!$D$1:$D$768)</f>
        <v>-0.535475479842058</v>
      </c>
      <c r="E445" s="5">
        <f>(pima_data!E445-AVERAGE(pima_data!$E$1:$E$768))/_xlfn.STDEV.P(pima_data!$E$1:$E$768)</f>
        <v>-0.692890572295466</v>
      </c>
      <c r="F445" s="5">
        <f>(pima_data!F445-AVERAGE(pima_data!$F$1:$F$768))/_xlfn.STDEV.P(pima_data!$F$1:$F$768)</f>
        <v>-0.290972285548285</v>
      </c>
      <c r="G445" s="5">
        <f>(pima_data!G445-AVERAGE(pima_data!$G$1:$G$768))/_xlfn.STDEV.P(pima_data!$G$1:$G$768)</f>
        <v>-0.277477335928274</v>
      </c>
      <c r="H445" s="5">
        <f>(pima_data!H445-AVERAGE(pima_data!$H$1:$H$768))/_xlfn.STDEV.P(pima_data!$H$1:$H$768)</f>
        <v>-0.275759658271188</v>
      </c>
    </row>
    <row r="446" spans="1:8">
      <c r="A446" s="5">
        <f>(pima_data!A446-AVERAGE(pima_data!$A$1:$A$768))/_xlfn.STDEV.P(pima_data!$A$1:$A$768)</f>
        <v>-1.1418515161635</v>
      </c>
      <c r="B446" s="5">
        <f>(pima_data!B446-AVERAGE(pima_data!$B$1:$B$768))/_xlfn.STDEV.P(pima_data!$B$1:$B$768)</f>
        <v>1.84983244509353</v>
      </c>
      <c r="C446" s="5">
        <f>(pima_data!C446-AVERAGE(pima_data!$C$1:$C$768))/_xlfn.STDEV.P(pima_data!$C$1:$C$768)</f>
        <v>0.459827252003279</v>
      </c>
      <c r="D446" s="5">
        <f>(pima_data!D446-AVERAGE(pima_data!$D$1:$D$768))/_xlfn.STDEV.P(pima_data!$D$1:$D$768)</f>
        <v>2.66365563584643</v>
      </c>
      <c r="E446" s="5">
        <f>(pima_data!E446-AVERAGE(pima_data!$E$1:$E$768))/_xlfn.STDEV.P(pima_data!$E$1:$E$768)</f>
        <v>-0.571330029376678</v>
      </c>
      <c r="F446" s="5">
        <f>(pima_data!F446-AVERAGE(pima_data!$F$1:$F$768))/_xlfn.STDEV.P(pima_data!$F$1:$F$768)</f>
        <v>3.47852930157174</v>
      </c>
      <c r="G446" s="5">
        <f>(pima_data!G446-AVERAGE(pima_data!$G$1:$G$768))/_xlfn.STDEV.P(pima_data!$G$1:$G$768)</f>
        <v>5.88356476587794</v>
      </c>
      <c r="H446" s="5">
        <f>(pima_data!H446-AVERAGE(pima_data!$H$1:$H$768))/_xlfn.STDEV.P(pima_data!$H$1:$H$768)</f>
        <v>-0.701198423944696</v>
      </c>
    </row>
    <row r="447" spans="1:8">
      <c r="A447" s="5">
        <f>(pima_data!A447-AVERAGE(pima_data!$A$1:$A$768))/_xlfn.STDEV.P(pima_data!$A$1:$A$768)</f>
        <v>-0.844885053443025</v>
      </c>
      <c r="B447" s="5">
        <f>(pima_data!B447-AVERAGE(pima_data!$B$1:$B$768))/_xlfn.STDEV.P(pima_data!$B$1:$B$768)</f>
        <v>-0.65393918107232</v>
      </c>
      <c r="C447" s="5">
        <f>(pima_data!C447-AVERAGE(pima_data!$C$1:$C$768))/_xlfn.STDEV.P(pima_data!$C$1:$C$768)</f>
        <v>0.149640752628208</v>
      </c>
      <c r="D447" s="5">
        <f>(pima_data!D447-AVERAGE(pima_data!$D$1:$D$768))/_xlfn.STDEV.P(pima_data!$D$1:$D$768)</f>
        <v>-0.535475479842058</v>
      </c>
      <c r="E447" s="5">
        <f>(pima_data!E447-AVERAGE(pima_data!$E$1:$E$768))/_xlfn.STDEV.P(pima_data!$E$1:$E$768)</f>
        <v>-0.0850878577015253</v>
      </c>
      <c r="F447" s="5">
        <f>(pima_data!F447-AVERAGE(pima_data!$F$1:$F$768))/_xlfn.STDEV.P(pima_data!$F$1:$F$768)</f>
        <v>-0.849416965121621</v>
      </c>
      <c r="G447" s="5">
        <f>(pima_data!G447-AVERAGE(pima_data!$G$1:$G$768))/_xlfn.STDEV.P(pima_data!$G$1:$G$768)</f>
        <v>0.562115656376691</v>
      </c>
      <c r="H447" s="5">
        <f>(pima_data!H447-AVERAGE(pima_data!$H$1:$H$768))/_xlfn.STDEV.P(pima_data!$H$1:$H$768)</f>
        <v>-0.445935164540591</v>
      </c>
    </row>
    <row r="448" spans="1:8">
      <c r="A448" s="5">
        <f>(pima_data!A448-AVERAGE(pima_data!$A$1:$A$768))/_xlfn.STDEV.P(pima_data!$A$1:$A$768)</f>
        <v>-1.1418515161635</v>
      </c>
      <c r="B448" s="5">
        <f>(pima_data!B448-AVERAGE(pima_data!$B$1:$B$768))/_xlfn.STDEV.P(pima_data!$B$1:$B$768)</f>
        <v>-0.810424907707686</v>
      </c>
      <c r="C448" s="5">
        <f>(pima_data!C448-AVERAGE(pima_data!$C$1:$C$768))/_xlfn.STDEV.P(pima_data!$C$1:$C$768)</f>
        <v>0.563222751794969</v>
      </c>
      <c r="D448" s="5">
        <f>(pima_data!D448-AVERAGE(pima_data!$D$1:$D$768))/_xlfn.STDEV.P(pima_data!$D$1:$D$768)</f>
        <v>1.53455053619167</v>
      </c>
      <c r="E448" s="5">
        <f>(pima_data!E448-AVERAGE(pima_data!$E$1:$E$768))/_xlfn.STDEV.P(pima_data!$E$1:$E$768)</f>
        <v>0.105935852599428</v>
      </c>
      <c r="F448" s="5">
        <f>(pima_data!F448-AVERAGE(pima_data!$F$1:$F$768))/_xlfn.STDEV.P(pima_data!$F$1:$F$768)</f>
        <v>0.572078582883236</v>
      </c>
      <c r="G448" s="5">
        <f>(pima_data!G448-AVERAGE(pima_data!$G$1:$G$768))/_xlfn.STDEV.P(pima_data!$G$1:$G$768)</f>
        <v>-0.428483269796073</v>
      </c>
      <c r="H448" s="5">
        <f>(pima_data!H448-AVERAGE(pima_data!$H$1:$H$768))/_xlfn.STDEV.P(pima_data!$H$1:$H$768)</f>
        <v>-0.616110670809994</v>
      </c>
    </row>
    <row r="449" spans="1:8">
      <c r="A449" s="5">
        <f>(pima_data!A449-AVERAGE(pima_data!$A$1:$A$768))/_xlfn.STDEV.P(pima_data!$A$1:$A$768)</f>
        <v>-1.1418515161635</v>
      </c>
      <c r="B449" s="5">
        <f>(pima_data!B449-AVERAGE(pima_data!$B$1:$B$768))/_xlfn.STDEV.P(pima_data!$B$1:$B$768)</f>
        <v>-0.528750599764028</v>
      </c>
      <c r="C449" s="5">
        <f>(pima_data!C449-AVERAGE(pima_data!$C$1:$C$768))/_xlfn.STDEV.P(pima_data!$C$1:$C$768)</f>
        <v>-0.263941246538553</v>
      </c>
      <c r="D449" s="5">
        <f>(pima_data!D449-AVERAGE(pima_data!$D$1:$D$768))/_xlfn.STDEV.P(pima_data!$D$1:$D$768)</f>
        <v>1.03272604745622</v>
      </c>
      <c r="E449" s="5">
        <f>(pima_data!E449-AVERAGE(pima_data!$E$1:$E$768))/_xlfn.STDEV.P(pima_data!$E$1:$E$768)</f>
        <v>-0.137185233238149</v>
      </c>
      <c r="F449" s="5">
        <f>(pima_data!F449-AVERAGE(pima_data!$F$1:$F$768))/_xlfn.STDEV.P(pima_data!$F$1:$F$768)</f>
        <v>0.204012771346264</v>
      </c>
      <c r="G449" s="5">
        <f>(pima_data!G449-AVERAGE(pima_data!$G$1:$G$768))/_xlfn.STDEV.P(pima_data!$G$1:$G$768)</f>
        <v>0.115138092128005</v>
      </c>
      <c r="H449" s="5">
        <f>(pima_data!H449-AVERAGE(pima_data!$H$1:$H$768))/_xlfn.STDEV.P(pima_data!$H$1:$H$768)</f>
        <v>-0.956461683348801</v>
      </c>
    </row>
    <row r="450" spans="1:8">
      <c r="A450" s="5">
        <f>(pima_data!A450-AVERAGE(pima_data!$A$1:$A$768))/_xlfn.STDEV.P(pima_data!$A$1:$A$768)</f>
        <v>-1.1418515161635</v>
      </c>
      <c r="B450" s="5">
        <f>(pima_data!B450-AVERAGE(pima_data!$B$1:$B$768))/_xlfn.STDEV.P(pima_data!$B$1:$B$768)</f>
        <v>-0.0279962745308584</v>
      </c>
      <c r="C450" s="5">
        <f>(pima_data!C450-AVERAGE(pima_data!$C$1:$C$768))/_xlfn.STDEV.P(pima_data!$C$1:$C$768)</f>
        <v>0.253036252419898</v>
      </c>
      <c r="D450" s="5">
        <f>(pima_data!D450-AVERAGE(pima_data!$D$1:$D$768))/_xlfn.STDEV.P(pima_data!$D$1:$D$768)</f>
        <v>-0.159107113290471</v>
      </c>
      <c r="E450" s="5">
        <f>(pima_data!E450-AVERAGE(pima_data!$E$1:$E$768))/_xlfn.STDEV.P(pima_data!$E$1:$E$768)</f>
        <v>-0.145868129160919</v>
      </c>
      <c r="F450" s="5">
        <f>(pima_data!F450-AVERAGE(pima_data!$F$1:$F$768))/_xlfn.STDEV.P(pima_data!$F$1:$F$768)</f>
        <v>-0.189436889262224</v>
      </c>
      <c r="G450" s="5">
        <f>(pima_data!G450-AVERAGE(pima_data!$G$1:$G$768))/_xlfn.STDEV.P(pima_data!$G$1:$G$768)</f>
        <v>-0.564388610277093</v>
      </c>
      <c r="H450" s="5">
        <f>(pima_data!H450-AVERAGE(pima_data!$H$1:$H$768))/_xlfn.STDEV.P(pima_data!$H$1:$H$768)</f>
        <v>-0.616110670809994</v>
      </c>
    </row>
    <row r="451" spans="1:8">
      <c r="A451" s="5">
        <f>(pima_data!A451-AVERAGE(pima_data!$A$1:$A$768))/_xlfn.STDEV.P(pima_data!$A$1:$A$768)</f>
        <v>-0.844885053443025</v>
      </c>
      <c r="B451" s="5">
        <f>(pima_data!B451-AVERAGE(pima_data!$B$1:$B$768))/_xlfn.STDEV.P(pima_data!$B$1:$B$768)</f>
        <v>-1.21728779695964</v>
      </c>
      <c r="C451" s="5">
        <f>(pima_data!C451-AVERAGE(pima_data!$C$1:$C$768))/_xlfn.STDEV.P(pima_data!$C$1:$C$768)</f>
        <v>-0.263941246538553</v>
      </c>
      <c r="D451" s="5">
        <f>(pima_data!D451-AVERAGE(pima_data!$D$1:$D$768))/_xlfn.STDEV.P(pima_data!$D$1:$D$768)</f>
        <v>-0.472747418750127</v>
      </c>
      <c r="E451" s="5">
        <f>(pima_data!E451-AVERAGE(pima_data!$E$1:$E$768))/_xlfn.STDEV.P(pima_data!$E$1:$E$768)</f>
        <v>0.131984540367739</v>
      </c>
      <c r="F451" s="5">
        <f>(pima_data!F451-AVERAGE(pima_data!$F$1:$F$768))/_xlfn.STDEV.P(pima_data!$F$1:$F$768)</f>
        <v>-1.36978587108769</v>
      </c>
      <c r="G451" s="5">
        <f>(pima_data!G451-AVERAGE(pima_data!$G$1:$G$768))/_xlfn.STDEV.P(pima_data!$G$1:$G$768)</f>
        <v>-0.171773182220815</v>
      </c>
      <c r="H451" s="5">
        <f>(pima_data!H451-AVERAGE(pima_data!$H$1:$H$768))/_xlfn.STDEV.P(pima_data!$H$1:$H$768)</f>
        <v>-0.871373930214099</v>
      </c>
    </row>
    <row r="452" spans="1:8">
      <c r="A452" s="5">
        <f>(pima_data!A452-AVERAGE(pima_data!$A$1:$A$768))/_xlfn.STDEV.P(pima_data!$A$1:$A$768)</f>
        <v>-0.547918590722547</v>
      </c>
      <c r="B452" s="5">
        <f>(pima_data!B452-AVERAGE(pima_data!$B$1:$B$768))/_xlfn.STDEV.P(pima_data!$B$1:$B$768)</f>
        <v>0.410163760048165</v>
      </c>
      <c r="C452" s="5">
        <f>(pima_data!C452-AVERAGE(pima_data!$C$1:$C$768))/_xlfn.STDEV.P(pima_data!$C$1:$C$768)</f>
        <v>0.0462452528365177</v>
      </c>
      <c r="D452" s="5">
        <f>(pima_data!D452-AVERAGE(pima_data!$D$1:$D$768))/_xlfn.STDEV.P(pima_data!$D$1:$D$768)</f>
        <v>-1.28821221294523</v>
      </c>
      <c r="E452" s="5">
        <f>(pima_data!E452-AVERAGE(pima_data!$E$1:$E$768))/_xlfn.STDEV.P(pima_data!$E$1:$E$768)</f>
        <v>-0.692890572295466</v>
      </c>
      <c r="F452" s="5">
        <f>(pima_data!F452-AVERAGE(pima_data!$F$1:$F$768))/_xlfn.STDEV.P(pima_data!$F$1:$F$768)</f>
        <v>-0.392507681834346</v>
      </c>
      <c r="G452" s="5">
        <f>(pima_data!G452-AVERAGE(pima_data!$G$1:$G$768))/_xlfn.STDEV.P(pima_data!$G$1:$G$768)</f>
        <v>0.211781889803396</v>
      </c>
      <c r="H452" s="5">
        <f>(pima_data!H452-AVERAGE(pima_data!$H$1:$H$768))/_xlfn.STDEV.P(pima_data!$H$1:$H$768)</f>
        <v>-0.871373930214099</v>
      </c>
    </row>
    <row r="453" spans="1:8">
      <c r="A453" s="5">
        <f>(pima_data!A453-AVERAGE(pima_data!$A$1:$A$768))/_xlfn.STDEV.P(pima_data!$A$1:$A$768)</f>
        <v>-1.1418515161635</v>
      </c>
      <c r="B453" s="5">
        <f>(pima_data!B453-AVERAGE(pima_data!$B$1:$B$768))/_xlfn.STDEV.P(pima_data!$B$1:$B$768)</f>
        <v>-0.935613489015978</v>
      </c>
      <c r="C453" s="5">
        <f>(pima_data!C453-AVERAGE(pima_data!$C$1:$C$768))/_xlfn.STDEV.P(pima_data!$C$1:$C$768)</f>
        <v>-0.0571502469551726</v>
      </c>
      <c r="D453" s="5">
        <f>(pima_data!D453-AVERAGE(pima_data!$D$1:$D$768))/_xlfn.STDEV.P(pima_data!$D$1:$D$768)</f>
        <v>0.719085741996565</v>
      </c>
      <c r="E453" s="5">
        <f>(pima_data!E453-AVERAGE(pima_data!$E$1:$E$768))/_xlfn.STDEV.P(pima_data!$E$1:$E$768)</f>
        <v>1.13051757148636</v>
      </c>
      <c r="F453" s="5">
        <f>(pima_data!F453-AVERAGE(pima_data!$F$1:$F$768))/_xlfn.STDEV.P(pima_data!$F$1:$F$768)</f>
        <v>1.003604017099</v>
      </c>
      <c r="G453" s="5">
        <f>(pima_data!G453-AVERAGE(pima_data!$G$1:$G$768))/_xlfn.STDEV.P(pima_data!$G$1:$G$768)</f>
        <v>-0.274457217250918</v>
      </c>
      <c r="H453" s="5">
        <f>(pima_data!H453-AVERAGE(pima_data!$H$1:$H$768))/_xlfn.STDEV.P(pima_data!$H$1:$H$768)</f>
        <v>-0.701198423944696</v>
      </c>
    </row>
    <row r="454" spans="1:8">
      <c r="A454" s="5">
        <f>(pima_data!A454-AVERAGE(pima_data!$A$1:$A$768))/_xlfn.STDEV.P(pima_data!$A$1:$A$768)</f>
        <v>-0.547918590722547</v>
      </c>
      <c r="B454" s="5">
        <f>(pima_data!B454-AVERAGE(pima_data!$B$1:$B$768))/_xlfn.STDEV.P(pima_data!$B$1:$B$768)</f>
        <v>-0.0592934198579315</v>
      </c>
      <c r="C454" s="5">
        <f>(pima_data!C454-AVERAGE(pima_data!$C$1:$C$768))/_xlfn.STDEV.P(pima_data!$C$1:$C$768)</f>
        <v>-3.57259723987264</v>
      </c>
      <c r="D454" s="5">
        <f>(pima_data!D454-AVERAGE(pima_data!$D$1:$D$768))/_xlfn.STDEV.P(pima_data!$D$1:$D$768)</f>
        <v>-1.28821221294523</v>
      </c>
      <c r="E454" s="5">
        <f>(pima_data!E454-AVERAGE(pima_data!$E$1:$E$768))/_xlfn.STDEV.P(pima_data!$E$1:$E$768)</f>
        <v>-0.692890572295466</v>
      </c>
      <c r="F454" s="5">
        <f>(pima_data!F454-AVERAGE(pima_data!$F$1:$F$768))/_xlfn.STDEV.P(pima_data!$F$1:$F$768)</f>
        <v>-1.57285666365981</v>
      </c>
      <c r="G454" s="5">
        <f>(pima_data!G454-AVERAGE(pima_data!$G$1:$G$768))/_xlfn.STDEV.P(pima_data!$G$1:$G$768)</f>
        <v>1.08761630623663</v>
      </c>
      <c r="H454" s="5">
        <f>(pima_data!H454-AVERAGE(pima_data!$H$1:$H$768))/_xlfn.STDEV.P(pima_data!$H$1:$H$768)</f>
        <v>3.29792597338628</v>
      </c>
    </row>
    <row r="455" spans="1:8">
      <c r="A455" s="5">
        <f>(pima_data!A455-AVERAGE(pima_data!$A$1:$A$768))/_xlfn.STDEV.P(pima_data!$A$1:$A$768)</f>
        <v>-0.547918590722547</v>
      </c>
      <c r="B455" s="5">
        <f>(pima_data!B455-AVERAGE(pima_data!$B$1:$B$768))/_xlfn.STDEV.P(pima_data!$B$1:$B$768)</f>
        <v>-0.65393918107232</v>
      </c>
      <c r="C455" s="5">
        <f>(pima_data!C455-AVERAGE(pima_data!$C$1:$C$768))/_xlfn.STDEV.P(pima_data!$C$1:$C$768)</f>
        <v>-0.780918745497004</v>
      </c>
      <c r="D455" s="5">
        <f>(pima_data!D455-AVERAGE(pima_data!$D$1:$D$768))/_xlfn.STDEV.P(pima_data!$D$1:$D$768)</f>
        <v>0.468173497628841</v>
      </c>
      <c r="E455" s="5">
        <f>(pima_data!E455-AVERAGE(pima_data!$E$1:$E$768))/_xlfn.STDEV.P(pima_data!$E$1:$E$768)</f>
        <v>0.218813499595445</v>
      </c>
      <c r="F455" s="5">
        <f>(pima_data!F455-AVERAGE(pima_data!$F$1:$F$768))/_xlfn.STDEV.P(pima_data!$F$1:$F$768)</f>
        <v>0.737073601848085</v>
      </c>
      <c r="G455" s="5">
        <f>(pima_data!G455-AVERAGE(pima_data!$G$1:$G$768))/_xlfn.STDEV.P(pima_data!$G$1:$G$768)</f>
        <v>0.0788966679997326</v>
      </c>
      <c r="H455" s="5">
        <f>(pima_data!H455-AVERAGE(pima_data!$H$1:$H$768))/_xlfn.STDEV.P(pima_data!$H$1:$H$768)</f>
        <v>-0.786286177079398</v>
      </c>
    </row>
    <row r="456" spans="1:8">
      <c r="A456" s="5">
        <f>(pima_data!A456-AVERAGE(pima_data!$A$1:$A$768))/_xlfn.STDEV.P(pima_data!$A$1:$A$768)</f>
        <v>3.01567896192318</v>
      </c>
      <c r="B456" s="5">
        <f>(pima_data!B456-AVERAGE(pima_data!$B$1:$B$768))/_xlfn.STDEV.P(pima_data!$B$1:$B$768)</f>
        <v>1.69334671845816</v>
      </c>
      <c r="C456" s="5">
        <f>(pima_data!C456-AVERAGE(pima_data!$C$1:$C$768))/_xlfn.STDEV.P(pima_data!$C$1:$C$768)</f>
        <v>-0.367336746330243</v>
      </c>
      <c r="D456" s="5">
        <f>(pima_data!D456-AVERAGE(pima_data!$D$1:$D$768))/_xlfn.STDEV.P(pima_data!$D$1:$D$768)</f>
        <v>0.593629619812703</v>
      </c>
      <c r="E456" s="5">
        <f>(pima_data!E456-AVERAGE(pima_data!$E$1:$E$768))/_xlfn.STDEV.P(pima_data!$E$1:$E$768)</f>
        <v>-0.692890572295466</v>
      </c>
      <c r="F456" s="5">
        <f>(pima_data!F456-AVERAGE(pima_data!$F$1:$F$768))/_xlfn.STDEV.P(pima_data!$F$1:$F$768)</f>
        <v>0.204012771346264</v>
      </c>
      <c r="G456" s="5">
        <f>(pima_data!G456-AVERAGE(pima_data!$G$1:$G$768))/_xlfn.STDEV.P(pima_data!$G$1:$G$768)</f>
        <v>-0.78485727372408</v>
      </c>
      <c r="H456" s="5">
        <f>(pima_data!H456-AVERAGE(pima_data!$H$1:$H$768))/_xlfn.STDEV.P(pima_data!$H$1:$H$768)</f>
        <v>0.404942366806425</v>
      </c>
    </row>
    <row r="457" spans="1:8">
      <c r="A457" s="5">
        <f>(pima_data!A457-AVERAGE(pima_data!$A$1:$A$768))/_xlfn.STDEV.P(pima_data!$A$1:$A$768)</f>
        <v>-0.844885053443025</v>
      </c>
      <c r="B457" s="5">
        <f>(pima_data!B457-AVERAGE(pima_data!$B$1:$B$768))/_xlfn.STDEV.P(pima_data!$B$1:$B$768)</f>
        <v>0.441460905375238</v>
      </c>
      <c r="C457" s="5">
        <f>(pima_data!C457-AVERAGE(pima_data!$C$1:$C$768))/_xlfn.STDEV.P(pima_data!$C$1:$C$768)</f>
        <v>-0.780918745497004</v>
      </c>
      <c r="D457" s="5">
        <f>(pima_data!D457-AVERAGE(pima_data!$D$1:$D$768))/_xlfn.STDEV.P(pima_data!$D$1:$D$768)</f>
        <v>-1.28821221294523</v>
      </c>
      <c r="E457" s="5">
        <f>(pima_data!E457-AVERAGE(pima_data!$E$1:$E$768))/_xlfn.STDEV.P(pima_data!$E$1:$E$768)</f>
        <v>-0.692890572295466</v>
      </c>
      <c r="F457" s="5">
        <f>(pima_data!F457-AVERAGE(pima_data!$F$1:$F$768))/_xlfn.STDEV.P(pima_data!$F$1:$F$768)</f>
        <v>-0.671730021621014</v>
      </c>
      <c r="G457" s="5">
        <f>(pima_data!G457-AVERAGE(pima_data!$G$1:$G$768))/_xlfn.STDEV.P(pima_data!$G$1:$G$768)</f>
        <v>0.649699098020015</v>
      </c>
      <c r="H457" s="5">
        <f>(pima_data!H457-AVERAGE(pima_data!$H$1:$H$768))/_xlfn.STDEV.P(pima_data!$H$1:$H$768)</f>
        <v>2.44704844203926</v>
      </c>
    </row>
    <row r="458" spans="1:8">
      <c r="A458" s="5">
        <f>(pima_data!A458-AVERAGE(pima_data!$A$1:$A$768))/_xlfn.STDEV.P(pima_data!$A$1:$A$768)</f>
        <v>0.342980797438884</v>
      </c>
      <c r="B458" s="5">
        <f>(pima_data!B458-AVERAGE(pima_data!$B$1:$B$768))/_xlfn.STDEV.P(pima_data!$B$1:$B$768)</f>
        <v>-1.09209921565134</v>
      </c>
      <c r="C458" s="5">
        <f>(pima_data!C458-AVERAGE(pima_data!$C$1:$C$768))/_xlfn.STDEV.P(pima_data!$C$1:$C$768)</f>
        <v>-0.0571502469551726</v>
      </c>
      <c r="D458" s="5">
        <f>(pima_data!D458-AVERAGE(pima_data!$D$1:$D$768))/_xlfn.STDEV.P(pima_data!$D$1:$D$768)</f>
        <v>0.468173497628841</v>
      </c>
      <c r="E458" s="5">
        <f>(pima_data!E458-AVERAGE(pima_data!$E$1:$E$768))/_xlfn.STDEV.P(pima_data!$E$1:$E$768)</f>
        <v>-0.0764049617787548</v>
      </c>
      <c r="F458" s="5">
        <f>(pima_data!F458-AVERAGE(pima_data!$F$1:$F$768))/_xlfn.STDEV.P(pima_data!$F$1:$F$768)</f>
        <v>-0.227512662869497</v>
      </c>
      <c r="G458" s="5">
        <f>(pima_data!G458-AVERAGE(pima_data!$G$1:$G$768))/_xlfn.STDEV.P(pima_data!$G$1:$G$768)</f>
        <v>-0.32579923476597</v>
      </c>
      <c r="H458" s="5">
        <f>(pima_data!H458-AVERAGE(pima_data!$H$1:$H$768))/_xlfn.STDEV.P(pima_data!$H$1:$H$768)</f>
        <v>-0.786286177079398</v>
      </c>
    </row>
    <row r="459" spans="1:8">
      <c r="A459" s="5">
        <f>(pima_data!A459-AVERAGE(pima_data!$A$1:$A$768))/_xlfn.STDEV.P(pima_data!$A$1:$A$768)</f>
        <v>1.82781311104127</v>
      </c>
      <c r="B459" s="5">
        <f>(pima_data!B459-AVERAGE(pima_data!$B$1:$B$768))/_xlfn.STDEV.P(pima_data!$B$1:$B$768)</f>
        <v>0.848323794627188</v>
      </c>
      <c r="C459" s="5">
        <f>(pima_data!C459-AVERAGE(pima_data!$C$1:$C$768))/_xlfn.STDEV.P(pima_data!$C$1:$C$768)</f>
        <v>0.77001375137835</v>
      </c>
      <c r="D459" s="5">
        <f>(pima_data!D459-AVERAGE(pima_data!$D$1:$D$768))/_xlfn.STDEV.P(pima_data!$D$1:$D$768)</f>
        <v>1.72273471946746</v>
      </c>
      <c r="E459" s="5">
        <f>(pima_data!E459-AVERAGE(pima_data!$E$1:$E$768))/_xlfn.STDEV.P(pima_data!$E$1:$E$768)</f>
        <v>1.36495576140116</v>
      </c>
      <c r="F459" s="5">
        <f>(pima_data!F459-AVERAGE(pima_data!$F$1:$F$768))/_xlfn.STDEV.P(pima_data!$F$1:$F$768)</f>
        <v>0.71168975277657</v>
      </c>
      <c r="G459" s="5">
        <f>(pima_data!G459-AVERAGE(pima_data!$G$1:$G$768))/_xlfn.STDEV.P(pima_data!$G$1:$G$768)</f>
        <v>1.59801636270979</v>
      </c>
      <c r="H459" s="5">
        <f>(pima_data!H459-AVERAGE(pima_data!$H$1:$H$768))/_xlfn.STDEV.P(pima_data!$H$1:$H$768)</f>
        <v>1.51108315755755</v>
      </c>
    </row>
    <row r="460" spans="1:8">
      <c r="A460" s="5">
        <f>(pima_data!A460-AVERAGE(pima_data!$A$1:$A$768))/_xlfn.STDEV.P(pima_data!$A$1:$A$768)</f>
        <v>1.53084664832079</v>
      </c>
      <c r="B460" s="5">
        <f>(pima_data!B460-AVERAGE(pima_data!$B$1:$B$768))/_xlfn.STDEV.P(pima_data!$B$1:$B$768)</f>
        <v>0.410163760048165</v>
      </c>
      <c r="C460" s="5">
        <f>(pima_data!C460-AVERAGE(pima_data!$C$1:$C$768))/_xlfn.STDEV.P(pima_data!$C$1:$C$768)</f>
        <v>0.253036252419898</v>
      </c>
      <c r="D460" s="5">
        <f>(pima_data!D460-AVERAGE(pima_data!$D$1:$D$768))/_xlfn.STDEV.P(pima_data!$D$1:$D$768)</f>
        <v>0.781813803088497</v>
      </c>
      <c r="E460" s="5">
        <f>(pima_data!E460-AVERAGE(pima_data!$E$1:$E$768))/_xlfn.STDEV.P(pima_data!$E$1:$E$768)</f>
        <v>-0.171916816929231</v>
      </c>
      <c r="F460" s="5">
        <f>(pima_data!F460-AVERAGE(pima_data!$F$1:$F$768))/_xlfn.STDEV.P(pima_data!$F$1:$F$768)</f>
        <v>-0.773265417907076</v>
      </c>
      <c r="G460" s="5">
        <f>(pima_data!G460-AVERAGE(pima_data!$G$1:$G$768))/_xlfn.STDEV.P(pima_data!$G$1:$G$768)</f>
        <v>-0.0358678417397949</v>
      </c>
      <c r="H460" s="5">
        <f>(pima_data!H460-AVERAGE(pima_data!$H$1:$H$768))/_xlfn.STDEV.P(pima_data!$H$1:$H$768)</f>
        <v>4.0637157515986</v>
      </c>
    </row>
    <row r="461" spans="1:8">
      <c r="A461" s="5">
        <f>(pima_data!A461-AVERAGE(pima_data!$A$1:$A$768))/_xlfn.STDEV.P(pima_data!$A$1:$A$768)</f>
        <v>1.53084664832079</v>
      </c>
      <c r="B461" s="5">
        <f>(pima_data!B461-AVERAGE(pima_data!$B$1:$B$768))/_xlfn.STDEV.P(pima_data!$B$1:$B$768)</f>
        <v>-0.0279962745308584</v>
      </c>
      <c r="C461" s="5">
        <f>(pima_data!C461-AVERAGE(pima_data!$C$1:$C$768))/_xlfn.STDEV.P(pima_data!$C$1:$C$768)</f>
        <v>0.149640752628208</v>
      </c>
      <c r="D461" s="5">
        <f>(pima_data!D461-AVERAGE(pima_data!$D$1:$D$768))/_xlfn.STDEV.P(pima_data!$D$1:$D$768)</f>
        <v>0.0918051310772535</v>
      </c>
      <c r="E461" s="5">
        <f>(pima_data!E461-AVERAGE(pima_data!$E$1:$E$768))/_xlfn.STDEV.P(pima_data!$E$1:$E$768)</f>
        <v>-0.206648400620314</v>
      </c>
      <c r="F461" s="5">
        <f>(pima_data!F461-AVERAGE(pima_data!$F$1:$F$768))/_xlfn.STDEV.P(pima_data!$F$1:$F$768)</f>
        <v>-1.42055356923072</v>
      </c>
      <c r="G461" s="5">
        <f>(pima_data!G461-AVERAGE(pima_data!$G$1:$G$768))/_xlfn.STDEV.P(pima_data!$G$1:$G$768)</f>
        <v>0.78862455717839</v>
      </c>
      <c r="H461" s="5">
        <f>(pima_data!H461-AVERAGE(pima_data!$H$1:$H$768))/_xlfn.STDEV.P(pima_data!$H$1:$H$768)</f>
        <v>1.25581989815344</v>
      </c>
    </row>
    <row r="462" spans="1:8">
      <c r="A462" s="5">
        <f>(pima_data!A462-AVERAGE(pima_data!$A$1:$A$768))/_xlfn.STDEV.P(pima_data!$A$1:$A$768)</f>
        <v>-0.844885053443025</v>
      </c>
      <c r="B462" s="5">
        <f>(pima_data!B462-AVERAGE(pima_data!$B$1:$B$768))/_xlfn.STDEV.P(pima_data!$B$1:$B$768)</f>
        <v>-1.56155639555744</v>
      </c>
      <c r="C462" s="5">
        <f>(pima_data!C462-AVERAGE(pima_data!$C$1:$C$768))/_xlfn.STDEV.P(pima_data!$C$1:$C$768)</f>
        <v>-0.367336746330243</v>
      </c>
      <c r="D462" s="5">
        <f>(pima_data!D462-AVERAGE(pima_data!$D$1:$D$768))/_xlfn.STDEV.P(pima_data!$D$1:$D$768)</f>
        <v>-1.28821221294523</v>
      </c>
      <c r="E462" s="5">
        <f>(pima_data!E462-AVERAGE(pima_data!$E$1:$E$768))/_xlfn.STDEV.P(pima_data!$E$1:$E$768)</f>
        <v>-0.692890572295466</v>
      </c>
      <c r="F462" s="5">
        <f>(pima_data!F462-AVERAGE(pima_data!$F$1:$F$768))/_xlfn.STDEV.P(pima_data!$F$1:$F$768)</f>
        <v>-1.29363432387314</v>
      </c>
      <c r="G462" s="5">
        <f>(pima_data!G462-AVERAGE(pima_data!$G$1:$G$768))/_xlfn.STDEV.P(pima_data!$G$1:$G$768)</f>
        <v>-0.168753063543459</v>
      </c>
      <c r="H462" s="5">
        <f>(pima_data!H462-AVERAGE(pima_data!$H$1:$H$768))/_xlfn.STDEV.P(pima_data!$H$1:$H$768)</f>
        <v>-0.616110670809994</v>
      </c>
    </row>
    <row r="463" spans="1:8">
      <c r="A463" s="5">
        <f>(pima_data!A463-AVERAGE(pima_data!$A$1:$A$768))/_xlfn.STDEV.P(pima_data!$A$1:$A$768)</f>
        <v>1.23388018560032</v>
      </c>
      <c r="B463" s="5">
        <f>(pima_data!B463-AVERAGE(pima_data!$B$1:$B$768))/_xlfn.STDEV.P(pima_data!$B$1:$B$768)</f>
        <v>-1.46766495957622</v>
      </c>
      <c r="C463" s="5">
        <f>(pima_data!C463-AVERAGE(pima_data!$C$1:$C$768))/_xlfn.STDEV.P(pima_data!$C$1:$C$768)</f>
        <v>0.0462452528365177</v>
      </c>
      <c r="D463" s="5">
        <f>(pima_data!D463-AVERAGE(pima_data!$D$1:$D$768))/_xlfn.STDEV.P(pima_data!$D$1:$D$768)</f>
        <v>1.22091023073201</v>
      </c>
      <c r="E463" s="5">
        <f>(pima_data!E463-AVERAGE(pima_data!$E$1:$E$768))/_xlfn.STDEV.P(pima_data!$E$1:$E$768)</f>
        <v>-0.267428672079708</v>
      </c>
      <c r="F463" s="5">
        <f>(pima_data!F463-AVERAGE(pima_data!$F$1:$F$768))/_xlfn.STDEV.P(pima_data!$F$1:$F$768)</f>
        <v>0.419775488454143</v>
      </c>
      <c r="G463" s="5">
        <f>(pima_data!G463-AVERAGE(pima_data!$G$1:$G$768))/_xlfn.STDEV.P(pima_data!$G$1:$G$768)</f>
        <v>0.704061234212422</v>
      </c>
      <c r="H463" s="5">
        <f>(pima_data!H463-AVERAGE(pima_data!$H$1:$H$768))/_xlfn.STDEV.P(pima_data!$H$1:$H$768)</f>
        <v>0.490030119941127</v>
      </c>
    </row>
    <row r="464" spans="1:8">
      <c r="A464" s="5">
        <f>(pima_data!A464-AVERAGE(pima_data!$A$1:$A$768))/_xlfn.STDEV.P(pima_data!$A$1:$A$768)</f>
        <v>0.342980797438884</v>
      </c>
      <c r="B464" s="5">
        <f>(pima_data!B464-AVERAGE(pima_data!$B$1:$B$768))/_xlfn.STDEV.P(pima_data!$B$1:$B$768)</f>
        <v>-1.0295049249972</v>
      </c>
      <c r="C464" s="5">
        <f>(pima_data!C464-AVERAGE(pima_data!$C$1:$C$768))/_xlfn.STDEV.P(pima_data!$C$1:$C$768)</f>
        <v>0.459827252003279</v>
      </c>
      <c r="D464" s="5">
        <f>(pima_data!D464-AVERAGE(pima_data!$D$1:$D$768))/_xlfn.STDEV.P(pima_data!$D$1:$D$768)</f>
        <v>0.593629619812703</v>
      </c>
      <c r="E464" s="5">
        <f>(pima_data!E464-AVERAGE(pima_data!$E$1:$E$768))/_xlfn.STDEV.P(pima_data!$E$1:$E$768)</f>
        <v>-0.692890572295466</v>
      </c>
      <c r="F464" s="5">
        <f>(pima_data!F464-AVERAGE(pima_data!$F$1:$F$768))/_xlfn.STDEV.P(pima_data!$F$1:$F$768)</f>
        <v>-0.557502700799195</v>
      </c>
      <c r="G464" s="5">
        <f>(pima_data!G464-AVERAGE(pima_data!$G$1:$G$768))/_xlfn.STDEV.P(pima_data!$G$1:$G$768)</f>
        <v>-0.645931814565705</v>
      </c>
      <c r="H464" s="5">
        <f>(pima_data!H464-AVERAGE(pima_data!$H$1:$H$768))/_xlfn.STDEV.P(pima_data!$H$1:$H$768)</f>
        <v>0.319854613671724</v>
      </c>
    </row>
    <row r="465" spans="1:8">
      <c r="A465" s="5">
        <f>(pima_data!A465-AVERAGE(pima_data!$A$1:$A$768))/_xlfn.STDEV.P(pima_data!$A$1:$A$768)</f>
        <v>1.82781311104127</v>
      </c>
      <c r="B465" s="5">
        <f>(pima_data!B465-AVERAGE(pima_data!$B$1:$B$768))/_xlfn.STDEV.P(pima_data!$B$1:$B$768)</f>
        <v>-0.184482001166224</v>
      </c>
      <c r="C465" s="5">
        <f>(pima_data!C465-AVERAGE(pima_data!$C$1:$C$768))/_xlfn.STDEV.P(pima_data!$C$1:$C$768)</f>
        <v>1.49378224992018</v>
      </c>
      <c r="D465" s="5">
        <f>(pima_data!D465-AVERAGE(pima_data!$D$1:$D$768))/_xlfn.STDEV.P(pima_data!$D$1:$D$768)</f>
        <v>-1.28821221294523</v>
      </c>
      <c r="E465" s="5">
        <f>(pima_data!E465-AVERAGE(pima_data!$E$1:$E$768))/_xlfn.STDEV.P(pima_data!$E$1:$E$768)</f>
        <v>-0.692890572295466</v>
      </c>
      <c r="F465" s="5">
        <f>(pima_data!F465-AVERAGE(pima_data!$F$1:$F$768))/_xlfn.STDEV.P(pima_data!$F$1:$F$768)</f>
        <v>-1.01441198408647</v>
      </c>
      <c r="G465" s="5">
        <f>(pima_data!G465-AVERAGE(pima_data!$G$1:$G$768))/_xlfn.STDEV.P(pima_data!$G$1:$G$768)</f>
        <v>1.66143885493427</v>
      </c>
      <c r="H465" s="5">
        <f>(pima_data!H465-AVERAGE(pima_data!$H$1:$H$768))/_xlfn.STDEV.P(pima_data!$H$1:$H$768)</f>
        <v>0.0645913542676188</v>
      </c>
    </row>
    <row r="466" spans="1:8">
      <c r="A466" s="5">
        <f>(pima_data!A466-AVERAGE(pima_data!$A$1:$A$768))/_xlfn.STDEV.P(pima_data!$A$1:$A$768)</f>
        <v>-1.1418515161635</v>
      </c>
      <c r="B466" s="5">
        <f>(pima_data!B466-AVERAGE(pima_data!$B$1:$B$768))/_xlfn.STDEV.P(pima_data!$B$1:$B$768)</f>
        <v>0.097192306777434</v>
      </c>
      <c r="C466" s="5">
        <f>(pima_data!C466-AVERAGE(pima_data!$C$1:$C$768))/_xlfn.STDEV.P(pima_data!$C$1:$C$768)</f>
        <v>-0.677523245705314</v>
      </c>
      <c r="D466" s="5">
        <f>(pima_data!D466-AVERAGE(pima_data!$D$1:$D$768))/_xlfn.STDEV.P(pima_data!$D$1:$D$768)</f>
        <v>-0.472747418750127</v>
      </c>
      <c r="E466" s="5">
        <f>(pima_data!E466-AVERAGE(pima_data!$E$1:$E$768))/_xlfn.STDEV.P(pima_data!$E$1:$E$768)</f>
        <v>0.218813499595445</v>
      </c>
      <c r="F466" s="5">
        <f>(pima_data!F466-AVERAGE(pima_data!$F$1:$F$768))/_xlfn.STDEV.P(pima_data!$F$1:$F$768)</f>
        <v>-1.29363432387314</v>
      </c>
      <c r="G466" s="5">
        <f>(pima_data!G466-AVERAGE(pima_data!$G$1:$G$768))/_xlfn.STDEV.P(pima_data!$G$1:$G$768)</f>
        <v>-0.0600287911586428</v>
      </c>
      <c r="H466" s="5">
        <f>(pima_data!H466-AVERAGE(pima_data!$H$1:$H$768))/_xlfn.STDEV.P(pima_data!$H$1:$H$768)</f>
        <v>-1.0415494364835</v>
      </c>
    </row>
    <row r="467" spans="1:8">
      <c r="A467" s="5">
        <f>(pima_data!A467-AVERAGE(pima_data!$A$1:$A$768))/_xlfn.STDEV.P(pima_data!$A$1:$A$768)</f>
        <v>-1.1418515161635</v>
      </c>
      <c r="B467" s="5">
        <f>(pima_data!B467-AVERAGE(pima_data!$B$1:$B$768))/_xlfn.STDEV.P(pima_data!$B$1:$B$768)</f>
        <v>-1.46766495957622</v>
      </c>
      <c r="C467" s="5">
        <f>(pima_data!C467-AVERAGE(pima_data!$C$1:$C$768))/_xlfn.STDEV.P(pima_data!$C$1:$C$768)</f>
        <v>-0.884314245288695</v>
      </c>
      <c r="D467" s="5">
        <f>(pima_data!D467-AVERAGE(pima_data!$D$1:$D$768))/_xlfn.STDEV.P(pima_data!$D$1:$D$768)</f>
        <v>-0.660931602025921</v>
      </c>
      <c r="E467" s="5">
        <f>(pima_data!E467-AVERAGE(pima_data!$E$1:$E$768))/_xlfn.STDEV.P(pima_data!$E$1:$E$768)</f>
        <v>-0.380306319075725</v>
      </c>
      <c r="F467" s="5">
        <f>(pima_data!F467-AVERAGE(pima_data!$F$1:$F$768))/_xlfn.STDEV.P(pima_data!$F$1:$F$768)</f>
        <v>-0.53211885172768</v>
      </c>
      <c r="G467" s="5">
        <f>(pima_data!G467-AVERAGE(pima_data!$G$1:$G$768))/_xlfn.STDEV.P(pima_data!$G$1:$G$768)</f>
        <v>-0.612710509114789</v>
      </c>
      <c r="H467" s="5">
        <f>(pima_data!H467-AVERAGE(pima_data!$H$1:$H$768))/_xlfn.STDEV.P(pima_data!$H$1:$H$768)</f>
        <v>-0.956461683348801</v>
      </c>
    </row>
    <row r="468" spans="1:8">
      <c r="A468" s="5">
        <f>(pima_data!A468-AVERAGE(pima_data!$A$1:$A$768))/_xlfn.STDEV.P(pima_data!$A$1:$A$768)</f>
        <v>-1.1418515161635</v>
      </c>
      <c r="B468" s="5">
        <f>(pima_data!B468-AVERAGE(pima_data!$B$1:$B$768))/_xlfn.STDEV.P(pima_data!$B$1:$B$768)</f>
        <v>-0.74783061705354</v>
      </c>
      <c r="C468" s="5">
        <f>(pima_data!C468-AVERAGE(pima_data!$C$1:$C$768))/_xlfn.STDEV.P(pima_data!$C$1:$C$768)</f>
        <v>-0.263941246538553</v>
      </c>
      <c r="D468" s="5">
        <f>(pima_data!D468-AVERAGE(pima_data!$D$1:$D$768))/_xlfn.STDEV.P(pima_data!$D$1:$D$768)</f>
        <v>0.96999798636429</v>
      </c>
      <c r="E468" s="5">
        <f>(pima_data!E468-AVERAGE(pima_data!$E$1:$E$768))/_xlfn.STDEV.P(pima_data!$E$1:$E$768)</f>
        <v>0.175399019981592</v>
      </c>
      <c r="F468" s="5">
        <f>(pima_data!F468-AVERAGE(pima_data!$F$1:$F$768))/_xlfn.STDEV.P(pima_data!$F$1:$F$768)</f>
        <v>0.610154356490508</v>
      </c>
      <c r="G468" s="5">
        <f>(pima_data!G468-AVERAGE(pima_data!$G$1:$G$768))/_xlfn.STDEV.P(pima_data!$G$1:$G$768)</f>
        <v>0.386948773090043</v>
      </c>
      <c r="H468" s="5">
        <f>(pima_data!H468-AVERAGE(pima_data!$H$1:$H$768))/_xlfn.STDEV.P(pima_data!$H$1:$H$768)</f>
        <v>-0.701198423944696</v>
      </c>
    </row>
    <row r="469" spans="1:8">
      <c r="A469" s="5">
        <f>(pima_data!A469-AVERAGE(pima_data!$A$1:$A$768))/_xlfn.STDEV.P(pima_data!$A$1:$A$768)</f>
        <v>1.23388018560032</v>
      </c>
      <c r="B469" s="5">
        <f>(pima_data!B469-AVERAGE(pima_data!$B$1:$B$768))/_xlfn.STDEV.P(pima_data!$B$1:$B$768)</f>
        <v>-0.0279962745308584</v>
      </c>
      <c r="C469" s="5">
        <f>(pima_data!C469-AVERAGE(pima_data!$C$1:$C$768))/_xlfn.STDEV.P(pima_data!$C$1:$C$768)</f>
        <v>-3.57259723987264</v>
      </c>
      <c r="D469" s="5">
        <f>(pima_data!D469-AVERAGE(pima_data!$D$1:$D$768))/_xlfn.STDEV.P(pima_data!$D$1:$D$768)</f>
        <v>-1.28821221294523</v>
      </c>
      <c r="E469" s="5">
        <f>(pima_data!E469-AVERAGE(pima_data!$E$1:$E$768))/_xlfn.STDEV.P(pima_data!$E$1:$E$768)</f>
        <v>-0.692890572295466</v>
      </c>
      <c r="F469" s="5">
        <f>(pima_data!F469-AVERAGE(pima_data!$F$1:$F$768))/_xlfn.STDEV.P(pima_data!$F$1:$F$768)</f>
        <v>-0.252896511941012</v>
      </c>
      <c r="G469" s="5">
        <f>(pima_data!G469-AVERAGE(pima_data!$G$1:$G$768))/_xlfn.STDEV.P(pima_data!$G$1:$G$768)</f>
        <v>-0.872440715367404</v>
      </c>
      <c r="H469" s="5">
        <f>(pima_data!H469-AVERAGE(pima_data!$H$1:$H$768))/_xlfn.STDEV.P(pima_data!$H$1:$H$768)</f>
        <v>0.404942366806425</v>
      </c>
    </row>
    <row r="470" spans="1:8">
      <c r="A470" s="5">
        <f>(pima_data!A470-AVERAGE(pima_data!$A$1:$A$768))/_xlfn.STDEV.P(pima_data!$A$1:$A$768)</f>
        <v>0.639947260159362</v>
      </c>
      <c r="B470" s="5">
        <f>(pima_data!B470-AVERAGE(pima_data!$B$1:$B$768))/_xlfn.STDEV.P(pima_data!$B$1:$B$768)</f>
        <v>1.03610666658963</v>
      </c>
      <c r="C470" s="5">
        <f>(pima_data!C470-AVERAGE(pima_data!$C$1:$C$768))/_xlfn.STDEV.P(pima_data!$C$1:$C$768)</f>
        <v>0.459827252003279</v>
      </c>
      <c r="D470" s="5">
        <f>(pima_data!D470-AVERAGE(pima_data!$D$1:$D$768))/_xlfn.STDEV.P(pima_data!$D$1:$D$768)</f>
        <v>1.28363829182395</v>
      </c>
      <c r="E470" s="5">
        <f>(pima_data!E470-AVERAGE(pima_data!$E$1:$E$768))/_xlfn.STDEV.P(pima_data!$E$1:$E$768)</f>
        <v>0.522714856892416</v>
      </c>
      <c r="F470" s="5">
        <f>(pima_data!F470-AVERAGE(pima_data!$F$1:$F$768))/_xlfn.STDEV.P(pima_data!$F$1:$F$768)</f>
        <v>1.79050333831597</v>
      </c>
      <c r="G470" s="5">
        <f>(pima_data!G470-AVERAGE(pima_data!$G$1:$G$768))/_xlfn.STDEV.P(pima_data!$G$1:$G$768)</f>
        <v>0.29936533144672</v>
      </c>
      <c r="H470" s="5">
        <f>(pima_data!H470-AVERAGE(pima_data!$H$1:$H$768))/_xlfn.STDEV.P(pima_data!$H$1:$H$768)</f>
        <v>-0.531022917675293</v>
      </c>
    </row>
    <row r="471" spans="1:8">
      <c r="A471" s="5">
        <f>(pima_data!A471-AVERAGE(pima_data!$A$1:$A$768))/_xlfn.STDEV.P(pima_data!$A$1:$A$768)</f>
        <v>-0.844885053443025</v>
      </c>
      <c r="B471" s="5">
        <f>(pima_data!B471-AVERAGE(pima_data!$B$1:$B$768))/_xlfn.STDEV.P(pima_data!$B$1:$B$768)</f>
        <v>0.723135213318896</v>
      </c>
      <c r="C471" s="5">
        <f>(pima_data!C471-AVERAGE(pima_data!$C$1:$C$768))/_xlfn.STDEV.P(pima_data!$C$1:$C$768)</f>
        <v>0.666618251586659</v>
      </c>
      <c r="D471" s="5">
        <f>(pima_data!D471-AVERAGE(pima_data!$D$1:$D$768))/_xlfn.STDEV.P(pima_data!$D$1:$D$768)</f>
        <v>1.22091023073201</v>
      </c>
      <c r="E471" s="5">
        <f>(pima_data!E471-AVERAGE(pima_data!$E$1:$E$768))/_xlfn.STDEV.P(pima_data!$E$1:$E$768)</f>
        <v>-0.692890572295466</v>
      </c>
      <c r="F471" s="5">
        <f>(pima_data!F471-AVERAGE(pima_data!$F$1:$F$768))/_xlfn.STDEV.P(pima_data!$F$1:$F$768)</f>
        <v>1.1812909605996</v>
      </c>
      <c r="G471" s="5">
        <f>(pima_data!G471-AVERAGE(pima_data!$G$1:$G$768))/_xlfn.STDEV.P(pima_data!$G$1:$G$768)</f>
        <v>0.408089603831535</v>
      </c>
      <c r="H471" s="5">
        <f>(pima_data!H471-AVERAGE(pima_data!$H$1:$H$768))/_xlfn.STDEV.P(pima_data!$H$1:$H$768)</f>
        <v>-0.445935164540591</v>
      </c>
    </row>
    <row r="472" spans="1:8">
      <c r="A472" s="5">
        <f>(pima_data!A472-AVERAGE(pima_data!$A$1:$A$768))/_xlfn.STDEV.P(pima_data!$A$1:$A$768)</f>
        <v>-1.1418515161635</v>
      </c>
      <c r="B472" s="5">
        <f>(pima_data!B472-AVERAGE(pima_data!$B$1:$B$768))/_xlfn.STDEV.P(pima_data!$B$1:$B$768)</f>
        <v>0.504055196029384</v>
      </c>
      <c r="C472" s="5">
        <f>(pima_data!C472-AVERAGE(pima_data!$C$1:$C$768))/_xlfn.STDEV.P(pima_data!$C$1:$C$768)</f>
        <v>0.0462452528365177</v>
      </c>
      <c r="D472" s="5">
        <f>(pima_data!D472-AVERAGE(pima_data!$D$1:$D$768))/_xlfn.STDEV.P(pima_data!$D$1:$D$768)</f>
        <v>1.09545410854815</v>
      </c>
      <c r="E472" s="5">
        <f>(pima_data!E472-AVERAGE(pima_data!$E$1:$E$768))/_xlfn.STDEV.P(pima_data!$E$1:$E$768)</f>
        <v>-0.692890572295466</v>
      </c>
      <c r="F472" s="5">
        <f>(pima_data!F472-AVERAGE(pima_data!$F$1:$F$768))/_xlfn.STDEV.P(pima_data!$F$1:$F$768)</f>
        <v>0.153245073203233</v>
      </c>
      <c r="G472" s="5">
        <f>(pima_data!G472-AVERAGE(pima_data!$G$1:$G$768))/_xlfn.STDEV.P(pima_data!$G$1:$G$768)</f>
        <v>-0.911702258173032</v>
      </c>
      <c r="H472" s="5">
        <f>(pima_data!H472-AVERAGE(pima_data!$H$1:$H$768))/_xlfn.STDEV.P(pima_data!$H$1:$H$768)</f>
        <v>-0.956461683348801</v>
      </c>
    </row>
    <row r="473" spans="1:8">
      <c r="A473" s="5">
        <f>(pima_data!A473-AVERAGE(pima_data!$A$1:$A$768))/_xlfn.STDEV.P(pima_data!$A$1:$A$768)</f>
        <v>-1.1418515161635</v>
      </c>
      <c r="B473" s="5">
        <f>(pima_data!B473-AVERAGE(pima_data!$B$1:$B$768))/_xlfn.STDEV.P(pima_data!$B$1:$B$768)</f>
        <v>-0.0592934198579315</v>
      </c>
      <c r="C473" s="5">
        <f>(pima_data!C473-AVERAGE(pima_data!$C$1:$C$768))/_xlfn.STDEV.P(pima_data!$C$1:$C$768)</f>
        <v>-0.160545746746863</v>
      </c>
      <c r="D473" s="5">
        <f>(pima_data!D473-AVERAGE(pima_data!$D$1:$D$768))/_xlfn.STDEV.P(pima_data!$D$1:$D$768)</f>
        <v>0.40544543653691</v>
      </c>
      <c r="E473" s="5">
        <f>(pima_data!E473-AVERAGE(pima_data!$E$1:$E$768))/_xlfn.STDEV.P(pima_data!$E$1:$E$768)</f>
        <v>-0.692890572295466</v>
      </c>
      <c r="F473" s="5">
        <f>(pima_data!F473-AVERAGE(pima_data!$F$1:$F$768))/_xlfn.STDEV.P(pima_data!$F$1:$F$768)</f>
        <v>0.863992847205661</v>
      </c>
      <c r="G473" s="5">
        <f>(pima_data!G473-AVERAGE(pima_data!$G$1:$G$768))/_xlfn.STDEV.P(pima_data!$G$1:$G$768)</f>
        <v>-0.642911695888349</v>
      </c>
      <c r="H473" s="5">
        <f>(pima_data!H473-AVERAGE(pima_data!$H$1:$H$768))/_xlfn.STDEV.P(pima_data!$H$1:$H$768)</f>
        <v>-0.956461683348801</v>
      </c>
    </row>
    <row r="474" spans="1:8">
      <c r="A474" s="5">
        <f>(pima_data!A474-AVERAGE(pima_data!$A$1:$A$768))/_xlfn.STDEV.P(pima_data!$A$1:$A$768)</f>
        <v>0.936913722879839</v>
      </c>
      <c r="B474" s="5">
        <f>(pima_data!B474-AVERAGE(pima_data!$B$1:$B$768))/_xlfn.STDEV.P(pima_data!$B$1:$B$768)</f>
        <v>0.472758050702311</v>
      </c>
      <c r="C474" s="5">
        <f>(pima_data!C474-AVERAGE(pima_data!$C$1:$C$768))/_xlfn.STDEV.P(pima_data!$C$1:$C$768)</f>
        <v>1.08020025075342</v>
      </c>
      <c r="D474" s="5">
        <f>(pima_data!D474-AVERAGE(pima_data!$D$1:$D$768))/_xlfn.STDEV.P(pima_data!$D$1:$D$768)</f>
        <v>-1.28821221294523</v>
      </c>
      <c r="E474" s="5">
        <f>(pima_data!E474-AVERAGE(pima_data!$E$1:$E$768))/_xlfn.STDEV.P(pima_data!$E$1:$E$768)</f>
        <v>-0.692890572295466</v>
      </c>
      <c r="F474" s="5">
        <f>(pima_data!F474-AVERAGE(pima_data!$F$1:$F$768))/_xlfn.STDEV.P(pima_data!$F$1:$F$768)</f>
        <v>-0.26558843647677</v>
      </c>
      <c r="G474" s="5">
        <f>(pima_data!G474-AVERAGE(pima_data!$G$1:$G$768))/_xlfn.STDEV.P(pima_data!$G$1:$G$768)</f>
        <v>-0.790897511078792</v>
      </c>
      <c r="H474" s="5">
        <f>(pima_data!H474-AVERAGE(pima_data!$H$1:$H$768))/_xlfn.STDEV.P(pima_data!$H$1:$H$768)</f>
        <v>1.42599540442285</v>
      </c>
    </row>
    <row r="475" spans="1:8">
      <c r="A475" s="5">
        <f>(pima_data!A475-AVERAGE(pima_data!$A$1:$A$768))/_xlfn.STDEV.P(pima_data!$A$1:$A$768)</f>
        <v>0.0460143347184072</v>
      </c>
      <c r="B475" s="5">
        <f>(pima_data!B475-AVERAGE(pima_data!$B$1:$B$768))/_xlfn.STDEV.P(pima_data!$B$1:$B$768)</f>
        <v>-0.215779146493297</v>
      </c>
      <c r="C475" s="5">
        <f>(pima_data!C475-AVERAGE(pima_data!$C$1:$C$768))/_xlfn.STDEV.P(pima_data!$C$1:$C$768)</f>
        <v>-0.263941246538553</v>
      </c>
      <c r="D475" s="5">
        <f>(pima_data!D475-AVERAGE(pima_data!$D$1:$D$768))/_xlfn.STDEV.P(pima_data!$D$1:$D$768)</f>
        <v>-1.28821221294523</v>
      </c>
      <c r="E475" s="5">
        <f>(pima_data!E475-AVERAGE(pima_data!$E$1:$E$768))/_xlfn.STDEV.P(pima_data!$E$1:$E$768)</f>
        <v>-0.692890572295466</v>
      </c>
      <c r="F475" s="5">
        <f>(pima_data!F475-AVERAGE(pima_data!$F$1:$F$768))/_xlfn.STDEV.P(pima_data!$F$1:$F$768)</f>
        <v>-0.392507681834346</v>
      </c>
      <c r="G475" s="5">
        <f>(pima_data!G475-AVERAGE(pima_data!$G$1:$G$768))/_xlfn.STDEV.P(pima_data!$G$1:$G$768)</f>
        <v>-1.0445874799767</v>
      </c>
      <c r="H475" s="5">
        <f>(pima_data!H475-AVERAGE(pima_data!$H$1:$H$768))/_xlfn.STDEV.P(pima_data!$H$1:$H$768)</f>
        <v>-0.786286177079398</v>
      </c>
    </row>
    <row r="476" spans="1:8">
      <c r="A476" s="5">
        <f>(pima_data!A476-AVERAGE(pima_data!$A$1:$A$768))/_xlfn.STDEV.P(pima_data!$A$1:$A$768)</f>
        <v>-1.1418515161635</v>
      </c>
      <c r="B476" s="5">
        <f>(pima_data!B476-AVERAGE(pima_data!$B$1:$B$768))/_xlfn.STDEV.P(pima_data!$B$1:$B$768)</f>
        <v>0.504055196029384</v>
      </c>
      <c r="C476" s="5">
        <f>(pima_data!C476-AVERAGE(pima_data!$C$1:$C$768))/_xlfn.STDEV.P(pima_data!$C$1:$C$768)</f>
        <v>0.77001375137835</v>
      </c>
      <c r="D476" s="5">
        <f>(pima_data!D476-AVERAGE(pima_data!$D$1:$D$768))/_xlfn.STDEV.P(pima_data!$D$1:$D$768)</f>
        <v>0.40544543653691</v>
      </c>
      <c r="E476" s="5">
        <f>(pima_data!E476-AVERAGE(pima_data!$E$1:$E$768))/_xlfn.STDEV.P(pima_data!$E$1:$E$768)</f>
        <v>-0.692890572295466</v>
      </c>
      <c r="F476" s="5">
        <f>(pima_data!F476-AVERAGE(pima_data!$F$1:$F$768))/_xlfn.STDEV.P(pima_data!$F$1:$F$768)</f>
        <v>-0.595578474406468</v>
      </c>
      <c r="G476" s="5">
        <f>(pima_data!G476-AVERAGE(pima_data!$G$1:$G$768))/_xlfn.STDEV.P(pima_data!$G$1:$G$768)</f>
        <v>-0.727475018854316</v>
      </c>
      <c r="H476" s="5">
        <f>(pima_data!H476-AVERAGE(pima_data!$H$1:$H$768))/_xlfn.STDEV.P(pima_data!$H$1:$H$768)</f>
        <v>2.19178518263516</v>
      </c>
    </row>
    <row r="477" spans="1:8">
      <c r="A477" s="5">
        <f>(pima_data!A477-AVERAGE(pima_data!$A$1:$A$768))/_xlfn.STDEV.P(pima_data!$A$1:$A$768)</f>
        <v>-0.547918590722547</v>
      </c>
      <c r="B477" s="5">
        <f>(pima_data!B477-AVERAGE(pima_data!$B$1:$B$768))/_xlfn.STDEV.P(pima_data!$B$1:$B$768)</f>
        <v>-0.497453454436955</v>
      </c>
      <c r="C477" s="5">
        <f>(pima_data!C477-AVERAGE(pima_data!$C$1:$C$768))/_xlfn.STDEV.P(pima_data!$C$1:$C$768)</f>
        <v>0.563222751794969</v>
      </c>
      <c r="D477" s="5">
        <f>(pima_data!D477-AVERAGE(pima_data!$D$1:$D$768))/_xlfn.STDEV.P(pima_data!$D$1:$D$768)</f>
        <v>1.53455053619167</v>
      </c>
      <c r="E477" s="5">
        <f>(pima_data!E477-AVERAGE(pima_data!$E$1:$E$768))/_xlfn.STDEV.P(pima_data!$E$1:$E$768)</f>
        <v>0.965542548953716</v>
      </c>
      <c r="F477" s="5">
        <f>(pima_data!F477-AVERAGE(pima_data!$F$1:$F$768))/_xlfn.STDEV.P(pima_data!$F$1:$F$768)</f>
        <v>0.216704695882022</v>
      </c>
      <c r="G477" s="5">
        <f>(pima_data!G477-AVERAGE(pima_data!$G$1:$G$768))/_xlfn.STDEV.P(pima_data!$G$1:$G$768)</f>
        <v>0.722181946276558</v>
      </c>
      <c r="H477" s="5">
        <f>(pima_data!H477-AVERAGE(pima_data!$H$1:$H$768))/_xlfn.STDEV.P(pima_data!$H$1:$H$768)</f>
        <v>-0.360847411405889</v>
      </c>
    </row>
    <row r="478" spans="1:8">
      <c r="A478" s="5">
        <f>(pima_data!A478-AVERAGE(pima_data!$A$1:$A$768))/_xlfn.STDEV.P(pima_data!$A$1:$A$768)</f>
        <v>0.936913722879839</v>
      </c>
      <c r="B478" s="5">
        <f>(pima_data!B478-AVERAGE(pima_data!$B$1:$B$768))/_xlfn.STDEV.P(pima_data!$B$1:$B$768)</f>
        <v>-0.215779146493297</v>
      </c>
      <c r="C478" s="5">
        <f>(pima_data!C478-AVERAGE(pima_data!$C$1:$C$768))/_xlfn.STDEV.P(pima_data!$C$1:$C$768)</f>
        <v>0.356431752211589</v>
      </c>
      <c r="D478" s="5">
        <f>(pima_data!D478-AVERAGE(pima_data!$D$1:$D$768))/_xlfn.STDEV.P(pima_data!$D$1:$D$768)</f>
        <v>-0.221835174382402</v>
      </c>
      <c r="E478" s="5">
        <f>(pima_data!E478-AVERAGE(pima_data!$E$1:$E$768))/_xlfn.STDEV.P(pima_data!$E$1:$E$768)</f>
        <v>0.262227979209298</v>
      </c>
      <c r="F478" s="5">
        <f>(pima_data!F478-AVERAGE(pima_data!$F$1:$F$768))/_xlfn.STDEV.P(pima_data!$F$1:$F$768)</f>
        <v>-1.03979583315799</v>
      </c>
      <c r="G478" s="5">
        <f>(pima_data!G478-AVERAGE(pima_data!$G$1:$G$768))/_xlfn.STDEV.P(pima_data!$G$1:$G$768)</f>
        <v>-0.0177471296756589</v>
      </c>
      <c r="H478" s="5">
        <f>(pima_data!H478-AVERAGE(pima_data!$H$1:$H$768))/_xlfn.STDEV.P(pima_data!$H$1:$H$768)</f>
        <v>-0.190671905136486</v>
      </c>
    </row>
    <row r="479" spans="1:8">
      <c r="A479" s="5">
        <f>(pima_data!A479-AVERAGE(pima_data!$A$1:$A$768))/_xlfn.STDEV.P(pima_data!$A$1:$A$768)</f>
        <v>1.23388018560032</v>
      </c>
      <c r="B479" s="5">
        <f>(pima_data!B479-AVERAGE(pima_data!$B$1:$B$768))/_xlfn.STDEV.P(pima_data!$B$1:$B$768)</f>
        <v>0.15978659743158</v>
      </c>
      <c r="C479" s="5">
        <f>(pima_data!C479-AVERAGE(pima_data!$C$1:$C$768))/_xlfn.STDEV.P(pima_data!$C$1:$C$768)</f>
        <v>0.253036252419898</v>
      </c>
      <c r="D479" s="5">
        <f>(pima_data!D479-AVERAGE(pima_data!$D$1:$D$768))/_xlfn.STDEV.P(pima_data!$D$1:$D$768)</f>
        <v>1.09545410854815</v>
      </c>
      <c r="E479" s="5">
        <f>(pima_data!E479-AVERAGE(pima_data!$E$1:$E$768))/_xlfn.STDEV.P(pima_data!$E$1:$E$768)</f>
        <v>-0.0416733780876724</v>
      </c>
      <c r="F479" s="5">
        <f>(pima_data!F479-AVERAGE(pima_data!$F$1:$F$768))/_xlfn.STDEV.P(pima_data!$F$1:$F$768)</f>
        <v>-0.773265417907076</v>
      </c>
      <c r="G479" s="5">
        <f>(pima_data!G479-AVERAGE(pima_data!$G$1:$G$768))/_xlfn.STDEV.P(pima_data!$G$1:$G$768)</f>
        <v>-0.93586320759188</v>
      </c>
      <c r="H479" s="5">
        <f>(pima_data!H479-AVERAGE(pima_data!$H$1:$H$768))/_xlfn.STDEV.P(pima_data!$H$1:$H$768)</f>
        <v>0.490030119941127</v>
      </c>
    </row>
    <row r="480" spans="1:8">
      <c r="A480" s="5">
        <f>(pima_data!A480-AVERAGE(pima_data!$A$1:$A$768))/_xlfn.STDEV.P(pima_data!$A$1:$A$768)</f>
        <v>0.0460143347184072</v>
      </c>
      <c r="B480" s="5">
        <f>(pima_data!B480-AVERAGE(pima_data!$B$1:$B$768))/_xlfn.STDEV.P(pima_data!$B$1:$B$768)</f>
        <v>0.347569469394019</v>
      </c>
      <c r="C480" s="5">
        <f>(pima_data!C480-AVERAGE(pima_data!$C$1:$C$768))/_xlfn.STDEV.P(pima_data!$C$1:$C$768)</f>
        <v>0.87340925117004</v>
      </c>
      <c r="D480" s="5">
        <f>(pima_data!D480-AVERAGE(pima_data!$D$1:$D$768))/_xlfn.STDEV.P(pima_data!$D$1:$D$768)</f>
        <v>0.656357680904634</v>
      </c>
      <c r="E480" s="5">
        <f>(pima_data!E480-AVERAGE(pima_data!$E$1:$E$768))/_xlfn.STDEV.P(pima_data!$E$1:$E$768)</f>
        <v>-0.692890572295466</v>
      </c>
      <c r="F480" s="5">
        <f>(pima_data!F480-AVERAGE(pima_data!$F$1:$F$768))/_xlfn.STDEV.P(pima_data!$F$1:$F$768)</f>
        <v>-0.506735002656165</v>
      </c>
      <c r="G480" s="5">
        <f>(pima_data!G480-AVERAGE(pima_data!$G$1:$G$768))/_xlfn.STDEV.P(pima_data!$G$1:$G$768)</f>
        <v>-0.159692707511391</v>
      </c>
      <c r="H480" s="5">
        <f>(pima_data!H480-AVERAGE(pima_data!$H$1:$H$768))/_xlfn.STDEV.P(pima_data!$H$1:$H$768)</f>
        <v>2.53213619517397</v>
      </c>
    </row>
    <row r="481" spans="1:8">
      <c r="A481" s="5">
        <f>(pima_data!A481-AVERAGE(pima_data!$A$1:$A$768))/_xlfn.STDEV.P(pima_data!$A$1:$A$768)</f>
        <v>-0.25095212800207</v>
      </c>
      <c r="B481" s="5">
        <f>(pima_data!B481-AVERAGE(pima_data!$B$1:$B$768))/_xlfn.STDEV.P(pima_data!$B$1:$B$768)</f>
        <v>1.16129524789792</v>
      </c>
      <c r="C481" s="5">
        <f>(pima_data!C481-AVERAGE(pima_data!$C$1:$C$768))/_xlfn.STDEV.P(pima_data!$C$1:$C$768)</f>
        <v>0.0462452528365177</v>
      </c>
      <c r="D481" s="5">
        <f>(pima_data!D481-AVERAGE(pima_data!$D$1:$D$768))/_xlfn.STDEV.P(pima_data!$D$1:$D$768)</f>
        <v>0.593629619812703</v>
      </c>
      <c r="E481" s="5">
        <f>(pima_data!E481-AVERAGE(pima_data!$E$1:$E$768))/_xlfn.STDEV.P(pima_data!$E$1:$E$768)</f>
        <v>2.15509929037329</v>
      </c>
      <c r="F481" s="5">
        <f>(pima_data!F481-AVERAGE(pima_data!$F$1:$F$768))/_xlfn.STDEV.P(pima_data!$F$1:$F$768)</f>
        <v>0.445159337525659</v>
      </c>
      <c r="G481" s="5">
        <f>(pima_data!G481-AVERAGE(pima_data!$G$1:$G$768))/_xlfn.STDEV.P(pima_data!$G$1:$G$768)</f>
        <v>-0.38620160831309</v>
      </c>
      <c r="H481" s="5">
        <f>(pima_data!H481-AVERAGE(pima_data!$H$1:$H$768))/_xlfn.STDEV.P(pima_data!$H$1:$H$768)</f>
        <v>0.14967910740232</v>
      </c>
    </row>
    <row r="482" spans="1:8">
      <c r="A482" s="5">
        <f>(pima_data!A482-AVERAGE(pima_data!$A$1:$A$768))/_xlfn.STDEV.P(pima_data!$A$1:$A$768)</f>
        <v>-1.1418515161635</v>
      </c>
      <c r="B482" s="5">
        <f>(pima_data!B482-AVERAGE(pima_data!$B$1:$B$768))/_xlfn.STDEV.P(pima_data!$B$1:$B$768)</f>
        <v>0.0658951614503609</v>
      </c>
      <c r="C482" s="5">
        <f>(pima_data!C482-AVERAGE(pima_data!$C$1:$C$768))/_xlfn.STDEV.P(pima_data!$C$1:$C$768)</f>
        <v>0.97680475096173</v>
      </c>
      <c r="D482" s="5">
        <f>(pima_data!D482-AVERAGE(pima_data!$D$1:$D$768))/_xlfn.STDEV.P(pima_data!$D$1:$D$768)</f>
        <v>1.03272604745622</v>
      </c>
      <c r="E482" s="5">
        <f>(pima_data!E482-AVERAGE(pima_data!$E$1:$E$768))/_xlfn.STDEV.P(pima_data!$E$1:$E$768)</f>
        <v>-0.692890572295466</v>
      </c>
      <c r="F482" s="5">
        <f>(pima_data!F482-AVERAGE(pima_data!$F$1:$F$768))/_xlfn.STDEV.P(pima_data!$F$1:$F$768)</f>
        <v>0.407083563918387</v>
      </c>
      <c r="G482" s="5">
        <f>(pima_data!G482-AVERAGE(pima_data!$G$1:$G$768))/_xlfn.STDEV.P(pima_data!$G$1:$G$768)</f>
        <v>-0.83015905388442</v>
      </c>
      <c r="H482" s="5">
        <f>(pima_data!H482-AVERAGE(pima_data!$H$1:$H$768))/_xlfn.STDEV.P(pima_data!$H$1:$H$768)</f>
        <v>-0.360847411405889</v>
      </c>
    </row>
    <row r="483" spans="1:8">
      <c r="A483" s="5">
        <f>(pima_data!A483-AVERAGE(pima_data!$A$1:$A$768))/_xlfn.STDEV.P(pima_data!$A$1:$A$768)</f>
        <v>0.0460143347184072</v>
      </c>
      <c r="B483" s="5">
        <f>(pima_data!B483-AVERAGE(pima_data!$B$1:$B$768))/_xlfn.STDEV.P(pima_data!$B$1:$B$768)</f>
        <v>-1.12339636097842</v>
      </c>
      <c r="C483" s="5">
        <f>(pima_data!C483-AVERAGE(pima_data!$C$1:$C$768))/_xlfn.STDEV.P(pima_data!$C$1:$C$768)</f>
        <v>-0.574127745913624</v>
      </c>
      <c r="D483" s="5">
        <f>(pima_data!D483-AVERAGE(pima_data!$D$1:$D$768))/_xlfn.STDEV.P(pima_data!$D$1:$D$768)</f>
        <v>0.0918051310772535</v>
      </c>
      <c r="E483" s="5">
        <f>(pima_data!E483-AVERAGE(pima_data!$E$1:$E$768))/_xlfn.STDEV.P(pima_data!$E$1:$E$768)</f>
        <v>-0.267428672079708</v>
      </c>
      <c r="F483" s="5">
        <f>(pima_data!F483-AVERAGE(pima_data!$F$1:$F$768))/_xlfn.STDEV.P(pima_data!$F$1:$F$768)</f>
        <v>-0.53211885172768</v>
      </c>
      <c r="G483" s="5">
        <f>(pima_data!G483-AVERAGE(pima_data!$G$1:$G$768))/_xlfn.STDEV.P(pima_data!$G$1:$G$768)</f>
        <v>-0.500966118052617</v>
      </c>
      <c r="H483" s="5">
        <f>(pima_data!H483-AVERAGE(pima_data!$H$1:$H$768))/_xlfn.STDEV.P(pima_data!$H$1:$H$768)</f>
        <v>-0.445935164540591</v>
      </c>
    </row>
    <row r="484" spans="1:8">
      <c r="A484" s="5">
        <f>(pima_data!A484-AVERAGE(pima_data!$A$1:$A$768))/_xlfn.STDEV.P(pima_data!$A$1:$A$768)</f>
        <v>-1.1418515161635</v>
      </c>
      <c r="B484" s="5">
        <f>(pima_data!B484-AVERAGE(pima_data!$B$1:$B$768))/_xlfn.STDEV.P(pima_data!$B$1:$B$768)</f>
        <v>-1.15469350630549</v>
      </c>
      <c r="C484" s="5">
        <f>(pima_data!C484-AVERAGE(pima_data!$C$1:$C$768))/_xlfn.STDEV.P(pima_data!$C$1:$C$768)</f>
        <v>0.666618251586659</v>
      </c>
      <c r="D484" s="5">
        <f>(pima_data!D484-AVERAGE(pima_data!$D$1:$D$768))/_xlfn.STDEV.P(pima_data!$D$1:$D$768)</f>
        <v>0.656357680904634</v>
      </c>
      <c r="E484" s="5">
        <f>(pima_data!E484-AVERAGE(pima_data!$E$1:$E$768))/_xlfn.STDEV.P(pima_data!$E$1:$E$768)</f>
        <v>0.392471418050857</v>
      </c>
      <c r="F484" s="5">
        <f>(pima_data!F484-AVERAGE(pima_data!$F$1:$F$768))/_xlfn.STDEV.P(pima_data!$F$1:$F$768)</f>
        <v>0.787841299991116</v>
      </c>
      <c r="G484" s="5">
        <f>(pima_data!G484-AVERAGE(pima_data!$G$1:$G$768))/_xlfn.STDEV.P(pima_data!$G$1:$G$768)</f>
        <v>-0.721434781499604</v>
      </c>
      <c r="H484" s="5">
        <f>(pima_data!H484-AVERAGE(pima_data!$H$1:$H$768))/_xlfn.STDEV.P(pima_data!$H$1:$H$768)</f>
        <v>-0.871373930214099</v>
      </c>
    </row>
    <row r="485" spans="1:8">
      <c r="A485" s="5">
        <f>(pima_data!A485-AVERAGE(pima_data!$A$1:$A$768))/_xlfn.STDEV.P(pima_data!$A$1:$A$768)</f>
        <v>-1.1418515161635</v>
      </c>
      <c r="B485" s="5">
        <f>(pima_data!B485-AVERAGE(pima_data!$B$1:$B$768))/_xlfn.STDEV.P(pima_data!$B$1:$B$768)</f>
        <v>0.754432358645969</v>
      </c>
      <c r="C485" s="5">
        <f>(pima_data!C485-AVERAGE(pima_data!$C$1:$C$768))/_xlfn.STDEV.P(pima_data!$C$1:$C$768)</f>
        <v>-3.57259723987264</v>
      </c>
      <c r="D485" s="5">
        <f>(pima_data!D485-AVERAGE(pima_data!$D$1:$D$768))/_xlfn.STDEV.P(pima_data!$D$1:$D$768)</f>
        <v>-1.28821221294523</v>
      </c>
      <c r="E485" s="5">
        <f>(pima_data!E485-AVERAGE(pima_data!$E$1:$E$768))/_xlfn.STDEV.P(pima_data!$E$1:$E$768)</f>
        <v>-0.692890572295466</v>
      </c>
      <c r="F485" s="5">
        <f>(pima_data!F485-AVERAGE(pima_data!$F$1:$F$768))/_xlfn.STDEV.P(pima_data!$F$1:$F$768)</f>
        <v>1.54935677213658</v>
      </c>
      <c r="G485" s="5">
        <f>(pima_data!G485-AVERAGE(pima_data!$G$1:$G$768))/_xlfn.STDEV.P(pima_data!$G$1:$G$768)</f>
        <v>0.477552333410723</v>
      </c>
      <c r="H485" s="5">
        <f>(pima_data!H485-AVERAGE(pima_data!$H$1:$H$768))/_xlfn.STDEV.P(pima_data!$H$1:$H$768)</f>
        <v>-0.190671905136486</v>
      </c>
    </row>
    <row r="486" spans="1:8">
      <c r="A486" s="5">
        <f>(pima_data!A486-AVERAGE(pima_data!$A$1:$A$768))/_xlfn.STDEV.P(pima_data!$A$1:$A$768)</f>
        <v>-1.1418515161635</v>
      </c>
      <c r="B486" s="5">
        <f>(pima_data!B486-AVERAGE(pima_data!$B$1:$B$768))/_xlfn.STDEV.P(pima_data!$B$1:$B$768)</f>
        <v>0.441460905375238</v>
      </c>
      <c r="C486" s="5">
        <f>(pima_data!C486-AVERAGE(pima_data!$C$1:$C$768))/_xlfn.STDEV.P(pima_data!$C$1:$C$768)</f>
        <v>-0.0571502469551726</v>
      </c>
      <c r="D486" s="5">
        <f>(pima_data!D486-AVERAGE(pima_data!$D$1:$D$768))/_xlfn.STDEV.P(pima_data!$D$1:$D$768)</f>
        <v>1.34636635291588</v>
      </c>
      <c r="E486" s="5">
        <f>(pima_data!E486-AVERAGE(pima_data!$E$1:$E$768))/_xlfn.STDEV.P(pima_data!$E$1:$E$768)</f>
        <v>1.47783340839718</v>
      </c>
      <c r="F486" s="5">
        <f>(pima_data!F486-AVERAGE(pima_data!$F$1:$F$768))/_xlfn.STDEV.P(pima_data!$F$1:$F$768)</f>
        <v>1.30821020595718</v>
      </c>
      <c r="G486" s="5">
        <f>(pima_data!G486-AVERAGE(pima_data!$G$1:$G$768))/_xlfn.STDEV.P(pima_data!$G$1:$G$768)</f>
        <v>-0.322779116088614</v>
      </c>
      <c r="H486" s="5">
        <f>(pima_data!H486-AVERAGE(pima_data!$H$1:$H$768))/_xlfn.STDEV.P(pima_data!$H$1:$H$768)</f>
        <v>-0.786286177079398</v>
      </c>
    </row>
    <row r="487" spans="1:8">
      <c r="A487" s="5">
        <f>(pima_data!A487-AVERAGE(pima_data!$A$1:$A$768))/_xlfn.STDEV.P(pima_data!$A$1:$A$768)</f>
        <v>-0.844885053443025</v>
      </c>
      <c r="B487" s="5">
        <f>(pima_data!B487-AVERAGE(pima_data!$B$1:$B$768))/_xlfn.STDEV.P(pima_data!$B$1:$B$768)</f>
        <v>0.56664948668353</v>
      </c>
      <c r="C487" s="5">
        <f>(pima_data!C487-AVERAGE(pima_data!$C$1:$C$768))/_xlfn.STDEV.P(pima_data!$C$1:$C$768)</f>
        <v>-0.367336746330243</v>
      </c>
      <c r="D487" s="5">
        <f>(pima_data!D487-AVERAGE(pima_data!$D$1:$D$768))/_xlfn.STDEV.P(pima_data!$D$1:$D$768)</f>
        <v>1.28363829182395</v>
      </c>
      <c r="E487" s="5">
        <f>(pima_data!E487-AVERAGE(pima_data!$E$1:$E$768))/_xlfn.STDEV.P(pima_data!$E$1:$E$768)</f>
        <v>3.47489947063441</v>
      </c>
      <c r="F487" s="5">
        <f>(pima_data!F487-AVERAGE(pima_data!$F$1:$F$768))/_xlfn.STDEV.P(pima_data!$F$1:$F$768)</f>
        <v>1.10513941338506</v>
      </c>
      <c r="G487" s="5">
        <f>(pima_data!G487-AVERAGE(pima_data!$G$1:$G$768))/_xlfn.STDEV.P(pima_data!$G$1:$G$768)</f>
        <v>0.19366117773926</v>
      </c>
      <c r="H487" s="5">
        <f>(pima_data!H487-AVERAGE(pima_data!$H$1:$H$768))/_xlfn.STDEV.P(pima_data!$H$1:$H$768)</f>
        <v>-1.0415494364835</v>
      </c>
    </row>
    <row r="488" spans="1:8">
      <c r="A488" s="5">
        <f>(pima_data!A488-AVERAGE(pima_data!$A$1:$A$768))/_xlfn.STDEV.P(pima_data!$A$1:$A$768)</f>
        <v>-1.1418515161635</v>
      </c>
      <c r="B488" s="5">
        <f>(pima_data!B488-AVERAGE(pima_data!$B$1:$B$768))/_xlfn.STDEV.P(pima_data!$B$1:$B$768)</f>
        <v>1.63075242780402</v>
      </c>
      <c r="C488" s="5">
        <f>(pima_data!C488-AVERAGE(pima_data!$C$1:$C$768))/_xlfn.STDEV.P(pima_data!$C$1:$C$768)</f>
        <v>0.459827252003279</v>
      </c>
      <c r="D488" s="5">
        <f>(pima_data!D488-AVERAGE(pima_data!$D$1:$D$768))/_xlfn.STDEV.P(pima_data!$D$1:$D$768)</f>
        <v>0.719085741996565</v>
      </c>
      <c r="E488" s="5">
        <f>(pima_data!E488-AVERAGE(pima_data!$E$1:$E$768))/_xlfn.STDEV.P(pima_data!$E$1:$E$768)</f>
        <v>1.60807684723874</v>
      </c>
      <c r="F488" s="5">
        <f>(pima_data!F488-AVERAGE(pima_data!$F$1:$F$768))/_xlfn.STDEV.P(pima_data!$F$1:$F$768)</f>
        <v>1.841271036459</v>
      </c>
      <c r="G488" s="5">
        <f>(pima_data!G488-AVERAGE(pima_data!$G$1:$G$768))/_xlfn.STDEV.P(pima_data!$G$1:$G$768)</f>
        <v>2.07519511373204</v>
      </c>
      <c r="H488" s="5">
        <f>(pima_data!H488-AVERAGE(pima_data!$H$1:$H$768))/_xlfn.STDEV.P(pima_data!$H$1:$H$768)</f>
        <v>2.10669742950046</v>
      </c>
    </row>
    <row r="489" spans="1:8">
      <c r="A489" s="5">
        <f>(pima_data!A489-AVERAGE(pima_data!$A$1:$A$768))/_xlfn.STDEV.P(pima_data!$A$1:$A$768)</f>
        <v>0.0460143347184072</v>
      </c>
      <c r="B489" s="5">
        <f>(pima_data!B489-AVERAGE(pima_data!$B$1:$B$768))/_xlfn.STDEV.P(pima_data!$B$1:$B$768)</f>
        <v>-0.685236326399393</v>
      </c>
      <c r="C489" s="5">
        <f>(pima_data!C489-AVERAGE(pima_data!$C$1:$C$768))/_xlfn.STDEV.P(pima_data!$C$1:$C$768)</f>
        <v>0.149640752628208</v>
      </c>
      <c r="D489" s="5">
        <f>(pima_data!D489-AVERAGE(pima_data!$D$1:$D$768))/_xlfn.STDEV.P(pima_data!$D$1:$D$768)</f>
        <v>-0.221835174382402</v>
      </c>
      <c r="E489" s="5">
        <f>(pima_data!E489-AVERAGE(pima_data!$E$1:$E$768))/_xlfn.STDEV.P(pima_data!$E$1:$E$768)</f>
        <v>-0.692890572295466</v>
      </c>
      <c r="F489" s="5">
        <f>(pima_data!F489-AVERAGE(pima_data!$F$1:$F$768))/_xlfn.STDEV.P(pima_data!$F$1:$F$768)</f>
        <v>-0.811341191514348</v>
      </c>
      <c r="G489" s="5">
        <f>(pima_data!G489-AVERAGE(pima_data!$G$1:$G$768))/_xlfn.STDEV.P(pima_data!$G$1:$G$768)</f>
        <v>-0.537207542180889</v>
      </c>
      <c r="H489" s="5">
        <f>(pima_data!H489-AVERAGE(pima_data!$H$1:$H$768))/_xlfn.STDEV.P(pima_data!$H$1:$H$768)</f>
        <v>-0.445935164540591</v>
      </c>
    </row>
    <row r="490" spans="1:8">
      <c r="A490" s="5">
        <f>(pima_data!A490-AVERAGE(pima_data!$A$1:$A$768))/_xlfn.STDEV.P(pima_data!$A$1:$A$768)</f>
        <v>1.23388018560032</v>
      </c>
      <c r="B490" s="5">
        <f>(pima_data!B490-AVERAGE(pima_data!$B$1:$B$768))/_xlfn.STDEV.P(pima_data!$B$1:$B$768)</f>
        <v>2.28799247967255</v>
      </c>
      <c r="C490" s="5">
        <f>(pima_data!C490-AVERAGE(pima_data!$C$1:$C$768))/_xlfn.STDEV.P(pima_data!$C$1:$C$768)</f>
        <v>0.563222751794969</v>
      </c>
      <c r="D490" s="5">
        <f>(pima_data!D490-AVERAGE(pima_data!$D$1:$D$768))/_xlfn.STDEV.P(pima_data!$D$1:$D$768)</f>
        <v>-1.28821221294523</v>
      </c>
      <c r="E490" s="5">
        <f>(pima_data!E490-AVERAGE(pima_data!$E$1:$E$768))/_xlfn.STDEV.P(pima_data!$E$1:$E$768)</f>
        <v>-0.692890572295466</v>
      </c>
      <c r="F490" s="5">
        <f>(pima_data!F490-AVERAGE(pima_data!$F$1:$F$768))/_xlfn.STDEV.P(pima_data!$F$1:$F$768)</f>
        <v>-0.74788156883556</v>
      </c>
      <c r="G490" s="5">
        <f>(pima_data!G490-AVERAGE(pima_data!$G$1:$G$768))/_xlfn.STDEV.P(pima_data!$G$1:$G$768)</f>
        <v>0.2389629578996</v>
      </c>
      <c r="H490" s="5">
        <f>(pima_data!H490-AVERAGE(pima_data!$H$1:$H$768))/_xlfn.STDEV.P(pima_data!$H$1:$H$768)</f>
        <v>2.87248720771277</v>
      </c>
    </row>
    <row r="491" spans="1:8">
      <c r="A491" s="5">
        <f>(pima_data!A491-AVERAGE(pima_data!$A$1:$A$768))/_xlfn.STDEV.P(pima_data!$A$1:$A$768)</f>
        <v>-0.547918590722547</v>
      </c>
      <c r="B491" s="5">
        <f>(pima_data!B491-AVERAGE(pima_data!$B$1:$B$768))/_xlfn.STDEV.P(pima_data!$B$1:$B$768)</f>
        <v>-1.18599065163256</v>
      </c>
      <c r="C491" s="5">
        <f>(pima_data!C491-AVERAGE(pima_data!$C$1:$C$768))/_xlfn.STDEV.P(pima_data!$C$1:$C$768)</f>
        <v>-0.212243496642708</v>
      </c>
      <c r="D491" s="5">
        <f>(pima_data!D491-AVERAGE(pima_data!$D$1:$D$768))/_xlfn.STDEV.P(pima_data!$D$1:$D$768)</f>
        <v>0.468173497628841</v>
      </c>
      <c r="E491" s="5">
        <f>(pima_data!E491-AVERAGE(pima_data!$E$1:$E$768))/_xlfn.STDEV.P(pima_data!$E$1:$E$768)</f>
        <v>-0.119819441392608</v>
      </c>
      <c r="F491" s="5">
        <f>(pima_data!F491-AVERAGE(pima_data!$F$1:$F$768))/_xlfn.STDEV.P(pima_data!$F$1:$F$768)</f>
        <v>0.610154356490508</v>
      </c>
      <c r="G491" s="5">
        <f>(pima_data!G491-AVERAGE(pima_data!$G$1:$G$768))/_xlfn.STDEV.P(pima_data!$G$1:$G$768)</f>
        <v>0.474532214733367</v>
      </c>
      <c r="H491" s="5">
        <f>(pima_data!H491-AVERAGE(pima_data!$H$1:$H$768))/_xlfn.STDEV.P(pima_data!$H$1:$H$768)</f>
        <v>-0.786286177079398</v>
      </c>
    </row>
    <row r="492" spans="1:8">
      <c r="A492" s="5">
        <f>(pima_data!A492-AVERAGE(pima_data!$A$1:$A$768))/_xlfn.STDEV.P(pima_data!$A$1:$A$768)</f>
        <v>-0.547918590722547</v>
      </c>
      <c r="B492" s="5">
        <f>(pima_data!B492-AVERAGE(pima_data!$B$1:$B$768))/_xlfn.STDEV.P(pima_data!$B$1:$B$768)</f>
        <v>-0.998207779670124</v>
      </c>
      <c r="C492" s="5">
        <f>(pima_data!C492-AVERAGE(pima_data!$C$1:$C$768))/_xlfn.STDEV.P(pima_data!$C$1:$C$768)</f>
        <v>1.08020025075342</v>
      </c>
      <c r="D492" s="5">
        <f>(pima_data!D492-AVERAGE(pima_data!$D$1:$D$768))/_xlfn.STDEV.P(pima_data!$D$1:$D$768)</f>
        <v>0.593629619812703</v>
      </c>
      <c r="E492" s="5">
        <f>(pima_data!E492-AVERAGE(pima_data!$E$1:$E$768))/_xlfn.STDEV.P(pima_data!$E$1:$E$768)</f>
        <v>-0.692890572295466</v>
      </c>
      <c r="F492" s="5">
        <f>(pima_data!F492-AVERAGE(pima_data!$F$1:$F$768))/_xlfn.STDEV.P(pima_data!$F$1:$F$768)</f>
        <v>0.191320846810506</v>
      </c>
      <c r="G492" s="5">
        <f>(pima_data!G492-AVERAGE(pima_data!$G$1:$G$768))/_xlfn.STDEV.P(pima_data!$G$1:$G$768)</f>
        <v>-0.543247779535601</v>
      </c>
      <c r="H492" s="5">
        <f>(pima_data!H492-AVERAGE(pima_data!$H$1:$H$768))/_xlfn.STDEV.P(pima_data!$H$1:$H$768)</f>
        <v>0.745293379345232</v>
      </c>
    </row>
    <row r="493" spans="1:8">
      <c r="A493" s="5">
        <f>(pima_data!A493-AVERAGE(pima_data!$A$1:$A$768))/_xlfn.STDEV.P(pima_data!$A$1:$A$768)</f>
        <v>0.0460143347184072</v>
      </c>
      <c r="B493" s="5">
        <f>(pima_data!B493-AVERAGE(pima_data!$B$1:$B$768))/_xlfn.STDEV.P(pima_data!$B$1:$B$768)</f>
        <v>-0.685236326399393</v>
      </c>
      <c r="C493" s="5">
        <f>(pima_data!C493-AVERAGE(pima_data!$C$1:$C$768))/_xlfn.STDEV.P(pima_data!$C$1:$C$768)</f>
        <v>-0.0571502469551726</v>
      </c>
      <c r="D493" s="5">
        <f>(pima_data!D493-AVERAGE(pima_data!$D$1:$D$768))/_xlfn.STDEV.P(pima_data!$D$1:$D$768)</f>
        <v>1.09545410854815</v>
      </c>
      <c r="E493" s="5">
        <f>(pima_data!E493-AVERAGE(pima_data!$E$1:$E$768))/_xlfn.STDEV.P(pima_data!$E$1:$E$768)</f>
        <v>-0.692890572295466</v>
      </c>
      <c r="F493" s="5">
        <f>(pima_data!F493-AVERAGE(pima_data!$F$1:$F$768))/_xlfn.STDEV.P(pima_data!$F$1:$F$768)</f>
        <v>0.102477375060202</v>
      </c>
      <c r="G493" s="5">
        <f>(pima_data!G493-AVERAGE(pima_data!$G$1:$G$768))/_xlfn.STDEV.P(pima_data!$G$1:$G$768)</f>
        <v>-0.987205225106932</v>
      </c>
      <c r="H493" s="5">
        <f>(pima_data!H493-AVERAGE(pima_data!$H$1:$H$768))/_xlfn.STDEV.P(pima_data!$H$1:$H$768)</f>
        <v>-0.0204963988670829</v>
      </c>
    </row>
    <row r="494" spans="1:8">
      <c r="A494" s="5">
        <f>(pima_data!A494-AVERAGE(pima_data!$A$1:$A$768))/_xlfn.STDEV.P(pima_data!$A$1:$A$768)</f>
        <v>0.0460143347184072</v>
      </c>
      <c r="B494" s="5">
        <f>(pima_data!B494-AVERAGE(pima_data!$B$1:$B$768))/_xlfn.STDEV.P(pima_data!$B$1:$B$768)</f>
        <v>0.128489452104507</v>
      </c>
      <c r="C494" s="5">
        <f>(pima_data!C494-AVERAGE(pima_data!$C$1:$C$768))/_xlfn.STDEV.P(pima_data!$C$1:$C$768)</f>
        <v>0.0462452528365177</v>
      </c>
      <c r="D494" s="5">
        <f>(pima_data!D494-AVERAGE(pima_data!$D$1:$D$768))/_xlfn.STDEV.P(pima_data!$D$1:$D$768)</f>
        <v>-0.159107113290471</v>
      </c>
      <c r="E494" s="5">
        <f>(pima_data!E494-AVERAGE(pima_data!$E$1:$E$768))/_xlfn.STDEV.P(pima_data!$E$1:$E$768)</f>
        <v>0.366422730282545</v>
      </c>
      <c r="F494" s="5">
        <f>(pima_data!F494-AVERAGE(pima_data!$F$1:$F$768))/_xlfn.STDEV.P(pima_data!$F$1:$F$768)</f>
        <v>-0.392507681834346</v>
      </c>
      <c r="G494" s="5">
        <f>(pima_data!G494-AVERAGE(pima_data!$G$1:$G$768))/_xlfn.STDEV.P(pima_data!$G$1:$G$768)</f>
        <v>2.0298933335717</v>
      </c>
      <c r="H494" s="5">
        <f>(pima_data!H494-AVERAGE(pima_data!$H$1:$H$768))/_xlfn.STDEV.P(pima_data!$H$1:$H$768)</f>
        <v>1.00055663874934</v>
      </c>
    </row>
    <row r="495" spans="1:8">
      <c r="A495" s="5">
        <f>(pima_data!A495-AVERAGE(pima_data!$A$1:$A$768))/_xlfn.STDEV.P(pima_data!$A$1:$A$768)</f>
        <v>-0.25095212800207</v>
      </c>
      <c r="B495" s="5">
        <f>(pima_data!B495-AVERAGE(pima_data!$B$1:$B$768))/_xlfn.STDEV.P(pima_data!$B$1:$B$768)</f>
        <v>-1.27988208761378</v>
      </c>
      <c r="C495" s="5">
        <f>(pima_data!C495-AVERAGE(pima_data!$C$1:$C$768))/_xlfn.STDEV.P(pima_data!$C$1:$C$768)</f>
        <v>-3.57259723987264</v>
      </c>
      <c r="D495" s="5">
        <f>(pima_data!D495-AVERAGE(pima_data!$D$1:$D$768))/_xlfn.STDEV.P(pima_data!$D$1:$D$768)</f>
        <v>-1.28821221294523</v>
      </c>
      <c r="E495" s="5">
        <f>(pima_data!E495-AVERAGE(pima_data!$E$1:$E$768))/_xlfn.STDEV.P(pima_data!$E$1:$E$768)</f>
        <v>-0.692890572295466</v>
      </c>
      <c r="F495" s="5">
        <f>(pima_data!F495-AVERAGE(pima_data!$F$1:$F$768))/_xlfn.STDEV.P(pima_data!$F$1:$F$768)</f>
        <v>-4.06047387266831</v>
      </c>
      <c r="G495" s="5">
        <f>(pima_data!G495-AVERAGE(pima_data!$G$1:$G$768))/_xlfn.STDEV.P(pima_data!$G$1:$G$768)</f>
        <v>-0.899621783463608</v>
      </c>
      <c r="H495" s="5">
        <f>(pima_data!H495-AVERAGE(pima_data!$H$1:$H$768))/_xlfn.STDEV.P(pima_data!$H$1:$H$768)</f>
        <v>-0.956461683348801</v>
      </c>
    </row>
    <row r="496" spans="1:8">
      <c r="A496" s="5">
        <f>(pima_data!A496-AVERAGE(pima_data!$A$1:$A$768))/_xlfn.STDEV.P(pima_data!$A$1:$A$768)</f>
        <v>0.639947260159362</v>
      </c>
      <c r="B496" s="5">
        <f>(pima_data!B496-AVERAGE(pima_data!$B$1:$B$768))/_xlfn.STDEV.P(pima_data!$B$1:$B$768)</f>
        <v>1.4116724105145</v>
      </c>
      <c r="C496" s="5">
        <f>(pima_data!C496-AVERAGE(pima_data!$C$1:$C$768))/_xlfn.STDEV.P(pima_data!$C$1:$C$768)</f>
        <v>0.253036252419898</v>
      </c>
      <c r="D496" s="5">
        <f>(pima_data!D496-AVERAGE(pima_data!$D$1:$D$768))/_xlfn.STDEV.P(pima_data!$D$1:$D$768)</f>
        <v>-1.28821221294523</v>
      </c>
      <c r="E496" s="5">
        <f>(pima_data!E496-AVERAGE(pima_data!$E$1:$E$768))/_xlfn.STDEV.P(pima_data!$E$1:$E$768)</f>
        <v>-0.692890572295466</v>
      </c>
      <c r="F496" s="5">
        <f>(pima_data!F496-AVERAGE(pima_data!$F$1:$F$768))/_xlfn.STDEV.P(pima_data!$F$1:$F$768)</f>
        <v>-0.684421946156772</v>
      </c>
      <c r="G496" s="5">
        <f>(pima_data!G496-AVERAGE(pima_data!$G$1:$G$768))/_xlfn.STDEV.P(pima_data!$G$1:$G$768)</f>
        <v>-0.507006355407329</v>
      </c>
      <c r="H496" s="5">
        <f>(pima_data!H496-AVERAGE(pima_data!$H$1:$H$768))/_xlfn.STDEV.P(pima_data!$H$1:$H$768)</f>
        <v>2.78739945457807</v>
      </c>
    </row>
    <row r="497" spans="1:8">
      <c r="A497" s="5">
        <f>(pima_data!A497-AVERAGE(pima_data!$A$1:$A$768))/_xlfn.STDEV.P(pima_data!$A$1:$A$768)</f>
        <v>0.342980797438884</v>
      </c>
      <c r="B497" s="5">
        <f>(pima_data!B497-AVERAGE(pima_data!$B$1:$B$768))/_xlfn.STDEV.P(pima_data!$B$1:$B$768)</f>
        <v>-0.340967727801589</v>
      </c>
      <c r="C497" s="5">
        <f>(pima_data!C497-AVERAGE(pima_data!$C$1:$C$768))/_xlfn.STDEV.P(pima_data!$C$1:$C$768)</f>
        <v>-0.0571502469551726</v>
      </c>
      <c r="D497" s="5">
        <f>(pima_data!D497-AVERAGE(pima_data!$D$1:$D$768))/_xlfn.STDEV.P(pima_data!$D$1:$D$768)</f>
        <v>-1.28821221294523</v>
      </c>
      <c r="E497" s="5">
        <f>(pima_data!E497-AVERAGE(pima_data!$E$1:$E$768))/_xlfn.STDEV.P(pima_data!$E$1:$E$768)</f>
        <v>-0.692890572295466</v>
      </c>
      <c r="F497" s="5">
        <f>(pima_data!F497-AVERAGE(pima_data!$F$1:$F$768))/_xlfn.STDEV.P(pima_data!$F$1:$F$768)</f>
        <v>-0.760573493371318</v>
      </c>
      <c r="G497" s="5">
        <f>(pima_data!G497-AVERAGE(pima_data!$G$1:$G$768))/_xlfn.STDEV.P(pima_data!$G$1:$G$768)</f>
        <v>-0.543247779535601</v>
      </c>
      <c r="H497" s="5">
        <f>(pima_data!H497-AVERAGE(pima_data!$H$1:$H$768))/_xlfn.STDEV.P(pima_data!$H$1:$H$768)</f>
        <v>-0.275759658271188</v>
      </c>
    </row>
    <row r="498" spans="1:8">
      <c r="A498" s="5">
        <f>(pima_data!A498-AVERAGE(pima_data!$A$1:$A$768))/_xlfn.STDEV.P(pima_data!$A$1:$A$768)</f>
        <v>-0.547918590722547</v>
      </c>
      <c r="B498" s="5">
        <f>(pima_data!B498-AVERAGE(pima_data!$B$1:$B$768))/_xlfn.STDEV.P(pima_data!$B$1:$B$768)</f>
        <v>-1.24858494228671</v>
      </c>
      <c r="C498" s="5">
        <f>(pima_data!C498-AVERAGE(pima_data!$C$1:$C$768))/_xlfn.STDEV.P(pima_data!$C$1:$C$768)</f>
        <v>0.149640752628208</v>
      </c>
      <c r="D498" s="5">
        <f>(pima_data!D498-AVERAGE(pima_data!$D$1:$D$768))/_xlfn.STDEV.P(pima_data!$D$1:$D$768)</f>
        <v>-0.347291296566265</v>
      </c>
      <c r="E498" s="5">
        <f>(pima_data!E498-AVERAGE(pima_data!$E$1:$E$768))/_xlfn.STDEV.P(pima_data!$E$1:$E$768)</f>
        <v>-0.0329904821649018</v>
      </c>
      <c r="F498" s="5">
        <f>(pima_data!F498-AVERAGE(pima_data!$F$1:$F$768))/_xlfn.STDEV.P(pima_data!$F$1:$F$768)</f>
        <v>-0.240204587405254</v>
      </c>
      <c r="G498" s="5">
        <f>(pima_data!G498-AVERAGE(pima_data!$G$1:$G$768))/_xlfn.STDEV.P(pima_data!$G$1:$G$768)</f>
        <v>0.226882483190176</v>
      </c>
      <c r="H498" s="5">
        <f>(pima_data!H498-AVERAGE(pima_data!$H$1:$H$768))/_xlfn.STDEV.P(pima_data!$H$1:$H$768)</f>
        <v>-0.701198423944696</v>
      </c>
    </row>
    <row r="499" spans="1:8">
      <c r="A499" s="5">
        <f>(pima_data!A499-AVERAGE(pima_data!$A$1:$A$768))/_xlfn.STDEV.P(pima_data!$A$1:$A$768)</f>
        <v>0.936913722879839</v>
      </c>
      <c r="B499" s="5">
        <f>(pima_data!B499-AVERAGE(pima_data!$B$1:$B$768))/_xlfn.STDEV.P(pima_data!$B$1:$B$768)</f>
        <v>2.31928962499962</v>
      </c>
      <c r="C499" s="5">
        <f>(pima_data!C499-AVERAGE(pima_data!$C$1:$C$768))/_xlfn.STDEV.P(pima_data!$C$1:$C$768)</f>
        <v>0.0462452528365177</v>
      </c>
      <c r="D499" s="5">
        <f>(pima_data!D499-AVERAGE(pima_data!$D$1:$D$768))/_xlfn.STDEV.P(pima_data!$D$1:$D$768)</f>
        <v>0.781813803088497</v>
      </c>
      <c r="E499" s="5">
        <f>(pima_data!E499-AVERAGE(pima_data!$E$1:$E$768))/_xlfn.STDEV.P(pima_data!$E$1:$E$768)</f>
        <v>0.566129336506269</v>
      </c>
      <c r="F499" s="5">
        <f>(pima_data!F499-AVERAGE(pima_data!$F$1:$F$768))/_xlfn.STDEV.P(pima_data!$F$1:$F$768)</f>
        <v>-0.874800814193137</v>
      </c>
      <c r="G499" s="5">
        <f>(pima_data!G499-AVERAGE(pima_data!$G$1:$G$768))/_xlfn.STDEV.P(pima_data!$G$1:$G$768)</f>
        <v>-0.932843088914524</v>
      </c>
      <c r="H499" s="5">
        <f>(pima_data!H499-AVERAGE(pima_data!$H$1:$H$768))/_xlfn.STDEV.P(pima_data!$H$1:$H$768)</f>
        <v>1.85143417009635</v>
      </c>
    </row>
    <row r="500" spans="1:8">
      <c r="A500" s="5">
        <f>(pima_data!A500-AVERAGE(pima_data!$A$1:$A$768))/_xlfn.STDEV.P(pima_data!$A$1:$A$768)</f>
        <v>0.639947260159362</v>
      </c>
      <c r="B500" s="5">
        <f>(pima_data!B500-AVERAGE(pima_data!$B$1:$B$768))/_xlfn.STDEV.P(pima_data!$B$1:$B$768)</f>
        <v>1.03610666658963</v>
      </c>
      <c r="C500" s="5">
        <f>(pima_data!C500-AVERAGE(pima_data!$C$1:$C$768))/_xlfn.STDEV.P(pima_data!$C$1:$C$768)</f>
        <v>0.253036252419898</v>
      </c>
      <c r="D500" s="5">
        <f>(pima_data!D500-AVERAGE(pima_data!$D$1:$D$768))/_xlfn.STDEV.P(pima_data!$D$1:$D$768)</f>
        <v>0.719085741996565</v>
      </c>
      <c r="E500" s="5">
        <f>(pima_data!E500-AVERAGE(pima_data!$E$1:$E$768))/_xlfn.STDEV.P(pima_data!$E$1:$E$768)</f>
        <v>0.982908340799257</v>
      </c>
      <c r="F500" s="5">
        <f>(pima_data!F500-AVERAGE(pima_data!$F$1:$F$768))/_xlfn.STDEV.P(pima_data!$F$1:$F$768)</f>
        <v>-0.341739983691315</v>
      </c>
      <c r="G500" s="5">
        <f>(pima_data!G500-AVERAGE(pima_data!$G$1:$G$768))/_xlfn.STDEV.P(pima_data!$G$1:$G$768)</f>
        <v>1.10875713697812</v>
      </c>
      <c r="H500" s="5">
        <f>(pima_data!H500-AVERAGE(pima_data!$H$1:$H$768))/_xlfn.STDEV.P(pima_data!$H$1:$H$768)</f>
        <v>0.490030119941127</v>
      </c>
    </row>
    <row r="501" spans="1:8">
      <c r="A501" s="5">
        <f>(pima_data!A501-AVERAGE(pima_data!$A$1:$A$768))/_xlfn.STDEV.P(pima_data!$A$1:$A$768)</f>
        <v>-0.547918590722547</v>
      </c>
      <c r="B501" s="5">
        <f>(pima_data!B501-AVERAGE(pima_data!$B$1:$B$768))/_xlfn.STDEV.P(pima_data!$B$1:$B$768)</f>
        <v>-0.121887710512078</v>
      </c>
      <c r="C501" s="5">
        <f>(pima_data!C501-AVERAGE(pima_data!$C$1:$C$768))/_xlfn.STDEV.P(pima_data!$C$1:$C$768)</f>
        <v>1.08020025075342</v>
      </c>
      <c r="D501" s="5">
        <f>(pima_data!D501-AVERAGE(pima_data!$D$1:$D$768))/_xlfn.STDEV.P(pima_data!$D$1:$D$768)</f>
        <v>-0.09637905219854</v>
      </c>
      <c r="E501" s="5">
        <f>(pima_data!E501-AVERAGE(pima_data!$E$1:$E$768))/_xlfn.STDEV.P(pima_data!$E$1:$E$768)</f>
        <v>-0.0764049617787548</v>
      </c>
      <c r="F501" s="5">
        <f>(pima_data!F501-AVERAGE(pima_data!$F$1:$F$768))/_xlfn.STDEV.P(pima_data!$F$1:$F$768)</f>
        <v>-0.862108889657379</v>
      </c>
      <c r="G501" s="5">
        <f>(pima_data!G501-AVERAGE(pima_data!$G$1:$G$768))/_xlfn.STDEV.P(pima_data!$G$1:$G$768)</f>
        <v>-0.479825287311125</v>
      </c>
      <c r="H501" s="5">
        <f>(pima_data!H501-AVERAGE(pima_data!$H$1:$H$768))/_xlfn.STDEV.P(pima_data!$H$1:$H$768)</f>
        <v>-1.0415494364835</v>
      </c>
    </row>
    <row r="502" spans="1:8">
      <c r="A502" s="5">
        <f>(pima_data!A502-AVERAGE(pima_data!$A$1:$A$768))/_xlfn.STDEV.P(pima_data!$A$1:$A$768)</f>
        <v>-0.25095212800207</v>
      </c>
      <c r="B502" s="5">
        <f>(pima_data!B502-AVERAGE(pima_data!$B$1:$B$768))/_xlfn.STDEV.P(pima_data!$B$1:$B$768)</f>
        <v>-1.15469350630549</v>
      </c>
      <c r="C502" s="5">
        <f>(pima_data!C502-AVERAGE(pima_data!$C$1:$C$768))/_xlfn.STDEV.P(pima_data!$C$1:$C$768)</f>
        <v>0.149640752628208</v>
      </c>
      <c r="D502" s="5">
        <f>(pima_data!D502-AVERAGE(pima_data!$D$1:$D$768))/_xlfn.STDEV.P(pima_data!$D$1:$D$768)</f>
        <v>0.719085741996565</v>
      </c>
      <c r="E502" s="5">
        <f>(pima_data!E502-AVERAGE(pima_data!$E$1:$E$768))/_xlfn.STDEV.P(pima_data!$E$1:$E$768)</f>
        <v>-0.692890572295466</v>
      </c>
      <c r="F502" s="5">
        <f>(pima_data!F502-AVERAGE(pima_data!$F$1:$F$768))/_xlfn.STDEV.P(pima_data!$F$1:$F$768)</f>
        <v>0.66092205463354</v>
      </c>
      <c r="G502" s="5">
        <f>(pima_data!G502-AVERAGE(pima_data!$G$1:$G$768))/_xlfn.STDEV.P(pima_data!$G$1:$G$768)</f>
        <v>-0.618750746469501</v>
      </c>
      <c r="H502" s="5">
        <f>(pima_data!H502-AVERAGE(pima_data!$H$1:$H$768))/_xlfn.STDEV.P(pima_data!$H$1:$H$768)</f>
        <v>-0.445935164540591</v>
      </c>
    </row>
    <row r="503" spans="1:8">
      <c r="A503" s="5">
        <f>(pima_data!A503-AVERAGE(pima_data!$A$1:$A$768))/_xlfn.STDEV.P(pima_data!$A$1:$A$768)</f>
        <v>0.639947260159362</v>
      </c>
      <c r="B503" s="5">
        <f>(pima_data!B503-AVERAGE(pima_data!$B$1:$B$768))/_xlfn.STDEV.P(pima_data!$B$1:$B$768)</f>
        <v>-3.78365371377963</v>
      </c>
      <c r="C503" s="5">
        <f>(pima_data!C503-AVERAGE(pima_data!$C$1:$C$768))/_xlfn.STDEV.P(pima_data!$C$1:$C$768)</f>
        <v>-0.0571502469551726</v>
      </c>
      <c r="D503" s="5">
        <f>(pima_data!D503-AVERAGE(pima_data!$D$1:$D$768))/_xlfn.STDEV.P(pima_data!$D$1:$D$768)</f>
        <v>1.28363829182395</v>
      </c>
      <c r="E503" s="5">
        <f>(pima_data!E503-AVERAGE(pima_data!$E$1:$E$768))/_xlfn.STDEV.P(pima_data!$E$1:$E$768)</f>
        <v>-0.692890572295466</v>
      </c>
      <c r="F503" s="5">
        <f>(pima_data!F503-AVERAGE(pima_data!$F$1:$F$768))/_xlfn.STDEV.P(pima_data!$F$1:$F$768)</f>
        <v>0.889376696277177</v>
      </c>
      <c r="G503" s="5">
        <f>(pima_data!G503-AVERAGE(pima_data!$G$1:$G$768))/_xlfn.STDEV.P(pima_data!$G$1:$G$768)</f>
        <v>0.770503845114254</v>
      </c>
      <c r="H503" s="5">
        <f>(pima_data!H503-AVERAGE(pima_data!$H$1:$H$768))/_xlfn.STDEV.P(pima_data!$H$1:$H$768)</f>
        <v>0.66020562621053</v>
      </c>
    </row>
    <row r="504" spans="1:8">
      <c r="A504" s="5">
        <f>(pima_data!A504-AVERAGE(pima_data!$A$1:$A$768))/_xlfn.STDEV.P(pima_data!$A$1:$A$768)</f>
        <v>0.936913722879839</v>
      </c>
      <c r="B504" s="5">
        <f>(pima_data!B504-AVERAGE(pima_data!$B$1:$B$768))/_xlfn.STDEV.P(pima_data!$B$1:$B$768)</f>
        <v>-0.841722053034759</v>
      </c>
      <c r="C504" s="5">
        <f>(pima_data!C504-AVERAGE(pima_data!$C$1:$C$768))/_xlfn.STDEV.P(pima_data!$C$1:$C$768)</f>
        <v>-0.263941246538553</v>
      </c>
      <c r="D504" s="5">
        <f>(pima_data!D504-AVERAGE(pima_data!$D$1:$D$768))/_xlfn.STDEV.P(pima_data!$D$1:$D$768)</f>
        <v>0.279989314353047</v>
      </c>
      <c r="E504" s="5">
        <f>(pima_data!E504-AVERAGE(pima_data!$E$1:$E$768))/_xlfn.STDEV.P(pima_data!$E$1:$E$768)</f>
        <v>-0.00694179439659007</v>
      </c>
      <c r="F504" s="5">
        <f>(pima_data!F504-AVERAGE(pima_data!$F$1:$F$768))/_xlfn.STDEV.P(pima_data!$F$1:$F$768)</f>
        <v>0.16593699773899</v>
      </c>
      <c r="G504" s="5">
        <f>(pima_data!G504-AVERAGE(pima_data!$G$1:$G$768))/_xlfn.STDEV.P(pima_data!$G$1:$G$768)</f>
        <v>0.80372515056517</v>
      </c>
      <c r="H504" s="5">
        <f>(pima_data!H504-AVERAGE(pima_data!$H$1:$H$768))/_xlfn.STDEV.P(pima_data!$H$1:$H$768)</f>
        <v>0.66020562621053</v>
      </c>
    </row>
    <row r="505" spans="1:8">
      <c r="A505" s="5">
        <f>(pima_data!A505-AVERAGE(pima_data!$A$1:$A$768))/_xlfn.STDEV.P(pima_data!$A$1:$A$768)</f>
        <v>-0.25095212800207</v>
      </c>
      <c r="B505" s="5">
        <f>(pima_data!B505-AVERAGE(pima_data!$B$1:$B$768))/_xlfn.STDEV.P(pima_data!$B$1:$B$768)</f>
        <v>-0.779127762380613</v>
      </c>
      <c r="C505" s="5">
        <f>(pima_data!C505-AVERAGE(pima_data!$C$1:$C$768))/_xlfn.STDEV.P(pima_data!$C$1:$C$768)</f>
        <v>0.459827252003279</v>
      </c>
      <c r="D505" s="5">
        <f>(pima_data!D505-AVERAGE(pima_data!$D$1:$D$768))/_xlfn.STDEV.P(pima_data!$D$1:$D$768)</f>
        <v>1.15818216964008</v>
      </c>
      <c r="E505" s="5">
        <f>(pima_data!E505-AVERAGE(pima_data!$E$1:$E$768))/_xlfn.STDEV.P(pima_data!$E$1:$E$768)</f>
        <v>-0.692890572295466</v>
      </c>
      <c r="F505" s="5">
        <f>(pima_data!F505-AVERAGE(pima_data!$F$1:$F$768))/_xlfn.STDEV.P(pima_data!$F$1:$F$768)</f>
        <v>0.673613979169296</v>
      </c>
      <c r="G505" s="5">
        <f>(pima_data!G505-AVERAGE(pima_data!$G$1:$G$768))/_xlfn.STDEV.P(pima_data!$G$1:$G$768)</f>
        <v>-0.706334188112825</v>
      </c>
      <c r="H505" s="5">
        <f>(pima_data!H505-AVERAGE(pima_data!$H$1:$H$768))/_xlfn.STDEV.P(pima_data!$H$1:$H$768)</f>
        <v>0.575117873075829</v>
      </c>
    </row>
    <row r="506" spans="1:8">
      <c r="A506" s="5">
        <f>(pima_data!A506-AVERAGE(pima_data!$A$1:$A$768))/_xlfn.STDEV.P(pima_data!$A$1:$A$768)</f>
        <v>1.82781311104127</v>
      </c>
      <c r="B506" s="5">
        <f>(pima_data!B506-AVERAGE(pima_data!$B$1:$B$768))/_xlfn.STDEV.P(pima_data!$B$1:$B$768)</f>
        <v>-1.43636781424915</v>
      </c>
      <c r="C506" s="5">
        <f>(pima_data!C506-AVERAGE(pima_data!$C$1:$C$768))/_xlfn.STDEV.P(pima_data!$C$1:$C$768)</f>
        <v>0.666618251586659</v>
      </c>
      <c r="D506" s="5">
        <f>(pima_data!D506-AVERAGE(pima_data!$D$1:$D$768))/_xlfn.STDEV.P(pima_data!$D$1:$D$768)</f>
        <v>-1.28821221294523</v>
      </c>
      <c r="E506" s="5">
        <f>(pima_data!E506-AVERAGE(pima_data!$E$1:$E$768))/_xlfn.STDEV.P(pima_data!$E$1:$E$768)</f>
        <v>-0.692890572295466</v>
      </c>
      <c r="F506" s="5">
        <f>(pima_data!F506-AVERAGE(pima_data!$F$1:$F$768))/_xlfn.STDEV.P(pima_data!$F$1:$F$768)</f>
        <v>0.16593699773899</v>
      </c>
      <c r="G506" s="5">
        <f>(pima_data!G506-AVERAGE(pima_data!$G$1:$G$768))/_xlfn.STDEV.P(pima_data!$G$1:$G$768)</f>
        <v>-0.630831221178925</v>
      </c>
      <c r="H506" s="5">
        <f>(pima_data!H506-AVERAGE(pima_data!$H$1:$H$768))/_xlfn.STDEV.P(pima_data!$H$1:$H$768)</f>
        <v>0.404942366806425</v>
      </c>
    </row>
    <row r="507" spans="1:8">
      <c r="A507" s="5">
        <f>(pima_data!A507-AVERAGE(pima_data!$A$1:$A$768))/_xlfn.STDEV.P(pima_data!$A$1:$A$768)</f>
        <v>-1.1418515161635</v>
      </c>
      <c r="B507" s="5">
        <f>(pima_data!B507-AVERAGE(pima_data!$B$1:$B$768))/_xlfn.STDEV.P(pima_data!$B$1:$B$768)</f>
        <v>1.84983244509353</v>
      </c>
      <c r="C507" s="5">
        <f>(pima_data!C507-AVERAGE(pima_data!$C$1:$C$768))/_xlfn.STDEV.P(pima_data!$C$1:$C$768)</f>
        <v>1.08020025075342</v>
      </c>
      <c r="D507" s="5">
        <f>(pima_data!D507-AVERAGE(pima_data!$D$1:$D$768))/_xlfn.STDEV.P(pima_data!$D$1:$D$768)</f>
        <v>0.342717375444978</v>
      </c>
      <c r="E507" s="5">
        <f>(pima_data!E507-AVERAGE(pima_data!$E$1:$E$768))/_xlfn.STDEV.P(pima_data!$E$1:$E$768)</f>
        <v>0.0885700607538864</v>
      </c>
      <c r="F507" s="5">
        <f>(pima_data!F507-AVERAGE(pima_data!$F$1:$F$768))/_xlfn.STDEV.P(pima_data!$F$1:$F$768)</f>
        <v>0.572078582883236</v>
      </c>
      <c r="G507" s="5">
        <f>(pima_data!G507-AVERAGE(pima_data!$G$1:$G$768))/_xlfn.STDEV.P(pima_data!$G$1:$G$768)</f>
        <v>-0.476805168633769</v>
      </c>
      <c r="H507" s="5">
        <f>(pima_data!H507-AVERAGE(pima_data!$H$1:$H$768))/_xlfn.STDEV.P(pima_data!$H$1:$H$768)</f>
        <v>0.14967910740232</v>
      </c>
    </row>
    <row r="508" spans="1:8">
      <c r="A508" s="5">
        <f>(pima_data!A508-AVERAGE(pima_data!$A$1:$A$768))/_xlfn.STDEV.P(pima_data!$A$1:$A$768)</f>
        <v>-0.844885053443025</v>
      </c>
      <c r="B508" s="5">
        <f>(pima_data!B508-AVERAGE(pima_data!$B$1:$B$768))/_xlfn.STDEV.P(pima_data!$B$1:$B$768)</f>
        <v>0.284975178739873</v>
      </c>
      <c r="C508" s="5">
        <f>(pima_data!C508-AVERAGE(pima_data!$C$1:$C$768))/_xlfn.STDEV.P(pima_data!$C$1:$C$768)</f>
        <v>-0.470732246121934</v>
      </c>
      <c r="D508" s="5">
        <f>(pima_data!D508-AVERAGE(pima_data!$D$1:$D$768))/_xlfn.STDEV.P(pima_data!$D$1:$D$768)</f>
        <v>0.154533192169185</v>
      </c>
      <c r="E508" s="5">
        <f>(pima_data!E508-AVERAGE(pima_data!$E$1:$E$768))/_xlfn.STDEV.P(pima_data!$E$1:$E$768)</f>
        <v>0.783201734575533</v>
      </c>
      <c r="F508" s="5">
        <f>(pima_data!F508-AVERAGE(pima_data!$F$1:$F$768))/_xlfn.STDEV.P(pima_data!$F$1:$F$768)</f>
        <v>-0.430583455441619</v>
      </c>
      <c r="G508" s="5">
        <f>(pima_data!G508-AVERAGE(pima_data!$G$1:$G$768))/_xlfn.STDEV.P(pima_data!$G$1:$G$768)</f>
        <v>0.664799691406794</v>
      </c>
      <c r="H508" s="5">
        <f>(pima_data!H508-AVERAGE(pima_data!$H$1:$H$768))/_xlfn.STDEV.P(pima_data!$H$1:$H$768)</f>
        <v>-1.0415494364835</v>
      </c>
    </row>
    <row r="509" spans="1:8">
      <c r="A509" s="5">
        <f>(pima_data!A509-AVERAGE(pima_data!$A$1:$A$768))/_xlfn.STDEV.P(pima_data!$A$1:$A$768)</f>
        <v>-0.547918590722547</v>
      </c>
      <c r="B509" s="5">
        <f>(pima_data!B509-AVERAGE(pima_data!$B$1:$B$768))/_xlfn.STDEV.P(pima_data!$B$1:$B$768)</f>
        <v>-1.15469350630549</v>
      </c>
      <c r="C509" s="5">
        <f>(pima_data!C509-AVERAGE(pima_data!$C$1:$C$768))/_xlfn.STDEV.P(pima_data!$C$1:$C$768)</f>
        <v>-0.987709745080385</v>
      </c>
      <c r="D509" s="5">
        <f>(pima_data!D509-AVERAGE(pima_data!$D$1:$D$768))/_xlfn.STDEV.P(pima_data!$D$1:$D$768)</f>
        <v>0.154533192169185</v>
      </c>
      <c r="E509" s="5">
        <f>(pima_data!E509-AVERAGE(pima_data!$E$1:$E$768))/_xlfn.STDEV.P(pima_data!$E$1:$E$768)</f>
        <v>-0.0329904821649018</v>
      </c>
      <c r="F509" s="5">
        <f>(pima_data!F509-AVERAGE(pima_data!$F$1:$F$768))/_xlfn.STDEV.P(pima_data!$F$1:$F$768)</f>
        <v>-0.202128813797981</v>
      </c>
      <c r="G509" s="5">
        <f>(pima_data!G509-AVERAGE(pima_data!$G$1:$G$768))/_xlfn.STDEV.P(pima_data!$G$1:$G$768)</f>
        <v>1.49835244635705</v>
      </c>
      <c r="H509" s="5">
        <f>(pima_data!H509-AVERAGE(pima_data!$H$1:$H$768))/_xlfn.STDEV.P(pima_data!$H$1:$H$768)</f>
        <v>-1.0415494364835</v>
      </c>
    </row>
    <row r="510" spans="1:8">
      <c r="A510" s="5">
        <f>(pima_data!A510-AVERAGE(pima_data!$A$1:$A$768))/_xlfn.STDEV.P(pima_data!$A$1:$A$768)</f>
        <v>1.23388018560032</v>
      </c>
      <c r="B510" s="5">
        <f>(pima_data!B510-AVERAGE(pima_data!$B$1:$B$768))/_xlfn.STDEV.P(pima_data!$B$1:$B$768)</f>
        <v>-0.0279962745308584</v>
      </c>
      <c r="C510" s="5">
        <f>(pima_data!C510-AVERAGE(pima_data!$C$1:$C$768))/_xlfn.STDEV.P(pima_data!$C$1:$C$768)</f>
        <v>0.459827252003279</v>
      </c>
      <c r="D510" s="5">
        <f>(pima_data!D510-AVERAGE(pima_data!$D$1:$D$768))/_xlfn.STDEV.P(pima_data!$D$1:$D$768)</f>
        <v>-1.28821221294523</v>
      </c>
      <c r="E510" s="5">
        <f>(pima_data!E510-AVERAGE(pima_data!$E$1:$E$768))/_xlfn.STDEV.P(pima_data!$E$1:$E$768)</f>
        <v>-0.692890572295466</v>
      </c>
      <c r="F510" s="5">
        <f>(pima_data!F510-AVERAGE(pima_data!$F$1:$F$768))/_xlfn.STDEV.P(pima_data!$F$1:$F$768)</f>
        <v>-0.887492738728894</v>
      </c>
      <c r="G510" s="5">
        <f>(pima_data!G510-AVERAGE(pima_data!$G$1:$G$768))/_xlfn.STDEV.P(pima_data!$G$1:$G$768)</f>
        <v>-0.18989389428495</v>
      </c>
      <c r="H510" s="5">
        <f>(pima_data!H510-AVERAGE(pima_data!$H$1:$H$768))/_xlfn.STDEV.P(pima_data!$H$1:$H$768)</f>
        <v>2.61722394830867</v>
      </c>
    </row>
    <row r="511" spans="1:8">
      <c r="A511" s="5">
        <f>(pima_data!A511-AVERAGE(pima_data!$A$1:$A$768))/_xlfn.STDEV.P(pima_data!$A$1:$A$768)</f>
        <v>2.42174603648223</v>
      </c>
      <c r="B511" s="5">
        <f>(pima_data!B511-AVERAGE(pima_data!$B$1:$B$768))/_xlfn.STDEV.P(pima_data!$B$1:$B$768)</f>
        <v>-1.15469350630549</v>
      </c>
      <c r="C511" s="5">
        <f>(pima_data!C511-AVERAGE(pima_data!$C$1:$C$768))/_xlfn.STDEV.P(pima_data!$C$1:$C$768)</f>
        <v>0.149640752628208</v>
      </c>
      <c r="D511" s="5">
        <f>(pima_data!D511-AVERAGE(pima_data!$D$1:$D$768))/_xlfn.STDEV.P(pima_data!$D$1:$D$768)</f>
        <v>0.656357680904634</v>
      </c>
      <c r="E511" s="5">
        <f>(pima_data!E511-AVERAGE(pima_data!$E$1:$E$768))/_xlfn.STDEV.P(pima_data!$E$1:$E$768)</f>
        <v>-0.692890572295466</v>
      </c>
      <c r="F511" s="5">
        <f>(pima_data!F511-AVERAGE(pima_data!$F$1:$F$768))/_xlfn.STDEV.P(pima_data!$F$1:$F$768)</f>
        <v>-0.290972285548285</v>
      </c>
      <c r="G511" s="5">
        <f>(pima_data!G511-AVERAGE(pima_data!$G$1:$G$768))/_xlfn.STDEV.P(pima_data!$G$1:$G$768)</f>
        <v>-0.528147186148821</v>
      </c>
      <c r="H511" s="5">
        <f>(pima_data!H511-AVERAGE(pima_data!$H$1:$H$768))/_xlfn.STDEV.P(pima_data!$H$1:$H$768)</f>
        <v>1.08564439188404</v>
      </c>
    </row>
    <row r="512" spans="1:8">
      <c r="A512" s="5">
        <f>(pima_data!A512-AVERAGE(pima_data!$A$1:$A$768))/_xlfn.STDEV.P(pima_data!$A$1:$A$768)</f>
        <v>-1.1418515161635</v>
      </c>
      <c r="B512" s="5">
        <f>(pima_data!B512-AVERAGE(pima_data!$B$1:$B$768))/_xlfn.STDEV.P(pima_data!$B$1:$B$768)</f>
        <v>0.56664948668353</v>
      </c>
      <c r="C512" s="5">
        <f>(pima_data!C512-AVERAGE(pima_data!$C$1:$C$768))/_xlfn.STDEV.P(pima_data!$C$1:$C$768)</f>
        <v>-0.367336746330243</v>
      </c>
      <c r="D512" s="5">
        <f>(pima_data!D512-AVERAGE(pima_data!$D$1:$D$768))/_xlfn.STDEV.P(pima_data!$D$1:$D$768)</f>
        <v>-0.221835174382402</v>
      </c>
      <c r="E512" s="5">
        <f>(pima_data!E512-AVERAGE(pima_data!$E$1:$E$768))/_xlfn.STDEV.P(pima_data!$E$1:$E$768)</f>
        <v>1.13051757148636</v>
      </c>
      <c r="F512" s="5">
        <f>(pima_data!F512-AVERAGE(pima_data!$F$1:$F$768))/_xlfn.STDEV.P(pima_data!$F$1:$F$768)</f>
        <v>-1.25555855026587</v>
      </c>
      <c r="G512" s="5">
        <f>(pima_data!G512-AVERAGE(pima_data!$G$1:$G$768))/_xlfn.STDEV.P(pima_data!$G$1:$G$768)</f>
        <v>-0.79995786711086</v>
      </c>
      <c r="H512" s="5">
        <f>(pima_data!H512-AVERAGE(pima_data!$H$1:$H$768))/_xlfn.STDEV.P(pima_data!$H$1:$H$768)</f>
        <v>-1.0415494364835</v>
      </c>
    </row>
    <row r="513" spans="1:8">
      <c r="A513" s="5">
        <f>(pima_data!A513-AVERAGE(pima_data!$A$1:$A$768))/_xlfn.STDEV.P(pima_data!$A$1:$A$768)</f>
        <v>1.53084664832079</v>
      </c>
      <c r="B513" s="5">
        <f>(pima_data!B513-AVERAGE(pima_data!$B$1:$B$768))/_xlfn.STDEV.P(pima_data!$B$1:$B$768)</f>
        <v>-0.935613489015978</v>
      </c>
      <c r="C513" s="5">
        <f>(pima_data!C513-AVERAGE(pima_data!$C$1:$C$768))/_xlfn.STDEV.P(pima_data!$C$1:$C$768)</f>
        <v>-0.0571502469551726</v>
      </c>
      <c r="D513" s="5">
        <f>(pima_data!D513-AVERAGE(pima_data!$D$1:$D$768))/_xlfn.STDEV.P(pima_data!$D$1:$D$768)</f>
        <v>-1.28821221294523</v>
      </c>
      <c r="E513" s="5">
        <f>(pima_data!E513-AVERAGE(pima_data!$E$1:$E$768))/_xlfn.STDEV.P(pima_data!$E$1:$E$768)</f>
        <v>-0.692890572295466</v>
      </c>
      <c r="F513" s="5">
        <f>(pima_data!F513-AVERAGE(pima_data!$F$1:$F$768))/_xlfn.STDEV.P(pima_data!$F$1:$F$768)</f>
        <v>-0.989028135014956</v>
      </c>
      <c r="G513" s="5">
        <f>(pima_data!G513-AVERAGE(pima_data!$G$1:$G$768))/_xlfn.STDEV.P(pima_data!$G$1:$G$768)</f>
        <v>-0.821098697852352</v>
      </c>
      <c r="H513" s="5">
        <f>(pima_data!H513-AVERAGE(pima_data!$H$1:$H$768))/_xlfn.STDEV.P(pima_data!$H$1:$H$768)</f>
        <v>2.10669742950046</v>
      </c>
    </row>
    <row r="514" spans="1:8">
      <c r="A514" s="5">
        <f>(pima_data!A514-AVERAGE(pima_data!$A$1:$A$768))/_xlfn.STDEV.P(pima_data!$A$1:$A$768)</f>
        <v>-0.547918590722547</v>
      </c>
      <c r="B514" s="5">
        <f>(pima_data!B514-AVERAGE(pima_data!$B$1:$B$768))/_xlfn.STDEV.P(pima_data!$B$1:$B$768)</f>
        <v>-0.935613489015978</v>
      </c>
      <c r="C514" s="5">
        <f>(pima_data!C514-AVERAGE(pima_data!$C$1:$C$768))/_xlfn.STDEV.P(pima_data!$C$1:$C$768)</f>
        <v>-0.367336746330243</v>
      </c>
      <c r="D514" s="5">
        <f>(pima_data!D514-AVERAGE(pima_data!$D$1:$D$768))/_xlfn.STDEV.P(pima_data!$D$1:$D$768)</f>
        <v>-1.28821221294523</v>
      </c>
      <c r="E514" s="5">
        <f>(pima_data!E514-AVERAGE(pima_data!$E$1:$E$768))/_xlfn.STDEV.P(pima_data!$E$1:$E$768)</f>
        <v>-0.692890572295466</v>
      </c>
      <c r="F514" s="5">
        <f>(pima_data!F514-AVERAGE(pima_data!$F$1:$F$768))/_xlfn.STDEV.P(pima_data!$F$1:$F$768)</f>
        <v>-0.595578474406468</v>
      </c>
      <c r="G514" s="5">
        <f>(pima_data!G514-AVERAGE(pima_data!$G$1:$G$768))/_xlfn.STDEV.P(pima_data!$G$1:$G$768)</f>
        <v>0.160439872288344</v>
      </c>
      <c r="H514" s="5">
        <f>(pima_data!H514-AVERAGE(pima_data!$H$1:$H$768))/_xlfn.STDEV.P(pima_data!$H$1:$H$768)</f>
        <v>-0.956461683348801</v>
      </c>
    </row>
    <row r="515" spans="1:8">
      <c r="A515" s="5">
        <f>(pima_data!A515-AVERAGE(pima_data!$A$1:$A$768))/_xlfn.STDEV.P(pima_data!$A$1:$A$768)</f>
        <v>-0.25095212800207</v>
      </c>
      <c r="B515" s="5">
        <f>(pima_data!B515-AVERAGE(pima_data!$B$1:$B$768))/_xlfn.STDEV.P(pima_data!$B$1:$B$768)</f>
        <v>-0.685236326399393</v>
      </c>
      <c r="C515" s="5">
        <f>(pima_data!C515-AVERAGE(pima_data!$C$1:$C$768))/_xlfn.STDEV.P(pima_data!$C$1:$C$768)</f>
        <v>-0.780918745497004</v>
      </c>
      <c r="D515" s="5">
        <f>(pima_data!D515-AVERAGE(pima_data!$D$1:$D$768))/_xlfn.STDEV.P(pima_data!$D$1:$D$768)</f>
        <v>-0.09637905219854</v>
      </c>
      <c r="E515" s="5">
        <f>(pima_data!E515-AVERAGE(pima_data!$E$1:$E$768))/_xlfn.STDEV.P(pima_data!$E$1:$E$768)</f>
        <v>0.053838477062804</v>
      </c>
      <c r="F515" s="5">
        <f>(pima_data!F515-AVERAGE(pima_data!$F$1:$F$768))/_xlfn.STDEV.P(pima_data!$F$1:$F$768)</f>
        <v>-0.811341191514348</v>
      </c>
      <c r="G515" s="5">
        <f>(pima_data!G515-AVERAGE(pima_data!$G$1:$G$768))/_xlfn.STDEV.P(pima_data!$G$1:$G$768)</f>
        <v>-0.960024157010728</v>
      </c>
      <c r="H515" s="5">
        <f>(pima_data!H515-AVERAGE(pima_data!$H$1:$H$768))/_xlfn.STDEV.P(pima_data!$H$1:$H$768)</f>
        <v>-0.786286177079398</v>
      </c>
    </row>
    <row r="516" spans="1:8">
      <c r="A516" s="5">
        <f>(pima_data!A516-AVERAGE(pima_data!$A$1:$A$768))/_xlfn.STDEV.P(pima_data!$A$1:$A$768)</f>
        <v>-0.25095212800207</v>
      </c>
      <c r="B516" s="5">
        <f>(pima_data!B516-AVERAGE(pima_data!$B$1:$B$768))/_xlfn.STDEV.P(pima_data!$B$1:$B$768)</f>
        <v>1.31778097453328</v>
      </c>
      <c r="C516" s="5">
        <f>(pima_data!C516-AVERAGE(pima_data!$C$1:$C$768))/_xlfn.STDEV.P(pima_data!$C$1:$C$768)</f>
        <v>0.0462452528365177</v>
      </c>
      <c r="D516" s="5">
        <f>(pima_data!D516-AVERAGE(pima_data!$D$1:$D$768))/_xlfn.STDEV.P(pima_data!$D$1:$D$768)</f>
        <v>-0.159107113290471</v>
      </c>
      <c r="E516" s="5">
        <f>(pima_data!E516-AVERAGE(pima_data!$E$1:$E$768))/_xlfn.STDEV.P(pima_data!$E$1:$E$768)</f>
        <v>0.218813499595445</v>
      </c>
      <c r="F516" s="5">
        <f>(pima_data!F516-AVERAGE(pima_data!$F$1:$F$768))/_xlfn.STDEV.P(pima_data!$F$1:$F$768)</f>
        <v>-0.0498257193688892</v>
      </c>
      <c r="G516" s="5">
        <f>(pima_data!G516-AVERAGE(pima_data!$G$1:$G$768))/_xlfn.STDEV.P(pima_data!$G$1:$G$768)</f>
        <v>-0.615730627792145</v>
      </c>
      <c r="H516" s="5">
        <f>(pima_data!H516-AVERAGE(pima_data!$H$1:$H$768))/_xlfn.STDEV.P(pima_data!$H$1:$H$768)</f>
        <v>-0.445935164540591</v>
      </c>
    </row>
    <row r="517" spans="1:8">
      <c r="A517" s="5">
        <f>(pima_data!A517-AVERAGE(pima_data!$A$1:$A$768))/_xlfn.STDEV.P(pima_data!$A$1:$A$768)</f>
        <v>1.53084664832079</v>
      </c>
      <c r="B517" s="5">
        <f>(pima_data!B517-AVERAGE(pima_data!$B$1:$B$768))/_xlfn.STDEV.P(pima_data!$B$1:$B$768)</f>
        <v>0.754432358645969</v>
      </c>
      <c r="C517" s="5">
        <f>(pima_data!C517-AVERAGE(pima_data!$C$1:$C$768))/_xlfn.STDEV.P(pima_data!$C$1:$C$768)</f>
        <v>0.97680475096173</v>
      </c>
      <c r="D517" s="5">
        <f>(pima_data!D517-AVERAGE(pima_data!$D$1:$D$768))/_xlfn.STDEV.P(pima_data!$D$1:$D$768)</f>
        <v>0.844541864180428</v>
      </c>
      <c r="E517" s="5">
        <f>(pima_data!E517-AVERAGE(pima_data!$E$1:$E$768))/_xlfn.STDEV.P(pima_data!$E$1:$E$768)</f>
        <v>0.73978725496168</v>
      </c>
      <c r="F517" s="5">
        <f>(pima_data!F517-AVERAGE(pima_data!$F$1:$F$768))/_xlfn.STDEV.P(pima_data!$F$1:$F$768)</f>
        <v>-0.214820738333739</v>
      </c>
      <c r="G517" s="5">
        <f>(pima_data!G517-AVERAGE(pima_data!$G$1:$G$768))/_xlfn.STDEV.P(pima_data!$G$1:$G$768)</f>
        <v>0.903389066917918</v>
      </c>
      <c r="H517" s="5">
        <f>(pima_data!H517-AVERAGE(pima_data!$H$1:$H$768))/_xlfn.STDEV.P(pima_data!$H$1:$H$768)</f>
        <v>1.68125866382695</v>
      </c>
    </row>
    <row r="518" spans="1:8">
      <c r="A518" s="5">
        <f>(pima_data!A518-AVERAGE(pima_data!$A$1:$A$768))/_xlfn.STDEV.P(pima_data!$A$1:$A$768)</f>
        <v>0.936913722879839</v>
      </c>
      <c r="B518" s="5">
        <f>(pima_data!B518-AVERAGE(pima_data!$B$1:$B$768))/_xlfn.STDEV.P(pima_data!$B$1:$B$768)</f>
        <v>0.128489452104507</v>
      </c>
      <c r="C518" s="5">
        <f>(pima_data!C518-AVERAGE(pima_data!$C$1:$C$768))/_xlfn.STDEV.P(pima_data!$C$1:$C$768)</f>
        <v>0.87340925117004</v>
      </c>
      <c r="D518" s="5">
        <f>(pima_data!D518-AVERAGE(pima_data!$D$1:$D$768))/_xlfn.STDEV.P(pima_data!$D$1:$D$768)</f>
        <v>-1.28821221294523</v>
      </c>
      <c r="E518" s="5">
        <f>(pima_data!E518-AVERAGE(pima_data!$E$1:$E$768))/_xlfn.STDEV.P(pima_data!$E$1:$E$768)</f>
        <v>-0.692890572295466</v>
      </c>
      <c r="F518" s="5">
        <f>(pima_data!F518-AVERAGE(pima_data!$F$1:$F$768))/_xlfn.STDEV.P(pima_data!$F$1:$F$768)</f>
        <v>0.71168975277657</v>
      </c>
      <c r="G518" s="5">
        <f>(pima_data!G518-AVERAGE(pima_data!$G$1:$G$768))/_xlfn.STDEV.P(pima_data!$G$1:$G$768)</f>
        <v>-0.507006355407329</v>
      </c>
      <c r="H518" s="5">
        <f>(pima_data!H518-AVERAGE(pima_data!$H$1:$H$768))/_xlfn.STDEV.P(pima_data!$H$1:$H$768)</f>
        <v>1.51108315755755</v>
      </c>
    </row>
    <row r="519" spans="1:8">
      <c r="A519" s="5">
        <f>(pima_data!A519-AVERAGE(pima_data!$A$1:$A$768))/_xlfn.STDEV.P(pima_data!$A$1:$A$768)</f>
        <v>2.7187124992027</v>
      </c>
      <c r="B519" s="5">
        <f>(pima_data!B519-AVERAGE(pima_data!$B$1:$B$768))/_xlfn.STDEV.P(pima_data!$B$1:$B$768)</f>
        <v>-1.40507066892207</v>
      </c>
      <c r="C519" s="5">
        <f>(pima_data!C519-AVERAGE(pima_data!$C$1:$C$768))/_xlfn.STDEV.P(pima_data!$C$1:$C$768)</f>
        <v>-0.470732246121934</v>
      </c>
      <c r="D519" s="5">
        <f>(pima_data!D519-AVERAGE(pima_data!$D$1:$D$768))/_xlfn.STDEV.P(pima_data!$D$1:$D$768)</f>
        <v>-1.28821221294523</v>
      </c>
      <c r="E519" s="5">
        <f>(pima_data!E519-AVERAGE(pima_data!$E$1:$E$768))/_xlfn.STDEV.P(pima_data!$E$1:$E$768)</f>
        <v>-0.692890572295466</v>
      </c>
      <c r="F519" s="5">
        <f>(pima_data!F519-AVERAGE(pima_data!$F$1:$F$768))/_xlfn.STDEV.P(pima_data!$F$1:$F$768)</f>
        <v>0.102477375060202</v>
      </c>
      <c r="G519" s="5">
        <f>(pima_data!G519-AVERAGE(pima_data!$G$1:$G$768))/_xlfn.STDEV.P(pima_data!$G$1:$G$768)</f>
        <v>-0.881501071399472</v>
      </c>
      <c r="H519" s="5">
        <f>(pima_data!H519-AVERAGE(pima_data!$H$1:$H$768))/_xlfn.STDEV.P(pima_data!$H$1:$H$768)</f>
        <v>0.66020562621053</v>
      </c>
    </row>
    <row r="520" spans="1:8">
      <c r="A520" s="5">
        <f>(pima_data!A520-AVERAGE(pima_data!$A$1:$A$768))/_xlfn.STDEV.P(pima_data!$A$1:$A$768)</f>
        <v>0.639947260159362</v>
      </c>
      <c r="B520" s="5">
        <f>(pima_data!B520-AVERAGE(pima_data!$B$1:$B$768))/_xlfn.STDEV.P(pima_data!$B$1:$B$768)</f>
        <v>0.253678033412799</v>
      </c>
      <c r="C520" s="5">
        <f>(pima_data!C520-AVERAGE(pima_data!$C$1:$C$768))/_xlfn.STDEV.P(pima_data!$C$1:$C$768)</f>
        <v>1.08020025075342</v>
      </c>
      <c r="D520" s="5">
        <f>(pima_data!D520-AVERAGE(pima_data!$D$1:$D$768))/_xlfn.STDEV.P(pima_data!$D$1:$D$768)</f>
        <v>-0.849115785301714</v>
      </c>
      <c r="E520" s="5">
        <f>(pima_data!E520-AVERAGE(pima_data!$E$1:$E$768))/_xlfn.STDEV.P(pima_data!$E$1:$E$768)</f>
        <v>2.13773349852774</v>
      </c>
      <c r="F520" s="5">
        <f>(pima_data!F520-AVERAGE(pima_data!$F$1:$F$768))/_xlfn.STDEV.P(pima_data!$F$1:$F$768)</f>
        <v>-1.57285666365981</v>
      </c>
      <c r="G520" s="5">
        <f>(pima_data!G520-AVERAGE(pima_data!$G$1:$G$768))/_xlfn.STDEV.P(pima_data!$G$1:$G$768)</f>
        <v>0.332586636897636</v>
      </c>
      <c r="H520" s="5">
        <f>(pima_data!H520-AVERAGE(pima_data!$H$1:$H$768))/_xlfn.STDEV.P(pima_data!$H$1:$H$768)</f>
        <v>2.27687293576986</v>
      </c>
    </row>
    <row r="521" spans="1:8">
      <c r="A521" s="5">
        <f>(pima_data!A521-AVERAGE(pima_data!$A$1:$A$768))/_xlfn.STDEV.P(pima_data!$A$1:$A$768)</f>
        <v>-0.547918590722547</v>
      </c>
      <c r="B521" s="5">
        <f>(pima_data!B521-AVERAGE(pima_data!$B$1:$B$768))/_xlfn.STDEV.P(pima_data!$B$1:$B$768)</f>
        <v>-1.65544783153866</v>
      </c>
      <c r="C521" s="5">
        <f>(pima_data!C521-AVERAGE(pima_data!$C$1:$C$768))/_xlfn.STDEV.P(pima_data!$C$1:$C$768)</f>
        <v>0.0462452528365177</v>
      </c>
      <c r="D521" s="5">
        <f>(pima_data!D521-AVERAGE(pima_data!$D$1:$D$768))/_xlfn.STDEV.P(pima_data!$D$1:$D$768)</f>
        <v>0.719085741996565</v>
      </c>
      <c r="E521" s="5">
        <f>(pima_data!E521-AVERAGE(pima_data!$E$1:$E$768))/_xlfn.STDEV.P(pima_data!$E$1:$E$768)</f>
        <v>-0.119819441392608</v>
      </c>
      <c r="F521" s="5">
        <f>(pima_data!F521-AVERAGE(pima_data!$F$1:$F$768))/_xlfn.STDEV.P(pima_data!$F$1:$F$768)</f>
        <v>-0.887492738728894</v>
      </c>
      <c r="G521" s="5">
        <f>(pima_data!G521-AVERAGE(pima_data!$G$1:$G$768))/_xlfn.STDEV.P(pima_data!$G$1:$G$768)</f>
        <v>-0.86036024065798</v>
      </c>
      <c r="H521" s="5">
        <f>(pima_data!H521-AVERAGE(pima_data!$H$1:$H$768))/_xlfn.STDEV.P(pima_data!$H$1:$H$768)</f>
        <v>-0.701198423944696</v>
      </c>
    </row>
    <row r="522" spans="1:8">
      <c r="A522" s="5">
        <f>(pima_data!A522-AVERAGE(pima_data!$A$1:$A$768))/_xlfn.STDEV.P(pima_data!$A$1:$A$768)</f>
        <v>-0.25095212800207</v>
      </c>
      <c r="B522" s="5">
        <f>(pima_data!B522-AVERAGE(pima_data!$B$1:$B$768))/_xlfn.STDEV.P(pima_data!$B$1:$B$768)</f>
        <v>0.097192306777434</v>
      </c>
      <c r="C522" s="5">
        <f>(pima_data!C522-AVERAGE(pima_data!$C$1:$C$768))/_xlfn.STDEV.P(pima_data!$C$1:$C$768)</f>
        <v>0.563222751794969</v>
      </c>
      <c r="D522" s="5">
        <f>(pima_data!D522-AVERAGE(pima_data!$D$1:$D$768))/_xlfn.STDEV.P(pima_data!$D$1:$D$768)</f>
        <v>0.781813803088497</v>
      </c>
      <c r="E522" s="5">
        <f>(pima_data!E522-AVERAGE(pima_data!$E$1:$E$768))/_xlfn.STDEV.P(pima_data!$E$1:$E$768)</f>
        <v>0.43588589766471</v>
      </c>
      <c r="F522" s="5">
        <f>(pima_data!F522-AVERAGE(pima_data!$F$1:$F$768))/_xlfn.STDEV.P(pima_data!$F$1:$F$768)</f>
        <v>0.153245073203233</v>
      </c>
      <c r="G522" s="5">
        <f>(pima_data!G522-AVERAGE(pima_data!$G$1:$G$768))/_xlfn.STDEV.P(pima_data!$G$1:$G$768)</f>
        <v>-0.503986236729973</v>
      </c>
      <c r="H522" s="5">
        <f>(pima_data!H522-AVERAGE(pima_data!$H$1:$H$768))/_xlfn.STDEV.P(pima_data!$H$1:$H$768)</f>
        <v>-0.616110670809994</v>
      </c>
    </row>
    <row r="523" spans="1:8">
      <c r="A523" s="5">
        <f>(pima_data!A523-AVERAGE(pima_data!$A$1:$A$768))/_xlfn.STDEV.P(pima_data!$A$1:$A$768)</f>
        <v>0.639947260159362</v>
      </c>
      <c r="B523" s="5">
        <f>(pima_data!B523-AVERAGE(pima_data!$B$1:$B$768))/_xlfn.STDEV.P(pima_data!$B$1:$B$768)</f>
        <v>-0.215779146493297</v>
      </c>
      <c r="C523" s="5">
        <f>(pima_data!C523-AVERAGE(pima_data!$C$1:$C$768))/_xlfn.STDEV.P(pima_data!$C$1:$C$768)</f>
        <v>-3.57259723987264</v>
      </c>
      <c r="D523" s="5">
        <f>(pima_data!D523-AVERAGE(pima_data!$D$1:$D$768))/_xlfn.STDEV.P(pima_data!$D$1:$D$768)</f>
        <v>-1.28821221294523</v>
      </c>
      <c r="E523" s="5">
        <f>(pima_data!E523-AVERAGE(pima_data!$E$1:$E$768))/_xlfn.STDEV.P(pima_data!$E$1:$E$768)</f>
        <v>-0.692890572295466</v>
      </c>
      <c r="F523" s="5">
        <f>(pima_data!F523-AVERAGE(pima_data!$F$1:$F$768))/_xlfn.STDEV.P(pima_data!$F$1:$F$768)</f>
        <v>-4.06047387266831</v>
      </c>
      <c r="G523" s="5">
        <f>(pima_data!G523-AVERAGE(pima_data!$G$1:$G$768))/_xlfn.STDEV.P(pima_data!$G$1:$G$768)</f>
        <v>-0.854320003303268</v>
      </c>
      <c r="H523" s="5">
        <f>(pima_data!H523-AVERAGE(pima_data!$H$1:$H$768))/_xlfn.STDEV.P(pima_data!$H$1:$H$768)</f>
        <v>-0.616110670809994</v>
      </c>
    </row>
    <row r="524" spans="1:8">
      <c r="A524" s="5">
        <f>(pima_data!A524-AVERAGE(pima_data!$A$1:$A$768))/_xlfn.STDEV.P(pima_data!$A$1:$A$768)</f>
        <v>1.53084664832079</v>
      </c>
      <c r="B524" s="5">
        <f>(pima_data!B524-AVERAGE(pima_data!$B$1:$B$768))/_xlfn.STDEV.P(pima_data!$B$1:$B$768)</f>
        <v>0.284975178739873</v>
      </c>
      <c r="C524" s="5">
        <f>(pima_data!C524-AVERAGE(pima_data!$C$1:$C$768))/_xlfn.STDEV.P(pima_data!$C$1:$C$768)</f>
        <v>0.0462452528365177</v>
      </c>
      <c r="D524" s="5">
        <f>(pima_data!D524-AVERAGE(pima_data!$D$1:$D$768))/_xlfn.STDEV.P(pima_data!$D$1:$D$768)</f>
        <v>-1.28821221294523</v>
      </c>
      <c r="E524" s="5">
        <f>(pima_data!E524-AVERAGE(pima_data!$E$1:$E$768))/_xlfn.STDEV.P(pima_data!$E$1:$E$768)</f>
        <v>-0.692890572295466</v>
      </c>
      <c r="F524" s="5">
        <f>(pima_data!F524-AVERAGE(pima_data!$F$1:$F$768))/_xlfn.STDEV.P(pima_data!$F$1:$F$768)</f>
        <v>0.28016431856081</v>
      </c>
      <c r="G524" s="5">
        <f>(pima_data!G524-AVERAGE(pima_data!$G$1:$G$768))/_xlfn.STDEV.P(pima_data!$G$1:$G$768)</f>
        <v>0.543994944312555</v>
      </c>
      <c r="H524" s="5">
        <f>(pima_data!H524-AVERAGE(pima_data!$H$1:$H$768))/_xlfn.STDEV.P(pima_data!$H$1:$H$768)</f>
        <v>1.00055663874934</v>
      </c>
    </row>
    <row r="525" spans="1:8">
      <c r="A525" s="5">
        <f>(pima_data!A525-AVERAGE(pima_data!$A$1:$A$768))/_xlfn.STDEV.P(pima_data!$A$1:$A$768)</f>
        <v>-0.25095212800207</v>
      </c>
      <c r="B525" s="5">
        <f>(pima_data!B525-AVERAGE(pima_data!$B$1:$B$768))/_xlfn.STDEV.P(pima_data!$B$1:$B$768)</f>
        <v>0.128489452104507</v>
      </c>
      <c r="C525" s="5">
        <f>(pima_data!C525-AVERAGE(pima_data!$C$1:$C$768))/_xlfn.STDEV.P(pima_data!$C$1:$C$768)</f>
        <v>-0.574127745913624</v>
      </c>
      <c r="D525" s="5">
        <f>(pima_data!D525-AVERAGE(pima_data!$D$1:$D$768))/_xlfn.STDEV.P(pima_data!$D$1:$D$768)</f>
        <v>-1.28821221294523</v>
      </c>
      <c r="E525" s="5">
        <f>(pima_data!E525-AVERAGE(pima_data!$E$1:$E$768))/_xlfn.STDEV.P(pima_data!$E$1:$E$768)</f>
        <v>-0.692890572295466</v>
      </c>
      <c r="F525" s="5">
        <f>(pima_data!F525-AVERAGE(pima_data!$F$1:$F$768))/_xlfn.STDEV.P(pima_data!$F$1:$F$768)</f>
        <v>-0.0498257193688892</v>
      </c>
      <c r="G525" s="5">
        <f>(pima_data!G525-AVERAGE(pima_data!$G$1:$G$768))/_xlfn.STDEV.P(pima_data!$G$1:$G$768)</f>
        <v>-0.969084513042796</v>
      </c>
      <c r="H525" s="5">
        <f>(pima_data!H525-AVERAGE(pima_data!$H$1:$H$768))/_xlfn.STDEV.P(pima_data!$H$1:$H$768)</f>
        <v>-0.786286177079398</v>
      </c>
    </row>
    <row r="526" spans="1:8">
      <c r="A526" s="5">
        <f>(pima_data!A526-AVERAGE(pima_data!$A$1:$A$768))/_xlfn.STDEV.P(pima_data!$A$1:$A$768)</f>
        <v>-0.25095212800207</v>
      </c>
      <c r="B526" s="5">
        <f>(pima_data!B526-AVERAGE(pima_data!$B$1:$B$768))/_xlfn.STDEV.P(pima_data!$B$1:$B$768)</f>
        <v>-1.06080207032427</v>
      </c>
      <c r="C526" s="5">
        <f>(pima_data!C526-AVERAGE(pima_data!$C$1:$C$768))/_xlfn.STDEV.P(pima_data!$C$1:$C$768)</f>
        <v>-0.470732246121934</v>
      </c>
      <c r="D526" s="5">
        <f>(pima_data!D526-AVERAGE(pima_data!$D$1:$D$768))/_xlfn.STDEV.P(pima_data!$D$1:$D$768)</f>
        <v>-0.159107113290471</v>
      </c>
      <c r="E526" s="5">
        <f>(pima_data!E526-AVERAGE(pima_data!$E$1:$E$768))/_xlfn.STDEV.P(pima_data!$E$1:$E$768)</f>
        <v>-0.692890572295466</v>
      </c>
      <c r="F526" s="5">
        <f>(pima_data!F526-AVERAGE(pima_data!$F$1:$F$768))/_xlfn.STDEV.P(pima_data!$F$1:$F$768)</f>
        <v>-1.29363432387314</v>
      </c>
      <c r="G526" s="5">
        <f>(pima_data!G526-AVERAGE(pima_data!$G$1:$G$768))/_xlfn.STDEV.P(pima_data!$G$1:$G$768)</f>
        <v>-0.0841897405774907</v>
      </c>
      <c r="H526" s="5">
        <f>(pima_data!H526-AVERAGE(pima_data!$H$1:$H$768))/_xlfn.STDEV.P(pima_data!$H$1:$H$768)</f>
        <v>-1.0415494364835</v>
      </c>
    </row>
    <row r="527" spans="1:8">
      <c r="A527" s="5">
        <f>(pima_data!A527-AVERAGE(pima_data!$A$1:$A$768))/_xlfn.STDEV.P(pima_data!$A$1:$A$768)</f>
        <v>-0.844885053443025</v>
      </c>
      <c r="B527" s="5">
        <f>(pima_data!B527-AVERAGE(pima_data!$B$1:$B$768))/_xlfn.STDEV.P(pima_data!$B$1:$B$768)</f>
        <v>-0.74783061705354</v>
      </c>
      <c r="C527" s="5">
        <f>(pima_data!C527-AVERAGE(pima_data!$C$1:$C$768))/_xlfn.STDEV.P(pima_data!$C$1:$C$768)</f>
        <v>-0.263941246538553</v>
      </c>
      <c r="D527" s="5">
        <f>(pima_data!D527-AVERAGE(pima_data!$D$1:$D$768))/_xlfn.STDEV.P(pima_data!$D$1:$D$768)</f>
        <v>-0.09637905219854</v>
      </c>
      <c r="E527" s="5">
        <f>(pima_data!E527-AVERAGE(pima_data!$E$1:$E$768))/_xlfn.STDEV.P(pima_data!$E$1:$E$768)</f>
        <v>0.0191068933717217</v>
      </c>
      <c r="F527" s="5">
        <f>(pima_data!F527-AVERAGE(pima_data!$F$1:$F$768))/_xlfn.STDEV.P(pima_data!$F$1:$F$768)</f>
        <v>-1.75054360716042</v>
      </c>
      <c r="G527" s="5">
        <f>(pima_data!G527-AVERAGE(pima_data!$G$1:$G$768))/_xlfn.STDEV.P(pima_data!$G$1:$G$768)</f>
        <v>-0.522106948794109</v>
      </c>
      <c r="H527" s="5">
        <f>(pima_data!H527-AVERAGE(pima_data!$H$1:$H$768))/_xlfn.STDEV.P(pima_data!$H$1:$H$768)</f>
        <v>-1.0415494364835</v>
      </c>
    </row>
    <row r="528" spans="1:8">
      <c r="A528" s="5">
        <f>(pima_data!A528-AVERAGE(pima_data!$A$1:$A$768))/_xlfn.STDEV.P(pima_data!$A$1:$A$768)</f>
        <v>-0.25095212800207</v>
      </c>
      <c r="B528" s="5">
        <f>(pima_data!B528-AVERAGE(pima_data!$B$1:$B$768))/_xlfn.STDEV.P(pima_data!$B$1:$B$768)</f>
        <v>-0.153184855839151</v>
      </c>
      <c r="C528" s="5">
        <f>(pima_data!C528-AVERAGE(pima_data!$C$1:$C$768))/_xlfn.STDEV.P(pima_data!$C$1:$C$768)</f>
        <v>0.253036252419898</v>
      </c>
      <c r="D528" s="5">
        <f>(pima_data!D528-AVERAGE(pima_data!$D$1:$D$768))/_xlfn.STDEV.P(pima_data!$D$1:$D$768)</f>
        <v>-0.347291296566265</v>
      </c>
      <c r="E528" s="5">
        <f>(pima_data!E528-AVERAGE(pima_data!$E$1:$E$768))/_xlfn.STDEV.P(pima_data!$E$1:$E$768)</f>
        <v>0.218813499595445</v>
      </c>
      <c r="F528" s="5">
        <f>(pima_data!F528-AVERAGE(pima_data!$F$1:$F$768))/_xlfn.STDEV.P(pima_data!$F$1:$F$768)</f>
        <v>-0.722497719764045</v>
      </c>
      <c r="G528" s="5">
        <f>(pima_data!G528-AVERAGE(pima_data!$G$1:$G$768))/_xlfn.STDEV.P(pima_data!$G$1:$G$768)</f>
        <v>-1.10196973484646</v>
      </c>
      <c r="H528" s="5">
        <f>(pima_data!H528-AVERAGE(pima_data!$H$1:$H$768))/_xlfn.STDEV.P(pima_data!$H$1:$H$768)</f>
        <v>-0.786286177079398</v>
      </c>
    </row>
    <row r="529" spans="1:8">
      <c r="A529" s="5">
        <f>(pima_data!A529-AVERAGE(pima_data!$A$1:$A$768))/_xlfn.STDEV.P(pima_data!$A$1:$A$768)</f>
        <v>-1.1418515161635</v>
      </c>
      <c r="B529" s="5">
        <f>(pima_data!B529-AVERAGE(pima_data!$B$1:$B$768))/_xlfn.STDEV.P(pima_data!$B$1:$B$768)</f>
        <v>-0.121887710512078</v>
      </c>
      <c r="C529" s="5">
        <f>(pima_data!C529-AVERAGE(pima_data!$C$1:$C$768))/_xlfn.STDEV.P(pima_data!$C$1:$C$768)</f>
        <v>-0.160545746746863</v>
      </c>
      <c r="D529" s="5">
        <f>(pima_data!D529-AVERAGE(pima_data!$D$1:$D$768))/_xlfn.STDEV.P(pima_data!$D$1:$D$768)</f>
        <v>0.656357680904634</v>
      </c>
      <c r="E529" s="5">
        <f>(pima_data!E529-AVERAGE(pima_data!$E$1:$E$768))/_xlfn.STDEV.P(pima_data!$E$1:$E$768)</f>
        <v>0.939493861185404</v>
      </c>
      <c r="F529" s="5">
        <f>(pima_data!F529-AVERAGE(pima_data!$F$1:$F$768))/_xlfn.STDEV.P(pima_data!$F$1:$F$768)</f>
        <v>-0.151361115654951</v>
      </c>
      <c r="G529" s="5">
        <f>(pima_data!G529-AVERAGE(pima_data!$G$1:$G$768))/_xlfn.STDEV.P(pima_data!$G$1:$G$768)</f>
        <v>0.0637960746129527</v>
      </c>
      <c r="H529" s="5">
        <f>(pima_data!H529-AVERAGE(pima_data!$H$1:$H$768))/_xlfn.STDEV.P(pima_data!$H$1:$H$768)</f>
        <v>-0.956461683348801</v>
      </c>
    </row>
    <row r="530" spans="1:8">
      <c r="A530" s="5">
        <f>(pima_data!A530-AVERAGE(pima_data!$A$1:$A$768))/_xlfn.STDEV.P(pima_data!$A$1:$A$768)</f>
        <v>-1.1418515161635</v>
      </c>
      <c r="B530" s="5">
        <f>(pima_data!B530-AVERAGE(pima_data!$B$1:$B$768))/_xlfn.STDEV.P(pima_data!$B$1:$B$768)</f>
        <v>-0.309670582474516</v>
      </c>
      <c r="C530" s="5">
        <f>(pima_data!C530-AVERAGE(pima_data!$C$1:$C$768))/_xlfn.STDEV.P(pima_data!$C$1:$C$768)</f>
        <v>-0.212243496642708</v>
      </c>
      <c r="D530" s="5">
        <f>(pima_data!D530-AVERAGE(pima_data!$D$1:$D$768))/_xlfn.STDEV.P(pima_data!$D$1:$D$768)</f>
        <v>-1.28821221294523</v>
      </c>
      <c r="E530" s="5">
        <f>(pima_data!E530-AVERAGE(pima_data!$E$1:$E$768))/_xlfn.STDEV.P(pima_data!$E$1:$E$768)</f>
        <v>-0.692890572295466</v>
      </c>
      <c r="F530" s="5">
        <f>(pima_data!F530-AVERAGE(pima_data!$F$1:$F$768))/_xlfn.STDEV.P(pima_data!$F$1:$F$768)</f>
        <v>-0.938260436871925</v>
      </c>
      <c r="G530" s="5">
        <f>(pima_data!G530-AVERAGE(pima_data!$G$1:$G$768))/_xlfn.STDEV.P(pima_data!$G$1:$G$768)</f>
        <v>0.568155893731403</v>
      </c>
      <c r="H530" s="5">
        <f>(pima_data!H530-AVERAGE(pima_data!$H$1:$H$768))/_xlfn.STDEV.P(pima_data!$H$1:$H$768)</f>
        <v>-0.190671905136486</v>
      </c>
    </row>
    <row r="531" spans="1:8">
      <c r="A531" s="5">
        <f>(pima_data!A531-AVERAGE(pima_data!$A$1:$A$768))/_xlfn.STDEV.P(pima_data!$A$1:$A$768)</f>
        <v>-0.547918590722547</v>
      </c>
      <c r="B531" s="5">
        <f>(pima_data!B531-AVERAGE(pima_data!$B$1:$B$768))/_xlfn.STDEV.P(pima_data!$B$1:$B$768)</f>
        <v>0.0345980161232878</v>
      </c>
      <c r="C531" s="5">
        <f>(pima_data!C531-AVERAGE(pima_data!$C$1:$C$768))/_xlfn.STDEV.P(pima_data!$C$1:$C$768)</f>
        <v>-0.470732246121934</v>
      </c>
      <c r="D531" s="5">
        <f>(pima_data!D531-AVERAGE(pima_data!$D$1:$D$768))/_xlfn.STDEV.P(pima_data!$D$1:$D$768)</f>
        <v>-0.159107113290471</v>
      </c>
      <c r="E531" s="5">
        <f>(pima_data!E531-AVERAGE(pima_data!$E$1:$E$768))/_xlfn.STDEV.P(pima_data!$E$1:$E$768)</f>
        <v>0.227496395518216</v>
      </c>
      <c r="F531" s="5">
        <f>(pima_data!F531-AVERAGE(pima_data!$F$1:$F$768))/_xlfn.STDEV.P(pima_data!$F$1:$F$768)</f>
        <v>-0.278280361012527</v>
      </c>
      <c r="G531" s="5">
        <f>(pima_data!G531-AVERAGE(pima_data!$G$1:$G$768))/_xlfn.STDEV.P(pima_data!$G$1:$G$768)</f>
        <v>0.740302658340694</v>
      </c>
      <c r="H531" s="5">
        <f>(pima_data!H531-AVERAGE(pima_data!$H$1:$H$768))/_xlfn.STDEV.P(pima_data!$H$1:$H$768)</f>
        <v>-0.956461683348801</v>
      </c>
    </row>
    <row r="532" spans="1:8">
      <c r="A532" s="5">
        <f>(pima_data!A532-AVERAGE(pima_data!$A$1:$A$768))/_xlfn.STDEV.P(pima_data!$A$1:$A$768)</f>
        <v>-1.1418515161635</v>
      </c>
      <c r="B532" s="5">
        <f>(pima_data!B532-AVERAGE(pima_data!$B$1:$B$768))/_xlfn.STDEV.P(pima_data!$B$1:$B$768)</f>
        <v>-0.434859163782809</v>
      </c>
      <c r="C532" s="5">
        <f>(pima_data!C532-AVERAGE(pima_data!$C$1:$C$768))/_xlfn.STDEV.P(pima_data!$C$1:$C$768)</f>
        <v>0.356431752211589</v>
      </c>
      <c r="D532" s="5">
        <f>(pima_data!D532-AVERAGE(pima_data!$D$1:$D$768))/_xlfn.STDEV.P(pima_data!$D$1:$D$768)</f>
        <v>-1.28821221294523</v>
      </c>
      <c r="E532" s="5">
        <f>(pima_data!E532-AVERAGE(pima_data!$E$1:$E$768))/_xlfn.STDEV.P(pima_data!$E$1:$E$768)</f>
        <v>-0.692890572295466</v>
      </c>
      <c r="F532" s="5">
        <f>(pima_data!F532-AVERAGE(pima_data!$F$1:$F$768))/_xlfn.STDEV.P(pima_data!$F$1:$F$768)</f>
        <v>1.68896794202991</v>
      </c>
      <c r="G532" s="5">
        <f>(pima_data!G532-AVERAGE(pima_data!$G$1:$G$768))/_xlfn.STDEV.P(pima_data!$G$1:$G$768)</f>
        <v>0.646678979342659</v>
      </c>
      <c r="H532" s="5">
        <f>(pima_data!H532-AVERAGE(pima_data!$H$1:$H$768))/_xlfn.STDEV.P(pima_data!$H$1:$H$768)</f>
        <v>-0.786286177079398</v>
      </c>
    </row>
    <row r="533" spans="1:8">
      <c r="A533" s="5">
        <f>(pima_data!A533-AVERAGE(pima_data!$A$1:$A$768))/_xlfn.STDEV.P(pima_data!$A$1:$A$768)</f>
        <v>-0.844885053443025</v>
      </c>
      <c r="B533" s="5">
        <f>(pima_data!B533-AVERAGE(pima_data!$B$1:$B$768))/_xlfn.STDEV.P(pima_data!$B$1:$B$768)</f>
        <v>-1.09209921565134</v>
      </c>
      <c r="C533" s="5">
        <f>(pima_data!C533-AVERAGE(pima_data!$C$1:$C$768))/_xlfn.STDEV.P(pima_data!$C$1:$C$768)</f>
        <v>-0.160545746746863</v>
      </c>
      <c r="D533" s="5">
        <f>(pima_data!D533-AVERAGE(pima_data!$D$1:$D$768))/_xlfn.STDEV.P(pima_data!$D$1:$D$768)</f>
        <v>1.97364696383519</v>
      </c>
      <c r="E533" s="5">
        <f>(pima_data!E533-AVERAGE(pima_data!$E$1:$E$768))/_xlfn.STDEV.P(pima_data!$E$1:$E$768)</f>
        <v>-0.128502337315378</v>
      </c>
      <c r="F533" s="5">
        <f>(pima_data!F533-AVERAGE(pima_data!$F$1:$F$768))/_xlfn.STDEV.P(pima_data!$F$1:$F$768)</f>
        <v>1.1812909605996</v>
      </c>
      <c r="G533" s="5">
        <f>(pima_data!G533-AVERAGE(pima_data!$G$1:$G$768))/_xlfn.STDEV.P(pima_data!$G$1:$G$768)</f>
        <v>1.34432639381189</v>
      </c>
      <c r="H533" s="5">
        <f>(pima_data!H533-AVERAGE(pima_data!$H$1:$H$768))/_xlfn.STDEV.P(pima_data!$H$1:$H$768)</f>
        <v>-0.360847411405889</v>
      </c>
    </row>
    <row r="534" spans="1:8">
      <c r="A534" s="5">
        <f>(pima_data!A534-AVERAGE(pima_data!$A$1:$A$768))/_xlfn.STDEV.P(pima_data!$A$1:$A$768)</f>
        <v>0.639947260159362</v>
      </c>
      <c r="B534" s="5">
        <f>(pima_data!B534-AVERAGE(pima_data!$B$1:$B$768))/_xlfn.STDEV.P(pima_data!$B$1:$B$768)</f>
        <v>-0.935613489015978</v>
      </c>
      <c r="C534" s="5">
        <f>(pima_data!C534-AVERAGE(pima_data!$C$1:$C$768))/_xlfn.STDEV.P(pima_data!$C$1:$C$768)</f>
        <v>-3.57259723987264</v>
      </c>
      <c r="D534" s="5">
        <f>(pima_data!D534-AVERAGE(pima_data!$D$1:$D$768))/_xlfn.STDEV.P(pima_data!$D$1:$D$768)</f>
        <v>-1.28821221294523</v>
      </c>
      <c r="E534" s="5">
        <f>(pima_data!E534-AVERAGE(pima_data!$E$1:$E$768))/_xlfn.STDEV.P(pima_data!$E$1:$E$768)</f>
        <v>-0.692890572295466</v>
      </c>
      <c r="F534" s="5">
        <f>(pima_data!F534-AVERAGE(pima_data!$F$1:$F$768))/_xlfn.STDEV.P(pima_data!$F$1:$F$768)</f>
        <v>-0.278280361012527</v>
      </c>
      <c r="G534" s="5">
        <f>(pima_data!G534-AVERAGE(pima_data!$G$1:$G$768))/_xlfn.STDEV.P(pima_data!$G$1:$G$768)</f>
        <v>0.0879570240318006</v>
      </c>
      <c r="H534" s="5">
        <f>(pima_data!H534-AVERAGE(pima_data!$H$1:$H$768))/_xlfn.STDEV.P(pima_data!$H$1:$H$768)</f>
        <v>-0.190671905136486</v>
      </c>
    </row>
    <row r="535" spans="1:8">
      <c r="A535" s="5">
        <f>(pima_data!A535-AVERAGE(pima_data!$A$1:$A$768))/_xlfn.STDEV.P(pima_data!$A$1:$A$768)</f>
        <v>-0.844885053443025</v>
      </c>
      <c r="B535" s="5">
        <f>(pima_data!B535-AVERAGE(pima_data!$B$1:$B$768))/_xlfn.STDEV.P(pima_data!$B$1:$B$768)</f>
        <v>-1.373773523595</v>
      </c>
      <c r="C535" s="5">
        <f>(pima_data!C535-AVERAGE(pima_data!$C$1:$C$768))/_xlfn.STDEV.P(pima_data!$C$1:$C$768)</f>
        <v>-0.677523245705314</v>
      </c>
      <c r="D535" s="5">
        <f>(pima_data!D535-AVERAGE(pima_data!$D$1:$D$768))/_xlfn.STDEV.P(pima_data!$D$1:$D$768)</f>
        <v>0.593629619812703</v>
      </c>
      <c r="E535" s="5">
        <f>(pima_data!E535-AVERAGE(pima_data!$E$1:$E$768))/_xlfn.STDEV.P(pima_data!$E$1:$E$768)</f>
        <v>-0.206648400620314</v>
      </c>
      <c r="F535" s="5">
        <f>(pima_data!F535-AVERAGE(pima_data!$F$1:$F$768))/_xlfn.STDEV.P(pima_data!$F$1:$F$768)</f>
        <v>0.16593699773899</v>
      </c>
      <c r="G535" s="5">
        <f>(pima_data!G535-AVERAGE(pima_data!$G$1:$G$768))/_xlfn.STDEV.P(pima_data!$G$1:$G$768)</f>
        <v>2.35304603204879</v>
      </c>
      <c r="H535" s="5">
        <f>(pima_data!H535-AVERAGE(pima_data!$H$1:$H$768))/_xlfn.STDEV.P(pima_data!$H$1:$H$768)</f>
        <v>-0.786286177079398</v>
      </c>
    </row>
    <row r="536" spans="1:8">
      <c r="A536" s="5">
        <f>(pima_data!A536-AVERAGE(pima_data!$A$1:$A$768))/_xlfn.STDEV.P(pima_data!$A$1:$A$768)</f>
        <v>0.0460143347184072</v>
      </c>
      <c r="B536" s="5">
        <f>(pima_data!B536-AVERAGE(pima_data!$B$1:$B$768))/_xlfn.STDEV.P(pima_data!$B$1:$B$768)</f>
        <v>0.347569469394019</v>
      </c>
      <c r="C536" s="5">
        <f>(pima_data!C536-AVERAGE(pima_data!$C$1:$C$768))/_xlfn.STDEV.P(pima_data!$C$1:$C$768)</f>
        <v>-3.57259723987264</v>
      </c>
      <c r="D536" s="5">
        <f>(pima_data!D536-AVERAGE(pima_data!$D$1:$D$768))/_xlfn.STDEV.P(pima_data!$D$1:$D$768)</f>
        <v>-1.28821221294523</v>
      </c>
      <c r="E536" s="5">
        <f>(pima_data!E536-AVERAGE(pima_data!$E$1:$E$768))/_xlfn.STDEV.P(pima_data!$E$1:$E$768)</f>
        <v>-0.692890572295466</v>
      </c>
      <c r="F536" s="5">
        <f>(pima_data!F536-AVERAGE(pima_data!$F$1:$F$768))/_xlfn.STDEV.P(pima_data!$F$1:$F$768)</f>
        <v>0.11516929959596</v>
      </c>
      <c r="G536" s="5">
        <f>(pima_data!G536-AVERAGE(pima_data!$G$1:$G$768))/_xlfn.STDEV.P(pima_data!$G$1:$G$768)</f>
        <v>-0.513046592762041</v>
      </c>
      <c r="H536" s="5">
        <f>(pima_data!H536-AVERAGE(pima_data!$H$1:$H$768))/_xlfn.STDEV.P(pima_data!$H$1:$H$768)</f>
        <v>-0.871373930214099</v>
      </c>
    </row>
    <row r="537" spans="1:8">
      <c r="A537" s="5">
        <f>(pima_data!A537-AVERAGE(pima_data!$A$1:$A$768))/_xlfn.STDEV.P(pima_data!$A$1:$A$768)</f>
        <v>-1.1418515161635</v>
      </c>
      <c r="B537" s="5">
        <f>(pima_data!B537-AVERAGE(pima_data!$B$1:$B$768))/_xlfn.STDEV.P(pima_data!$B$1:$B$768)</f>
        <v>-0.497453454436955</v>
      </c>
      <c r="C537" s="5">
        <f>(pima_data!C537-AVERAGE(pima_data!$C$1:$C$768))/_xlfn.STDEV.P(pima_data!$C$1:$C$768)</f>
        <v>1.08020025075342</v>
      </c>
      <c r="D537" s="5">
        <f>(pima_data!D537-AVERAGE(pima_data!$D$1:$D$768))/_xlfn.STDEV.P(pima_data!$D$1:$D$768)</f>
        <v>-1.28821221294523</v>
      </c>
      <c r="E537" s="5">
        <f>(pima_data!E537-AVERAGE(pima_data!$E$1:$E$768))/_xlfn.STDEV.P(pima_data!$E$1:$E$768)</f>
        <v>-0.692890572295466</v>
      </c>
      <c r="F537" s="5">
        <f>(pima_data!F537-AVERAGE(pima_data!$F$1:$F$768))/_xlfn.STDEV.P(pima_data!$F$1:$F$768)</f>
        <v>-0.303664210084042</v>
      </c>
      <c r="G537" s="5">
        <f>(pima_data!G537-AVERAGE(pima_data!$G$1:$G$768))/_xlfn.STDEV.P(pima_data!$G$1:$G$768)</f>
        <v>-0.83015905388442</v>
      </c>
      <c r="H537" s="5">
        <f>(pima_data!H537-AVERAGE(pima_data!$H$1:$H$768))/_xlfn.STDEV.P(pima_data!$H$1:$H$768)</f>
        <v>1.08564439188404</v>
      </c>
    </row>
    <row r="538" spans="1:8">
      <c r="A538" s="5">
        <f>(pima_data!A538-AVERAGE(pima_data!$A$1:$A$768))/_xlfn.STDEV.P(pima_data!$A$1:$A$768)</f>
        <v>-1.1418515161635</v>
      </c>
      <c r="B538" s="5">
        <f>(pima_data!B538-AVERAGE(pima_data!$B$1:$B$768))/_xlfn.STDEV.P(pima_data!$B$1:$B$768)</f>
        <v>-1.99971643013646</v>
      </c>
      <c r="C538" s="5">
        <f>(pima_data!C538-AVERAGE(pima_data!$C$1:$C$768))/_xlfn.STDEV.P(pima_data!$C$1:$C$768)</f>
        <v>-0.470732246121934</v>
      </c>
      <c r="D538" s="5">
        <f>(pima_data!D538-AVERAGE(pima_data!$D$1:$D$768))/_xlfn.STDEV.P(pima_data!$D$1:$D$768)</f>
        <v>-1.28821221294523</v>
      </c>
      <c r="E538" s="5">
        <f>(pima_data!E538-AVERAGE(pima_data!$E$1:$E$768))/_xlfn.STDEV.P(pima_data!$E$1:$E$768)</f>
        <v>-0.692890572295466</v>
      </c>
      <c r="F538" s="5">
        <f>(pima_data!F538-AVERAGE(pima_data!$F$1:$F$768))/_xlfn.STDEV.P(pima_data!$F$1:$F$768)</f>
        <v>-1.3063262484089</v>
      </c>
      <c r="G538" s="5">
        <f>(pima_data!G538-AVERAGE(pima_data!$G$1:$G$768))/_xlfn.STDEV.P(pima_data!$G$1:$G$768)</f>
        <v>0.794664794533102</v>
      </c>
      <c r="H538" s="5">
        <f>(pima_data!H538-AVERAGE(pima_data!$H$1:$H$768))/_xlfn.STDEV.P(pima_data!$H$1:$H$768)</f>
        <v>2.87248720771277</v>
      </c>
    </row>
    <row r="539" spans="1:8">
      <c r="A539" s="5">
        <f>(pima_data!A539-AVERAGE(pima_data!$A$1:$A$768))/_xlfn.STDEV.P(pima_data!$A$1:$A$768)</f>
        <v>-1.1418515161635</v>
      </c>
      <c r="B539" s="5">
        <f>(pima_data!B539-AVERAGE(pima_data!$B$1:$B$768))/_xlfn.STDEV.P(pima_data!$B$1:$B$768)</f>
        <v>0.191083742758653</v>
      </c>
      <c r="C539" s="5">
        <f>(pima_data!C539-AVERAGE(pima_data!$C$1:$C$768))/_xlfn.STDEV.P(pima_data!$C$1:$C$768)</f>
        <v>0.563222751794969</v>
      </c>
      <c r="D539" s="5">
        <f>(pima_data!D539-AVERAGE(pima_data!$D$1:$D$768))/_xlfn.STDEV.P(pima_data!$D$1:$D$768)</f>
        <v>1.03272604745622</v>
      </c>
      <c r="E539" s="5">
        <f>(pima_data!E539-AVERAGE(pima_data!$E$1:$E$768))/_xlfn.STDEV.P(pima_data!$E$1:$E$768)</f>
        <v>1.13051757148636</v>
      </c>
      <c r="F539" s="5">
        <f>(pima_data!F539-AVERAGE(pima_data!$F$1:$F$768))/_xlfn.STDEV.P(pima_data!$F$1:$F$768)</f>
        <v>0.54669473381172</v>
      </c>
      <c r="G539" s="5">
        <f>(pima_data!G539-AVERAGE(pima_data!$G$1:$G$768))/_xlfn.STDEV.P(pima_data!$G$1:$G$768)</f>
        <v>1.00305298327067</v>
      </c>
      <c r="H539" s="5">
        <f>(pima_data!H539-AVERAGE(pima_data!$H$1:$H$768))/_xlfn.STDEV.P(pima_data!$H$1:$H$768)</f>
        <v>-0.871373930214099</v>
      </c>
    </row>
    <row r="540" spans="1:8">
      <c r="A540" s="5">
        <f>(pima_data!A540-AVERAGE(pima_data!$A$1:$A$768))/_xlfn.STDEV.P(pima_data!$A$1:$A$768)</f>
        <v>-0.25095212800207</v>
      </c>
      <c r="B540" s="5">
        <f>(pima_data!B540-AVERAGE(pima_data!$B$1:$B$768))/_xlfn.STDEV.P(pima_data!$B$1:$B$768)</f>
        <v>0.253678033412799</v>
      </c>
      <c r="C540" s="5">
        <f>(pima_data!C540-AVERAGE(pima_data!$C$1:$C$768))/_xlfn.STDEV.P(pima_data!$C$1:$C$768)</f>
        <v>1.18359575054511</v>
      </c>
      <c r="D540" s="5">
        <f>(pima_data!D540-AVERAGE(pima_data!$D$1:$D$768))/_xlfn.STDEV.P(pima_data!$D$1:$D$768)</f>
        <v>1.7854627805594</v>
      </c>
      <c r="E540" s="5">
        <f>(pima_data!E540-AVERAGE(pima_data!$E$1:$E$768))/_xlfn.STDEV.P(pima_data!$E$1:$E$768)</f>
        <v>0.652958295733974</v>
      </c>
      <c r="F540" s="5">
        <f>(pima_data!F540-AVERAGE(pima_data!$F$1:$F$768))/_xlfn.STDEV.P(pima_data!$F$1:$F$768)</f>
        <v>0.559386658347478</v>
      </c>
      <c r="G540" s="5">
        <f>(pima_data!G540-AVERAGE(pima_data!$G$1:$G$768))/_xlfn.STDEV.P(pima_data!$G$1:$G$768)</f>
        <v>1.49835244635705</v>
      </c>
      <c r="H540" s="5">
        <f>(pima_data!H540-AVERAGE(pima_data!$H$1:$H$768))/_xlfn.STDEV.P(pima_data!$H$1:$H$768)</f>
        <v>-0.105584152001785</v>
      </c>
    </row>
    <row r="541" spans="1:8">
      <c r="A541" s="5">
        <f>(pima_data!A541-AVERAGE(pima_data!$A$1:$A$768))/_xlfn.STDEV.P(pima_data!$A$1:$A$768)</f>
        <v>1.23388018560032</v>
      </c>
      <c r="B541" s="5">
        <f>(pima_data!B541-AVERAGE(pima_data!$B$1:$B$768))/_xlfn.STDEV.P(pima_data!$B$1:$B$768)</f>
        <v>-0.65393918107232</v>
      </c>
      <c r="C541" s="5">
        <f>(pima_data!C541-AVERAGE(pima_data!$C$1:$C$768))/_xlfn.STDEV.P(pima_data!$C$1:$C$768)</f>
        <v>0.253036252419898</v>
      </c>
      <c r="D541" s="5">
        <f>(pima_data!D541-AVERAGE(pima_data!$D$1:$D$768))/_xlfn.STDEV.P(pima_data!$D$1:$D$768)</f>
        <v>1.22091023073201</v>
      </c>
      <c r="E541" s="5">
        <f>(pima_data!E541-AVERAGE(pima_data!$E$1:$E$768))/_xlfn.STDEV.P(pima_data!$E$1:$E$768)</f>
        <v>1.17393205110021</v>
      </c>
      <c r="F541" s="5">
        <f>(pima_data!F541-AVERAGE(pima_data!$F$1:$F$768))/_xlfn.STDEV.P(pima_data!$F$1:$F$768)</f>
        <v>0.940144394420207</v>
      </c>
      <c r="G541" s="5">
        <f>(pima_data!G541-AVERAGE(pima_data!$G$1:$G$768))/_xlfn.STDEV.P(pima_data!$G$1:$G$768)</f>
        <v>0.571176012408759</v>
      </c>
      <c r="H541" s="5">
        <f>(pima_data!H541-AVERAGE(pima_data!$H$1:$H$768))/_xlfn.STDEV.P(pima_data!$H$1:$H$768)</f>
        <v>0.830381132479934</v>
      </c>
    </row>
    <row r="542" spans="1:8">
      <c r="A542" s="5">
        <f>(pima_data!A542-AVERAGE(pima_data!$A$1:$A$768))/_xlfn.STDEV.P(pima_data!$A$1:$A$768)</f>
        <v>-0.25095212800207</v>
      </c>
      <c r="B542" s="5">
        <f>(pima_data!B542-AVERAGE(pima_data!$B$1:$B$768))/_xlfn.STDEV.P(pima_data!$B$1:$B$768)</f>
        <v>0.222380888085726</v>
      </c>
      <c r="C542" s="5">
        <f>(pima_data!C542-AVERAGE(pima_data!$C$1:$C$768))/_xlfn.STDEV.P(pima_data!$C$1:$C$768)</f>
        <v>0.149640752628208</v>
      </c>
      <c r="D542" s="5">
        <f>(pima_data!D542-AVERAGE(pima_data!$D$1:$D$768))/_xlfn.STDEV.P(pima_data!$D$1:$D$768)</f>
        <v>0.279989314353047</v>
      </c>
      <c r="E542" s="5">
        <f>(pima_data!E542-AVERAGE(pima_data!$E$1:$E$768))/_xlfn.STDEV.P(pima_data!$E$1:$E$768)</f>
        <v>0.956859653030945</v>
      </c>
      <c r="F542" s="5">
        <f>(pima_data!F542-AVERAGE(pima_data!$F$1:$F$768))/_xlfn.STDEV.P(pima_data!$F$1:$F$768)</f>
        <v>0.0517096769171717</v>
      </c>
      <c r="G542" s="5">
        <f>(pima_data!G542-AVERAGE(pima_data!$G$1:$G$768))/_xlfn.STDEV.P(pima_data!$G$1:$G$768)</f>
        <v>0.232922720544888</v>
      </c>
      <c r="H542" s="5">
        <f>(pima_data!H542-AVERAGE(pima_data!$H$1:$H$768))/_xlfn.STDEV.P(pima_data!$H$1:$H$768)</f>
        <v>-0.531022917675293</v>
      </c>
    </row>
    <row r="543" spans="1:8">
      <c r="A543" s="5">
        <f>(pima_data!A543-AVERAGE(pima_data!$A$1:$A$768))/_xlfn.STDEV.P(pima_data!$A$1:$A$768)</f>
        <v>1.82781311104127</v>
      </c>
      <c r="B543" s="5">
        <f>(pima_data!B543-AVERAGE(pima_data!$B$1:$B$768))/_xlfn.STDEV.P(pima_data!$B$1:$B$768)</f>
        <v>-0.966910634343051</v>
      </c>
      <c r="C543" s="5">
        <f>(pima_data!C543-AVERAGE(pima_data!$C$1:$C$768))/_xlfn.STDEV.P(pima_data!$C$1:$C$768)</f>
        <v>0.821711501274195</v>
      </c>
      <c r="D543" s="5">
        <f>(pima_data!D543-AVERAGE(pima_data!$D$1:$D$768))/_xlfn.STDEV.P(pima_data!$D$1:$D$768)</f>
        <v>0.719085741996565</v>
      </c>
      <c r="E543" s="5">
        <f>(pima_data!E543-AVERAGE(pima_data!$E$1:$E$768))/_xlfn.STDEV.P(pima_data!$E$1:$E$768)</f>
        <v>-0.692890572295466</v>
      </c>
      <c r="F543" s="5">
        <f>(pima_data!F543-AVERAGE(pima_data!$F$1:$F$768))/_xlfn.STDEV.P(pima_data!$F$1:$F$768)</f>
        <v>0.369007790311113</v>
      </c>
      <c r="G543" s="5">
        <f>(pima_data!G543-AVERAGE(pima_data!$G$1:$G$768))/_xlfn.STDEV.P(pima_data!$G$1:$G$768)</f>
        <v>1.06647547549514</v>
      </c>
      <c r="H543" s="5">
        <f>(pima_data!H543-AVERAGE(pima_data!$H$1:$H$768))/_xlfn.STDEV.P(pima_data!$H$1:$H$768)</f>
        <v>1.93652192323106</v>
      </c>
    </row>
    <row r="544" spans="1:8">
      <c r="A544" s="5">
        <f>(pima_data!A544-AVERAGE(pima_data!$A$1:$A$768))/_xlfn.STDEV.P(pima_data!$A$1:$A$768)</f>
        <v>0.0460143347184072</v>
      </c>
      <c r="B544" s="5">
        <f>(pima_data!B544-AVERAGE(pima_data!$B$1:$B$768))/_xlfn.STDEV.P(pima_data!$B$1:$B$768)</f>
        <v>-1.15469350630549</v>
      </c>
      <c r="C544" s="5">
        <f>(pima_data!C544-AVERAGE(pima_data!$C$1:$C$768))/_xlfn.STDEV.P(pima_data!$C$1:$C$768)</f>
        <v>1.08020025075342</v>
      </c>
      <c r="D544" s="5">
        <f>(pima_data!D544-AVERAGE(pima_data!$D$1:$D$768))/_xlfn.STDEV.P(pima_data!$D$1:$D$768)</f>
        <v>0.154533192169185</v>
      </c>
      <c r="E544" s="5">
        <f>(pima_data!E544-AVERAGE(pima_data!$E$1:$E$768))/_xlfn.STDEV.P(pima_data!$E$1:$E$768)</f>
        <v>-0.206648400620314</v>
      </c>
      <c r="F544" s="5">
        <f>(pima_data!F544-AVERAGE(pima_data!$F$1:$F$768))/_xlfn.STDEV.P(pima_data!$F$1:$F$768)</f>
        <v>0.952836318955965</v>
      </c>
      <c r="G544" s="5">
        <f>(pima_data!G544-AVERAGE(pima_data!$G$1:$G$768))/_xlfn.STDEV.P(pima_data!$G$1:$G$768)</f>
        <v>-0.944923563623948</v>
      </c>
      <c r="H544" s="5">
        <f>(pima_data!H544-AVERAGE(pima_data!$H$1:$H$768))/_xlfn.STDEV.P(pima_data!$H$1:$H$768)</f>
        <v>-0.701198423944696</v>
      </c>
    </row>
    <row r="545" spans="1:8">
      <c r="A545" s="5">
        <f>(pima_data!A545-AVERAGE(pima_data!$A$1:$A$768))/_xlfn.STDEV.P(pima_data!$A$1:$A$768)</f>
        <v>-0.844885053443025</v>
      </c>
      <c r="B545" s="5">
        <f>(pima_data!B545-AVERAGE(pima_data!$B$1:$B$768))/_xlfn.STDEV.P(pima_data!$B$1:$B$768)</f>
        <v>-1.0295049249972</v>
      </c>
      <c r="C545" s="5">
        <f>(pima_data!C545-AVERAGE(pima_data!$C$1:$C$768))/_xlfn.STDEV.P(pima_data!$C$1:$C$768)</f>
        <v>0.459827252003279</v>
      </c>
      <c r="D545" s="5">
        <f>(pima_data!D545-AVERAGE(pima_data!$D$1:$D$768))/_xlfn.STDEV.P(pima_data!$D$1:$D$768)</f>
        <v>0.530901558720772</v>
      </c>
      <c r="E545" s="5">
        <f>(pima_data!E545-AVERAGE(pima_data!$E$1:$E$768))/_xlfn.STDEV.P(pima_data!$E$1:$E$768)</f>
        <v>-0.0329904821649018</v>
      </c>
      <c r="F545" s="5">
        <f>(pima_data!F545-AVERAGE(pima_data!$F$1:$F$768))/_xlfn.STDEV.P(pima_data!$F$1:$F$768)</f>
        <v>0.000941978774141239</v>
      </c>
      <c r="G545" s="5">
        <f>(pima_data!G545-AVERAGE(pima_data!$G$1:$G$768))/_xlfn.STDEV.P(pima_data!$G$1:$G$768)</f>
        <v>-0.322779116088614</v>
      </c>
      <c r="H545" s="5">
        <f>(pima_data!H545-AVERAGE(pima_data!$H$1:$H$768))/_xlfn.STDEV.P(pima_data!$H$1:$H$768)</f>
        <v>-0.360847411405889</v>
      </c>
    </row>
    <row r="546" spans="1:8">
      <c r="A546" s="5">
        <f>(pima_data!A546-AVERAGE(pima_data!$A$1:$A$768))/_xlfn.STDEV.P(pima_data!$A$1:$A$768)</f>
        <v>1.23388018560032</v>
      </c>
      <c r="B546" s="5">
        <f>(pima_data!B546-AVERAGE(pima_data!$B$1:$B$768))/_xlfn.STDEV.P(pima_data!$B$1:$B$768)</f>
        <v>2.03761531705597</v>
      </c>
      <c r="C546" s="5">
        <f>(pima_data!C546-AVERAGE(pima_data!$C$1:$C$768))/_xlfn.STDEV.P(pima_data!$C$1:$C$768)</f>
        <v>1.08020025075342</v>
      </c>
      <c r="D546" s="5">
        <f>(pima_data!D546-AVERAGE(pima_data!$D$1:$D$768))/_xlfn.STDEV.P(pima_data!$D$1:$D$768)</f>
        <v>0.907269925272359</v>
      </c>
      <c r="E546" s="5">
        <f>(pima_data!E546-AVERAGE(pima_data!$E$1:$E$768))/_xlfn.STDEV.P(pima_data!$E$1:$E$768)</f>
        <v>1.26076101032792</v>
      </c>
      <c r="F546" s="5">
        <f>(pima_data!F546-AVERAGE(pima_data!$F$1:$F$768))/_xlfn.STDEV.P(pima_data!$F$1:$F$768)</f>
        <v>0.318240092168083</v>
      </c>
      <c r="G546" s="5">
        <f>(pima_data!G546-AVERAGE(pima_data!$G$1:$G$768))/_xlfn.STDEV.P(pima_data!$G$1:$G$768)</f>
        <v>-0.147612232801967</v>
      </c>
      <c r="H546" s="5">
        <f>(pima_data!H546-AVERAGE(pima_data!$H$1:$H$768))/_xlfn.STDEV.P(pima_data!$H$1:$H$768)</f>
        <v>0.319854613671724</v>
      </c>
    </row>
    <row r="547" spans="1:8">
      <c r="A547" s="5">
        <f>(pima_data!A547-AVERAGE(pima_data!$A$1:$A$768))/_xlfn.STDEV.P(pima_data!$A$1:$A$768)</f>
        <v>0.342980797438884</v>
      </c>
      <c r="B547" s="5">
        <f>(pima_data!B547-AVERAGE(pima_data!$B$1:$B$768))/_xlfn.STDEV.P(pima_data!$B$1:$B$768)</f>
        <v>2.06891246238304</v>
      </c>
      <c r="C547" s="5">
        <f>(pima_data!C547-AVERAGE(pima_data!$C$1:$C$768))/_xlfn.STDEV.P(pima_data!$C$1:$C$768)</f>
        <v>0.356431752211589</v>
      </c>
      <c r="D547" s="5">
        <f>(pima_data!D547-AVERAGE(pima_data!$D$1:$D$768))/_xlfn.STDEV.P(pima_data!$D$1:$D$768)</f>
        <v>0.40544543653691</v>
      </c>
      <c r="E547" s="5">
        <f>(pima_data!E547-AVERAGE(pima_data!$E$1:$E$768))/_xlfn.STDEV.P(pima_data!$E$1:$E$768)</f>
        <v>1.10446888371804</v>
      </c>
      <c r="F547" s="5">
        <f>(pima_data!F547-AVERAGE(pima_data!$F$1:$F$768))/_xlfn.STDEV.P(pima_data!$F$1:$F$768)</f>
        <v>1.47320522492203</v>
      </c>
      <c r="G547" s="5">
        <f>(pima_data!G547-AVERAGE(pima_data!$G$1:$G$768))/_xlfn.STDEV.P(pima_data!$G$1:$G$768)</f>
        <v>1.69768027906254</v>
      </c>
      <c r="H547" s="5">
        <f>(pima_data!H547-AVERAGE(pima_data!$H$1:$H$768))/_xlfn.STDEV.P(pima_data!$H$1:$H$768)</f>
        <v>1.68125866382695</v>
      </c>
    </row>
    <row r="548" spans="1:8">
      <c r="A548" s="5">
        <f>(pima_data!A548-AVERAGE(pima_data!$A$1:$A$768))/_xlfn.STDEV.P(pima_data!$A$1:$A$768)</f>
        <v>0.0460143347184072</v>
      </c>
      <c r="B548" s="5">
        <f>(pima_data!B548-AVERAGE(pima_data!$B$1:$B$768))/_xlfn.STDEV.P(pima_data!$B$1:$B$768)</f>
        <v>0.316272324066946</v>
      </c>
      <c r="C548" s="5">
        <f>(pima_data!C548-AVERAGE(pima_data!$C$1:$C$768))/_xlfn.STDEV.P(pima_data!$C$1:$C$768)</f>
        <v>-0.0571502469551726</v>
      </c>
      <c r="D548" s="5">
        <f>(pima_data!D548-AVERAGE(pima_data!$D$1:$D$768))/_xlfn.STDEV.P(pima_data!$D$1:$D$768)</f>
        <v>0.0290770699853223</v>
      </c>
      <c r="E548" s="5">
        <f>(pima_data!E548-AVERAGE(pima_data!$E$1:$E$768))/_xlfn.STDEV.P(pima_data!$E$1:$E$768)</f>
        <v>0.748470150884451</v>
      </c>
      <c r="F548" s="5">
        <f>(pima_data!F548-AVERAGE(pima_data!$F$1:$F$768))/_xlfn.STDEV.P(pima_data!$F$1:$F$768)</f>
        <v>0.140553148667476</v>
      </c>
      <c r="G548" s="5">
        <f>(pima_data!G548-AVERAGE(pima_data!$G$1:$G$768))/_xlfn.STDEV.P(pima_data!$G$1:$G$768)</f>
        <v>-0.941903444946592</v>
      </c>
      <c r="H548" s="5">
        <f>(pima_data!H548-AVERAGE(pima_data!$H$1:$H$768))/_xlfn.STDEV.P(pima_data!$H$1:$H$768)</f>
        <v>-0.445935164540591</v>
      </c>
    </row>
    <row r="549" spans="1:8">
      <c r="A549" s="5">
        <f>(pima_data!A549-AVERAGE(pima_data!$A$1:$A$768))/_xlfn.STDEV.P(pima_data!$A$1:$A$768)</f>
        <v>-0.844885053443025</v>
      </c>
      <c r="B549" s="5">
        <f>(pima_data!B549-AVERAGE(pima_data!$B$1:$B$768))/_xlfn.STDEV.P(pima_data!$B$1:$B$768)</f>
        <v>1.34907811986036</v>
      </c>
      <c r="C549" s="5">
        <f>(pima_data!C549-AVERAGE(pima_data!$C$1:$C$768))/_xlfn.STDEV.P(pima_data!$C$1:$C$768)</f>
        <v>0.666618251586659</v>
      </c>
      <c r="D549" s="5">
        <f>(pima_data!D549-AVERAGE(pima_data!$D$1:$D$768))/_xlfn.STDEV.P(pima_data!$D$1:$D$768)</f>
        <v>1.40909441400781</v>
      </c>
      <c r="E549" s="5">
        <f>(pima_data!E549-AVERAGE(pima_data!$E$1:$E$768))/_xlfn.STDEV.P(pima_data!$E$1:$E$768)</f>
        <v>-0.111136545469837</v>
      </c>
      <c r="F549" s="5">
        <f>(pima_data!F549-AVERAGE(pima_data!$F$1:$F$768))/_xlfn.STDEV.P(pima_data!$F$1:$F$768)</f>
        <v>0.102477375060202</v>
      </c>
      <c r="G549" s="5">
        <f>(pima_data!G549-AVERAGE(pima_data!$G$1:$G$768))/_xlfn.STDEV.P(pima_data!$G$1:$G$768)</f>
        <v>-0.395261964345158</v>
      </c>
      <c r="H549" s="5">
        <f>(pima_data!H549-AVERAGE(pima_data!$H$1:$H$768))/_xlfn.STDEV.P(pima_data!$H$1:$H$768)</f>
        <v>1.42599540442285</v>
      </c>
    </row>
    <row r="550" spans="1:8">
      <c r="A550" s="5">
        <f>(pima_data!A550-AVERAGE(pima_data!$A$1:$A$768))/_xlfn.STDEV.P(pima_data!$A$1:$A$768)</f>
        <v>0.0460143347184072</v>
      </c>
      <c r="B550" s="5">
        <f>(pima_data!B550-AVERAGE(pima_data!$B$1:$B$768))/_xlfn.STDEV.P(pima_data!$B$1:$B$768)</f>
        <v>2.13150675303719</v>
      </c>
      <c r="C550" s="5">
        <f>(pima_data!C550-AVERAGE(pima_data!$C$1:$C$768))/_xlfn.STDEV.P(pima_data!$C$1:$C$768)</f>
        <v>2.11415524867032</v>
      </c>
      <c r="D550" s="5">
        <f>(pima_data!D550-AVERAGE(pima_data!$D$1:$D$768))/_xlfn.STDEV.P(pima_data!$D$1:$D$768)</f>
        <v>0.656357680904634</v>
      </c>
      <c r="E550" s="5">
        <f>(pima_data!E550-AVERAGE(pima_data!$E$1:$E$768))/_xlfn.STDEV.P(pima_data!$E$1:$E$768)</f>
        <v>-0.692890572295466</v>
      </c>
      <c r="F550" s="5">
        <f>(pima_data!F550-AVERAGE(pima_data!$F$1:$F$768))/_xlfn.STDEV.P(pima_data!$F$1:$F$768)</f>
        <v>-0.443275379977377</v>
      </c>
      <c r="G550" s="5">
        <f>(pima_data!G550-AVERAGE(pima_data!$G$1:$G$768))/_xlfn.STDEV.P(pima_data!$G$1:$G$768)</f>
        <v>0.628558267278523</v>
      </c>
      <c r="H550" s="5">
        <f>(pima_data!H550-AVERAGE(pima_data!$H$1:$H$768))/_xlfn.STDEV.P(pima_data!$H$1:$H$768)</f>
        <v>0.319854613671724</v>
      </c>
    </row>
    <row r="551" spans="1:8">
      <c r="A551" s="5">
        <f>(pima_data!A551-AVERAGE(pima_data!$A$1:$A$768))/_xlfn.STDEV.P(pima_data!$A$1:$A$768)</f>
        <v>-0.844885053443025</v>
      </c>
      <c r="B551" s="5">
        <f>(pima_data!B551-AVERAGE(pima_data!$B$1:$B$768))/_xlfn.STDEV.P(pima_data!$B$1:$B$768)</f>
        <v>-0.153184855839151</v>
      </c>
      <c r="C551" s="5">
        <f>(pima_data!C551-AVERAGE(pima_data!$C$1:$C$768))/_xlfn.STDEV.P(pima_data!$C$1:$C$768)</f>
        <v>0.0462452528365177</v>
      </c>
      <c r="D551" s="5">
        <f>(pima_data!D551-AVERAGE(pima_data!$D$1:$D$768))/_xlfn.STDEV.P(pima_data!$D$1:$D$768)</f>
        <v>0.468173497628841</v>
      </c>
      <c r="E551" s="5">
        <f>(pima_data!E551-AVERAGE(pima_data!$E$1:$E$768))/_xlfn.STDEV.P(pima_data!$E$1:$E$768)</f>
        <v>-0.692890572295466</v>
      </c>
      <c r="F551" s="5">
        <f>(pima_data!F551-AVERAGE(pima_data!$F$1:$F$768))/_xlfn.STDEV.P(pima_data!$F$1:$F$768)</f>
        <v>-0.582886549870711</v>
      </c>
      <c r="G551" s="5">
        <f>(pima_data!G551-AVERAGE(pima_data!$G$1:$G$768))/_xlfn.STDEV.P(pima_data!$G$1:$G$768)</f>
        <v>-0.809018223142928</v>
      </c>
      <c r="H551" s="5">
        <f>(pima_data!H551-AVERAGE(pima_data!$H$1:$H$768))/_xlfn.STDEV.P(pima_data!$H$1:$H$768)</f>
        <v>-1.0415494364835</v>
      </c>
    </row>
    <row r="552" spans="1:8">
      <c r="A552" s="5">
        <f>(pima_data!A552-AVERAGE(pima_data!$A$1:$A$768))/_xlfn.STDEV.P(pima_data!$A$1:$A$768)</f>
        <v>-0.25095212800207</v>
      </c>
      <c r="B552" s="5">
        <f>(pima_data!B552-AVERAGE(pima_data!$B$1:$B$768))/_xlfn.STDEV.P(pima_data!$B$1:$B$768)</f>
        <v>-1.15469350630549</v>
      </c>
      <c r="C552" s="5">
        <f>(pima_data!C552-AVERAGE(pima_data!$C$1:$C$768))/_xlfn.STDEV.P(pima_data!$C$1:$C$768)</f>
        <v>-0.0571502469551726</v>
      </c>
      <c r="D552" s="5">
        <f>(pima_data!D552-AVERAGE(pima_data!$D$1:$D$768))/_xlfn.STDEV.P(pima_data!$D$1:$D$768)</f>
        <v>0.593629619812703</v>
      </c>
      <c r="E552" s="5">
        <f>(pima_data!E552-AVERAGE(pima_data!$E$1:$E$768))/_xlfn.STDEV.P(pima_data!$E$1:$E$768)</f>
        <v>0.227496395518216</v>
      </c>
      <c r="F552" s="5">
        <f>(pima_data!F552-AVERAGE(pima_data!$F$1:$F$768))/_xlfn.STDEV.P(pima_data!$F$1:$F$768)</f>
        <v>-0.0117499457616166</v>
      </c>
      <c r="G552" s="5">
        <f>(pima_data!G552-AVERAGE(pima_data!$G$1:$G$768))/_xlfn.STDEV.P(pima_data!$G$1:$G$768)</f>
        <v>0.35976770499384</v>
      </c>
      <c r="H552" s="5">
        <f>(pima_data!H552-AVERAGE(pima_data!$H$1:$H$768))/_xlfn.STDEV.P(pima_data!$H$1:$H$768)</f>
        <v>-0.701198423944696</v>
      </c>
    </row>
    <row r="553" spans="1:8">
      <c r="A553" s="5">
        <f>(pima_data!A553-AVERAGE(pima_data!$A$1:$A$768))/_xlfn.STDEV.P(pima_data!$A$1:$A$768)</f>
        <v>0.639947260159362</v>
      </c>
      <c r="B553" s="5">
        <f>(pima_data!B553-AVERAGE(pima_data!$B$1:$B$768))/_xlfn.STDEV.P(pima_data!$B$1:$B$768)</f>
        <v>-0.215779146493297</v>
      </c>
      <c r="C553" s="5">
        <f>(pima_data!C553-AVERAGE(pima_data!$C$1:$C$768))/_xlfn.STDEV.P(pima_data!$C$1:$C$768)</f>
        <v>0.97680475096173</v>
      </c>
      <c r="D553" s="5">
        <f>(pima_data!D553-AVERAGE(pima_data!$D$1:$D$768))/_xlfn.STDEV.P(pima_data!$D$1:$D$768)</f>
        <v>-1.28821221294523</v>
      </c>
      <c r="E553" s="5">
        <f>(pima_data!E553-AVERAGE(pima_data!$E$1:$E$768))/_xlfn.STDEV.P(pima_data!$E$1:$E$768)</f>
        <v>-0.692890572295466</v>
      </c>
      <c r="F553" s="5">
        <f>(pima_data!F553-AVERAGE(pima_data!$F$1:$F$768))/_xlfn.STDEV.P(pima_data!$F$1:$F$768)</f>
        <v>-0.53211885172768</v>
      </c>
      <c r="G553" s="5">
        <f>(pima_data!G553-AVERAGE(pima_data!$G$1:$G$768))/_xlfn.STDEV.P(pima_data!$G$1:$G$768)</f>
        <v>-0.679153120016621</v>
      </c>
      <c r="H553" s="5">
        <f>(pima_data!H553-AVERAGE(pima_data!$H$1:$H$768))/_xlfn.STDEV.P(pima_data!$H$1:$H$768)</f>
        <v>2.78739945457807</v>
      </c>
    </row>
    <row r="554" spans="1:8">
      <c r="A554" s="5">
        <f>(pima_data!A554-AVERAGE(pima_data!$A$1:$A$768))/_xlfn.STDEV.P(pima_data!$A$1:$A$768)</f>
        <v>-0.844885053443025</v>
      </c>
      <c r="B554" s="5">
        <f>(pima_data!B554-AVERAGE(pima_data!$B$1:$B$768))/_xlfn.STDEV.P(pima_data!$B$1:$B$768)</f>
        <v>-1.0295049249972</v>
      </c>
      <c r="C554" s="5">
        <f>(pima_data!C554-AVERAGE(pima_data!$C$1:$C$768))/_xlfn.STDEV.P(pima_data!$C$1:$C$768)</f>
        <v>-0.367336746330243</v>
      </c>
      <c r="D554" s="5">
        <f>(pima_data!D554-AVERAGE(pima_data!$D$1:$D$768))/_xlfn.STDEV.P(pima_data!$D$1:$D$768)</f>
        <v>0.217261253261116</v>
      </c>
      <c r="E554" s="5">
        <f>(pima_data!E554-AVERAGE(pima_data!$E$1:$E$768))/_xlfn.STDEV.P(pima_data!$E$1:$E$768)</f>
        <v>-0.310843151693561</v>
      </c>
      <c r="F554" s="5">
        <f>(pima_data!F554-AVERAGE(pima_data!$F$1:$F$768))/_xlfn.STDEV.P(pima_data!$F$1:$F$768)</f>
        <v>-0.26558843647677</v>
      </c>
      <c r="G554" s="5">
        <f>(pima_data!G554-AVERAGE(pima_data!$G$1:$G$768))/_xlfn.STDEV.P(pima_data!$G$1:$G$768)</f>
        <v>-0.150632351479323</v>
      </c>
      <c r="H554" s="5">
        <f>(pima_data!H554-AVERAGE(pima_data!$H$1:$H$768))/_xlfn.STDEV.P(pima_data!$H$1:$H$768)</f>
        <v>-0.871373930214099</v>
      </c>
    </row>
    <row r="555" spans="1:8">
      <c r="A555" s="5">
        <f>(pima_data!A555-AVERAGE(pima_data!$A$1:$A$768))/_xlfn.STDEV.P(pima_data!$A$1:$A$768)</f>
        <v>-0.844885053443025</v>
      </c>
      <c r="B555" s="5">
        <f>(pima_data!B555-AVERAGE(pima_data!$B$1:$B$768))/_xlfn.STDEV.P(pima_data!$B$1:$B$768)</f>
        <v>-1.15469350630549</v>
      </c>
      <c r="C555" s="5">
        <f>(pima_data!C555-AVERAGE(pima_data!$C$1:$C$768))/_xlfn.STDEV.P(pima_data!$C$1:$C$768)</f>
        <v>-0.263941246538553</v>
      </c>
      <c r="D555" s="5">
        <f>(pima_data!D555-AVERAGE(pima_data!$D$1:$D$768))/_xlfn.STDEV.P(pima_data!$D$1:$D$768)</f>
        <v>0.154533192169185</v>
      </c>
      <c r="E555" s="5">
        <f>(pima_data!E555-AVERAGE(pima_data!$E$1:$E$768))/_xlfn.STDEV.P(pima_data!$E$1:$E$768)</f>
        <v>0.305642458823151</v>
      </c>
      <c r="F555" s="5">
        <f>(pima_data!F555-AVERAGE(pima_data!$F$1:$F$768))/_xlfn.STDEV.P(pima_data!$F$1:$F$768)</f>
        <v>0.622846281026266</v>
      </c>
      <c r="G555" s="5">
        <f>(pima_data!G555-AVERAGE(pima_data!$G$1:$G$768))/_xlfn.STDEV.P(pima_data!$G$1:$G$768)</f>
        <v>-0.00264653628887913</v>
      </c>
      <c r="H555" s="5">
        <f>(pima_data!H555-AVERAGE(pima_data!$H$1:$H$768))/_xlfn.STDEV.P(pima_data!$H$1:$H$768)</f>
        <v>-0.445935164540591</v>
      </c>
    </row>
    <row r="556" spans="1:8">
      <c r="A556" s="5">
        <f>(pima_data!A556-AVERAGE(pima_data!$A$1:$A$768))/_xlfn.STDEV.P(pima_data!$A$1:$A$768)</f>
        <v>0.936913722879839</v>
      </c>
      <c r="B556" s="5">
        <f>(pima_data!B556-AVERAGE(pima_data!$B$1:$B$768))/_xlfn.STDEV.P(pima_data!$B$1:$B$768)</f>
        <v>0.097192306777434</v>
      </c>
      <c r="C556" s="5">
        <f>(pima_data!C556-AVERAGE(pima_data!$C$1:$C$768))/_xlfn.STDEV.P(pima_data!$C$1:$C$768)</f>
        <v>0.0462452528365177</v>
      </c>
      <c r="D556" s="5">
        <f>(pima_data!D556-AVERAGE(pima_data!$D$1:$D$768))/_xlfn.STDEV.P(pima_data!$D$1:$D$768)</f>
        <v>0.781813803088497</v>
      </c>
      <c r="E556" s="5">
        <f>(pima_data!E556-AVERAGE(pima_data!$E$1:$E$768))/_xlfn.STDEV.P(pima_data!$E$1:$E$768)</f>
        <v>1.17393205110021</v>
      </c>
      <c r="F556" s="5">
        <f>(pima_data!F556-AVERAGE(pima_data!$F$1:$F$768))/_xlfn.STDEV.P(pima_data!$F$1:$F$768)</f>
        <v>-0.824033116050106</v>
      </c>
      <c r="G556" s="5">
        <f>(pima_data!G556-AVERAGE(pima_data!$G$1:$G$768))/_xlfn.STDEV.P(pima_data!$G$1:$G$768)</f>
        <v>-0.938883326269236</v>
      </c>
      <c r="H556" s="5">
        <f>(pima_data!H556-AVERAGE(pima_data!$H$1:$H$768))/_xlfn.STDEV.P(pima_data!$H$1:$H$768)</f>
        <v>0.319854613671724</v>
      </c>
    </row>
    <row r="557" spans="1:8">
      <c r="A557" s="5">
        <f>(pima_data!A557-AVERAGE(pima_data!$A$1:$A$768))/_xlfn.STDEV.P(pima_data!$A$1:$A$768)</f>
        <v>-0.844885053443025</v>
      </c>
      <c r="B557" s="5">
        <f>(pima_data!B557-AVERAGE(pima_data!$B$1:$B$768))/_xlfn.STDEV.P(pima_data!$B$1:$B$768)</f>
        <v>-0.74783061705354</v>
      </c>
      <c r="C557" s="5">
        <f>(pima_data!C557-AVERAGE(pima_data!$C$1:$C$768))/_xlfn.STDEV.P(pima_data!$C$1:$C$768)</f>
        <v>0.0462452528365177</v>
      </c>
      <c r="D557" s="5">
        <f>(pima_data!D557-AVERAGE(pima_data!$D$1:$D$768))/_xlfn.STDEV.P(pima_data!$D$1:$D$768)</f>
        <v>1.22091023073201</v>
      </c>
      <c r="E557" s="5">
        <f>(pima_data!E557-AVERAGE(pima_data!$E$1:$E$768))/_xlfn.STDEV.P(pima_data!$E$1:$E$768)</f>
        <v>-0.692890572295466</v>
      </c>
      <c r="F557" s="5">
        <f>(pima_data!F557-AVERAGE(pima_data!$F$1:$F$768))/_xlfn.STDEV.P(pima_data!$F$1:$F$768)</f>
        <v>0.775149375455358</v>
      </c>
      <c r="G557" s="5">
        <f>(pima_data!G557-AVERAGE(pima_data!$G$1:$G$768))/_xlfn.STDEV.P(pima_data!$G$1:$G$768)</f>
        <v>-0.766736561659944</v>
      </c>
      <c r="H557" s="5">
        <f>(pima_data!H557-AVERAGE(pima_data!$H$1:$H$768))/_xlfn.STDEV.P(pima_data!$H$1:$H$768)</f>
        <v>-0.275759658271188</v>
      </c>
    </row>
    <row r="558" spans="1:8">
      <c r="A558" s="5">
        <f>(pima_data!A558-AVERAGE(pima_data!$A$1:$A$768))/_xlfn.STDEV.P(pima_data!$A$1:$A$768)</f>
        <v>1.23388018560032</v>
      </c>
      <c r="B558" s="5">
        <f>(pima_data!B558-AVERAGE(pima_data!$B$1:$B$768))/_xlfn.STDEV.P(pima_data!$B$1:$B$768)</f>
        <v>-0.340967727801589</v>
      </c>
      <c r="C558" s="5">
        <f>(pima_data!C558-AVERAGE(pima_data!$C$1:$C$768))/_xlfn.STDEV.P(pima_data!$C$1:$C$768)</f>
        <v>0.356431752211589</v>
      </c>
      <c r="D558" s="5">
        <f>(pima_data!D558-AVERAGE(pima_data!$D$1:$D$768))/_xlfn.STDEV.P(pima_data!$D$1:$D$768)</f>
        <v>-1.28821221294523</v>
      </c>
      <c r="E558" s="5">
        <f>(pima_data!E558-AVERAGE(pima_data!$E$1:$E$768))/_xlfn.STDEV.P(pima_data!$E$1:$E$768)</f>
        <v>-0.692890572295466</v>
      </c>
      <c r="F558" s="5">
        <f>(pima_data!F558-AVERAGE(pima_data!$F$1:$F$768))/_xlfn.STDEV.P(pima_data!$F$1:$F$768)</f>
        <v>-0.53211885172768</v>
      </c>
      <c r="G558" s="5">
        <f>(pima_data!G558-AVERAGE(pima_data!$G$1:$G$768))/_xlfn.STDEV.P(pima_data!$G$1:$G$768)</f>
        <v>-0.709354306790181</v>
      </c>
      <c r="H558" s="5">
        <f>(pima_data!H558-AVERAGE(pima_data!$H$1:$H$768))/_xlfn.STDEV.P(pima_data!$H$1:$H$768)</f>
        <v>2.10669742950046</v>
      </c>
    </row>
    <row r="559" spans="1:8">
      <c r="A559" s="5">
        <f>(pima_data!A559-AVERAGE(pima_data!$A$1:$A$768))/_xlfn.STDEV.P(pima_data!$A$1:$A$768)</f>
        <v>2.12477957376175</v>
      </c>
      <c r="B559" s="5">
        <f>(pima_data!B559-AVERAGE(pima_data!$B$1:$B$768))/_xlfn.STDEV.P(pima_data!$B$1:$B$768)</f>
        <v>-0.560047745091101</v>
      </c>
      <c r="C559" s="5">
        <f>(pima_data!C559-AVERAGE(pima_data!$C$1:$C$768))/_xlfn.STDEV.P(pima_data!$C$1:$C$768)</f>
        <v>-0.0571502469551726</v>
      </c>
      <c r="D559" s="5">
        <f>(pima_data!D559-AVERAGE(pima_data!$D$1:$D$768))/_xlfn.STDEV.P(pima_data!$D$1:$D$768)</f>
        <v>1.22091023073201</v>
      </c>
      <c r="E559" s="5">
        <f>(pima_data!E559-AVERAGE(pima_data!$E$1:$E$768))/_xlfn.STDEV.P(pima_data!$E$1:$E$768)</f>
        <v>-0.692890572295466</v>
      </c>
      <c r="F559" s="5">
        <f>(pima_data!F559-AVERAGE(pima_data!$F$1:$F$768))/_xlfn.STDEV.P(pima_data!$F$1:$F$768)</f>
        <v>1.80319526285173</v>
      </c>
      <c r="G559" s="5">
        <f>(pima_data!G559-AVERAGE(pima_data!$G$1:$G$768))/_xlfn.STDEV.P(pima_data!$G$1:$G$768)</f>
        <v>-1.0445874799767</v>
      </c>
      <c r="H559" s="5">
        <f>(pima_data!H559-AVERAGE(pima_data!$H$1:$H$768))/_xlfn.STDEV.P(pima_data!$H$1:$H$768)</f>
        <v>0.745293379345232</v>
      </c>
    </row>
    <row r="560" spans="1:8">
      <c r="A560" s="5">
        <f>(pima_data!A560-AVERAGE(pima_data!$A$1:$A$768))/_xlfn.STDEV.P(pima_data!$A$1:$A$768)</f>
        <v>2.12477957376175</v>
      </c>
      <c r="B560" s="5">
        <f>(pima_data!B560-AVERAGE(pima_data!$B$1:$B$768))/_xlfn.STDEV.P(pima_data!$B$1:$B$768)</f>
        <v>-1.12339636097842</v>
      </c>
      <c r="C560" s="5">
        <f>(pima_data!C560-AVERAGE(pima_data!$C$1:$C$768))/_xlfn.STDEV.P(pima_data!$C$1:$C$768)</f>
        <v>0.253036252419898</v>
      </c>
      <c r="D560" s="5">
        <f>(pima_data!D560-AVERAGE(pima_data!$D$1:$D$768))/_xlfn.STDEV.P(pima_data!$D$1:$D$768)</f>
        <v>-1.28821221294523</v>
      </c>
      <c r="E560" s="5">
        <f>(pima_data!E560-AVERAGE(pima_data!$E$1:$E$768))/_xlfn.STDEV.P(pima_data!$E$1:$E$768)</f>
        <v>-0.692890572295466</v>
      </c>
      <c r="F560" s="5">
        <f>(pima_data!F560-AVERAGE(pima_data!$F$1:$F$768))/_xlfn.STDEV.P(pima_data!$F$1:$F$768)</f>
        <v>-0.240204587405254</v>
      </c>
      <c r="G560" s="5">
        <f>(pima_data!G560-AVERAGE(pima_data!$G$1:$G$768))/_xlfn.STDEV.P(pima_data!$G$1:$G$768)</f>
        <v>-0.519086830116753</v>
      </c>
      <c r="H560" s="5">
        <f>(pima_data!H560-AVERAGE(pima_data!$H$1:$H$768))/_xlfn.STDEV.P(pima_data!$H$1:$H$768)</f>
        <v>0.14967910740232</v>
      </c>
    </row>
    <row r="561" spans="1:8">
      <c r="A561" s="5">
        <f>(pima_data!A561-AVERAGE(pima_data!$A$1:$A$768))/_xlfn.STDEV.P(pima_data!$A$1:$A$768)</f>
        <v>0.639947260159362</v>
      </c>
      <c r="B561" s="5">
        <f>(pima_data!B561-AVERAGE(pima_data!$B$1:$B$768))/_xlfn.STDEV.P(pima_data!$B$1:$B$768)</f>
        <v>0.128489452104507</v>
      </c>
      <c r="C561" s="5">
        <f>(pima_data!C561-AVERAGE(pima_data!$C$1:$C$768))/_xlfn.STDEV.P(pima_data!$C$1:$C$768)</f>
        <v>0.356431752211589</v>
      </c>
      <c r="D561" s="5">
        <f>(pima_data!D561-AVERAGE(pima_data!$D$1:$D$768))/_xlfn.STDEV.P(pima_data!$D$1:$D$768)</f>
        <v>-1.28821221294523</v>
      </c>
      <c r="E561" s="5">
        <f>(pima_data!E561-AVERAGE(pima_data!$E$1:$E$768))/_xlfn.STDEV.P(pima_data!$E$1:$E$768)</f>
        <v>-0.692890572295466</v>
      </c>
      <c r="F561" s="5">
        <f>(pima_data!F561-AVERAGE(pima_data!$F$1:$F$768))/_xlfn.STDEV.P(pima_data!$F$1:$F$768)</f>
        <v>0.229396620417779</v>
      </c>
      <c r="G561" s="5">
        <f>(pima_data!G561-AVERAGE(pima_data!$G$1:$G$768))/_xlfn.STDEV.P(pima_data!$G$1:$G$768)</f>
        <v>-1.05968807336348</v>
      </c>
      <c r="H561" s="5">
        <f>(pima_data!H561-AVERAGE(pima_data!$H$1:$H$768))/_xlfn.STDEV.P(pima_data!$H$1:$H$768)</f>
        <v>1.76634641696165</v>
      </c>
    </row>
    <row r="562" spans="1:8">
      <c r="A562" s="5">
        <f>(pima_data!A562-AVERAGE(pima_data!$A$1:$A$768))/_xlfn.STDEV.P(pima_data!$A$1:$A$768)</f>
        <v>-1.1418515161635</v>
      </c>
      <c r="B562" s="5">
        <f>(pima_data!B562-AVERAGE(pima_data!$B$1:$B$768))/_xlfn.STDEV.P(pima_data!$B$1:$B$768)</f>
        <v>2.41318106098084</v>
      </c>
      <c r="C562" s="5">
        <f>(pima_data!C562-AVERAGE(pima_data!$C$1:$C$768))/_xlfn.STDEV.P(pima_data!$C$1:$C$768)</f>
        <v>-0.160545746746863</v>
      </c>
      <c r="D562" s="5">
        <f>(pima_data!D562-AVERAGE(pima_data!$D$1:$D$768))/_xlfn.STDEV.P(pima_data!$D$1:$D$768)</f>
        <v>0.719085741996565</v>
      </c>
      <c r="E562" s="5">
        <f>(pima_data!E562-AVERAGE(pima_data!$E$1:$E$768))/_xlfn.STDEV.P(pima_data!$E$1:$E$768)</f>
        <v>1.68622291054367</v>
      </c>
      <c r="F562" s="5">
        <f>(pima_data!F562-AVERAGE(pima_data!$F$1:$F$768))/_xlfn.STDEV.P(pima_data!$F$1:$F$768)</f>
        <v>1.1812909605996</v>
      </c>
      <c r="G562" s="5">
        <f>(pima_data!G562-AVERAGE(pima_data!$G$1:$G$768))/_xlfn.STDEV.P(pima_data!$G$1:$G$768)</f>
        <v>0.0909771427091566</v>
      </c>
      <c r="H562" s="5">
        <f>(pima_data!H562-AVERAGE(pima_data!$H$1:$H$768))/_xlfn.STDEV.P(pima_data!$H$1:$H$768)</f>
        <v>-0.445935164540591</v>
      </c>
    </row>
    <row r="563" spans="1:8">
      <c r="A563" s="5">
        <f>(pima_data!A563-AVERAGE(pima_data!$A$1:$A$768))/_xlfn.STDEV.P(pima_data!$A$1:$A$768)</f>
        <v>-0.844885053443025</v>
      </c>
      <c r="B563" s="5">
        <f>(pima_data!B563-AVERAGE(pima_data!$B$1:$B$768))/_xlfn.STDEV.P(pima_data!$B$1:$B$768)</f>
        <v>-1.06080207032427</v>
      </c>
      <c r="C563" s="5">
        <f>(pima_data!C563-AVERAGE(pima_data!$C$1:$C$768))/_xlfn.STDEV.P(pima_data!$C$1:$C$768)</f>
        <v>-0.0571502469551726</v>
      </c>
      <c r="D563" s="5">
        <f>(pima_data!D563-AVERAGE(pima_data!$D$1:$D$768))/_xlfn.STDEV.P(pima_data!$D$1:$D$768)</f>
        <v>0.844541864180428</v>
      </c>
      <c r="E563" s="5">
        <f>(pima_data!E563-AVERAGE(pima_data!$E$1:$E$768))/_xlfn.STDEV.P(pima_data!$E$1:$E$768)</f>
        <v>-0.0243075862421312</v>
      </c>
      <c r="F563" s="5">
        <f>(pima_data!F563-AVERAGE(pima_data!$F$1:$F$768))/_xlfn.STDEV.P(pima_data!$F$1:$F$768)</f>
        <v>0.71168975277657</v>
      </c>
      <c r="G563" s="5">
        <f>(pima_data!G563-AVERAGE(pima_data!$G$1:$G$768))/_xlfn.STDEV.P(pima_data!$G$1:$G$768)</f>
        <v>-0.214054843703798</v>
      </c>
      <c r="H563" s="5">
        <f>(pima_data!H563-AVERAGE(pima_data!$H$1:$H$768))/_xlfn.STDEV.P(pima_data!$H$1:$H$768)</f>
        <v>-0.786286177079398</v>
      </c>
    </row>
    <row r="564" spans="1:8">
      <c r="A564" s="5">
        <f>(pima_data!A564-AVERAGE(pima_data!$A$1:$A$768))/_xlfn.STDEV.P(pima_data!$A$1:$A$768)</f>
        <v>0.639947260159362</v>
      </c>
      <c r="B564" s="5">
        <f>(pima_data!B564-AVERAGE(pima_data!$B$1:$B$768))/_xlfn.STDEV.P(pima_data!$B$1:$B$768)</f>
        <v>-0.685236326399393</v>
      </c>
      <c r="C564" s="5">
        <f>(pima_data!C564-AVERAGE(pima_data!$C$1:$C$768))/_xlfn.STDEV.P(pima_data!$C$1:$C$768)</f>
        <v>-0.470732246121934</v>
      </c>
      <c r="D564" s="5">
        <f>(pima_data!D564-AVERAGE(pima_data!$D$1:$D$768))/_xlfn.STDEV.P(pima_data!$D$1:$D$768)</f>
        <v>-0.09637905219854</v>
      </c>
      <c r="E564" s="5">
        <f>(pima_data!E564-AVERAGE(pima_data!$E$1:$E$768))/_xlfn.STDEV.P(pima_data!$E$1:$E$768)</f>
        <v>-0.224014192465855</v>
      </c>
      <c r="F564" s="5">
        <f>(pima_data!F564-AVERAGE(pima_data!$F$1:$F$768))/_xlfn.STDEV.P(pima_data!$F$1:$F$768)</f>
        <v>-0.646346172549499</v>
      </c>
      <c r="G564" s="5">
        <f>(pima_data!G564-AVERAGE(pima_data!$G$1:$G$768))/_xlfn.STDEV.P(pima_data!$G$1:$G$768)</f>
        <v>0.0758765493223767</v>
      </c>
      <c r="H564" s="5">
        <f>(pima_data!H564-AVERAGE(pima_data!$H$1:$H$768))/_xlfn.STDEV.P(pima_data!$H$1:$H$768)</f>
        <v>-0.105584152001785</v>
      </c>
    </row>
    <row r="565" spans="1:8">
      <c r="A565" s="5">
        <f>(pima_data!A565-AVERAGE(pima_data!$A$1:$A$768))/_xlfn.STDEV.P(pima_data!$A$1:$A$768)</f>
        <v>-1.1418515161635</v>
      </c>
      <c r="B565" s="5">
        <f>(pima_data!B565-AVERAGE(pima_data!$B$1:$B$768))/_xlfn.STDEV.P(pima_data!$B$1:$B$768)</f>
        <v>-0.935613489015978</v>
      </c>
      <c r="C565" s="5">
        <f>(pima_data!C565-AVERAGE(pima_data!$C$1:$C$768))/_xlfn.STDEV.P(pima_data!$C$1:$C$768)</f>
        <v>0.563222751794969</v>
      </c>
      <c r="D565" s="5">
        <f>(pima_data!D565-AVERAGE(pima_data!$D$1:$D$768))/_xlfn.STDEV.P(pima_data!$D$1:$D$768)</f>
        <v>-1.28821221294523</v>
      </c>
      <c r="E565" s="5">
        <f>(pima_data!E565-AVERAGE(pima_data!$E$1:$E$768))/_xlfn.STDEV.P(pima_data!$E$1:$E$768)</f>
        <v>-0.692890572295466</v>
      </c>
      <c r="F565" s="5">
        <f>(pima_data!F565-AVERAGE(pima_data!$F$1:$F$768))/_xlfn.STDEV.P(pima_data!$F$1:$F$768)</f>
        <v>0.0517096769171717</v>
      </c>
      <c r="G565" s="5">
        <f>(pima_data!G565-AVERAGE(pima_data!$G$1:$G$768))/_xlfn.STDEV.P(pima_data!$G$1:$G$768)</f>
        <v>0.389968891767399</v>
      </c>
      <c r="H565" s="5">
        <f>(pima_data!H565-AVERAGE(pima_data!$H$1:$H$768))/_xlfn.STDEV.P(pima_data!$H$1:$H$768)</f>
        <v>-0.531022917675293</v>
      </c>
    </row>
    <row r="566" spans="1:8">
      <c r="A566" s="5">
        <f>(pima_data!A566-AVERAGE(pima_data!$A$1:$A$768))/_xlfn.STDEV.P(pima_data!$A$1:$A$768)</f>
        <v>-0.547918590722547</v>
      </c>
      <c r="B566" s="5">
        <f>(pima_data!B566-AVERAGE(pima_data!$B$1:$B$768))/_xlfn.STDEV.P(pima_data!$B$1:$B$768)</f>
        <v>-0.810424907707686</v>
      </c>
      <c r="C566" s="5">
        <f>(pima_data!C566-AVERAGE(pima_data!$C$1:$C$768))/_xlfn.STDEV.P(pima_data!$C$1:$C$768)</f>
        <v>-0.780918745497004</v>
      </c>
      <c r="D566" s="5">
        <f>(pima_data!D566-AVERAGE(pima_data!$D$1:$D$768))/_xlfn.STDEV.P(pima_data!$D$1:$D$768)</f>
        <v>-0.410019357658196</v>
      </c>
      <c r="E566" s="5">
        <f>(pima_data!E566-AVERAGE(pima_data!$E$1:$E$768))/_xlfn.STDEV.P(pima_data!$E$1:$E$768)</f>
        <v>0.0712042689083452</v>
      </c>
      <c r="F566" s="5">
        <f>(pima_data!F566-AVERAGE(pima_data!$F$1:$F$768))/_xlfn.STDEV.P(pima_data!$F$1:$F$768)</f>
        <v>-0.74788156883556</v>
      </c>
      <c r="G566" s="5">
        <f>(pima_data!G566-AVERAGE(pima_data!$G$1:$G$768))/_xlfn.STDEV.P(pima_data!$G$1:$G$768)</f>
        <v>0.83392633733873</v>
      </c>
      <c r="H566" s="5">
        <f>(pima_data!H566-AVERAGE(pima_data!$H$1:$H$768))/_xlfn.STDEV.P(pima_data!$H$1:$H$768)</f>
        <v>-0.956461683348801</v>
      </c>
    </row>
    <row r="567" spans="1:8">
      <c r="A567" s="5">
        <f>(pima_data!A567-AVERAGE(pima_data!$A$1:$A$768))/_xlfn.STDEV.P(pima_data!$A$1:$A$768)</f>
        <v>-0.844885053443025</v>
      </c>
      <c r="B567" s="5">
        <f>(pima_data!B567-AVERAGE(pima_data!$B$1:$B$768))/_xlfn.STDEV.P(pima_data!$B$1:$B$768)</f>
        <v>-0.685236326399393</v>
      </c>
      <c r="C567" s="5">
        <f>(pima_data!C567-AVERAGE(pima_data!$C$1:$C$768))/_xlfn.STDEV.P(pima_data!$C$1:$C$768)</f>
        <v>0.149640752628208</v>
      </c>
      <c r="D567" s="5">
        <f>(pima_data!D567-AVERAGE(pima_data!$D$1:$D$768))/_xlfn.STDEV.P(pima_data!$D$1:$D$768)</f>
        <v>0.593629619812703</v>
      </c>
      <c r="E567" s="5">
        <f>(pima_data!E567-AVERAGE(pima_data!$E$1:$E$768))/_xlfn.STDEV.P(pima_data!$E$1:$E$768)</f>
        <v>-0.536598445685596</v>
      </c>
      <c r="F567" s="5">
        <f>(pima_data!F567-AVERAGE(pima_data!$F$1:$F$768))/_xlfn.STDEV.P(pima_data!$F$1:$F$768)</f>
        <v>0.838608998134146</v>
      </c>
      <c r="G567" s="5">
        <f>(pima_data!G567-AVERAGE(pima_data!$G$1:$G$768))/_xlfn.STDEV.P(pima_data!$G$1:$G$768)</f>
        <v>-0.180833538252882</v>
      </c>
      <c r="H567" s="5">
        <f>(pima_data!H567-AVERAGE(pima_data!$H$1:$H$768))/_xlfn.STDEV.P(pima_data!$H$1:$H$768)</f>
        <v>-1.0415494364835</v>
      </c>
    </row>
    <row r="568" spans="1:8">
      <c r="A568" s="5">
        <f>(pima_data!A568-AVERAGE(pima_data!$A$1:$A$768))/_xlfn.STDEV.P(pima_data!$A$1:$A$768)</f>
        <v>0.639947260159362</v>
      </c>
      <c r="B568" s="5">
        <f>(pima_data!B568-AVERAGE(pima_data!$B$1:$B$768))/_xlfn.STDEV.P(pima_data!$B$1:$B$768)</f>
        <v>-0.904316343688905</v>
      </c>
      <c r="C568" s="5">
        <f>(pima_data!C568-AVERAGE(pima_data!$C$1:$C$768))/_xlfn.STDEV.P(pima_data!$C$1:$C$768)</f>
        <v>-0.367336746330243</v>
      </c>
      <c r="D568" s="5">
        <f>(pima_data!D568-AVERAGE(pima_data!$D$1:$D$768))/_xlfn.STDEV.P(pima_data!$D$1:$D$768)</f>
        <v>0.719085741996565</v>
      </c>
      <c r="E568" s="5">
        <f>(pima_data!E568-AVERAGE(pima_data!$E$1:$E$768))/_xlfn.STDEV.P(pima_data!$E$1:$E$768)</f>
        <v>0.401154313973627</v>
      </c>
      <c r="F568" s="5">
        <f>(pima_data!F568-AVERAGE(pima_data!$F$1:$F$768))/_xlfn.STDEV.P(pima_data!$F$1:$F$768)</f>
        <v>0.000941978774141239</v>
      </c>
      <c r="G568" s="5">
        <f>(pima_data!G568-AVERAGE(pima_data!$G$1:$G$768))/_xlfn.STDEV.P(pima_data!$G$1:$G$768)</f>
        <v>-1.16841234574829</v>
      </c>
      <c r="H568" s="5">
        <f>(pima_data!H568-AVERAGE(pima_data!$H$1:$H$768))/_xlfn.STDEV.P(pima_data!$H$1:$H$768)</f>
        <v>1.08564439188404</v>
      </c>
    </row>
    <row r="569" spans="1:8">
      <c r="A569" s="5">
        <f>(pima_data!A569-AVERAGE(pima_data!$A$1:$A$768))/_xlfn.STDEV.P(pima_data!$A$1:$A$768)</f>
        <v>0.0460143347184072</v>
      </c>
      <c r="B569" s="5">
        <f>(pima_data!B569-AVERAGE(pima_data!$B$1:$B$768))/_xlfn.STDEV.P(pima_data!$B$1:$B$768)</f>
        <v>1.03610666658963</v>
      </c>
      <c r="C569" s="5">
        <f>(pima_data!C569-AVERAGE(pima_data!$C$1:$C$768))/_xlfn.STDEV.P(pima_data!$C$1:$C$768)</f>
        <v>0.149640752628208</v>
      </c>
      <c r="D569" s="5">
        <f>(pima_data!D569-AVERAGE(pima_data!$D$1:$D$768))/_xlfn.STDEV.P(pima_data!$D$1:$D$768)</f>
        <v>0.530901558720772</v>
      </c>
      <c r="E569" s="5">
        <f>(pima_data!E569-AVERAGE(pima_data!$E$1:$E$768))/_xlfn.STDEV.P(pima_data!$E$1:$E$768)</f>
        <v>0.401154313973627</v>
      </c>
      <c r="F569" s="5">
        <f>(pima_data!F569-AVERAGE(pima_data!$F$1:$F$768))/_xlfn.STDEV.P(pima_data!$F$1:$F$768)</f>
        <v>-0.0879014929761622</v>
      </c>
      <c r="G569" s="5">
        <f>(pima_data!G569-AVERAGE(pima_data!$G$1:$G$768))/_xlfn.STDEV.P(pima_data!$G$1:$G$768)</f>
        <v>-0.404322320377226</v>
      </c>
      <c r="H569" s="5">
        <f>(pima_data!H569-AVERAGE(pima_data!$H$1:$H$768))/_xlfn.STDEV.P(pima_data!$H$1:$H$768)</f>
        <v>0.319854613671724</v>
      </c>
    </row>
    <row r="570" spans="1:8">
      <c r="A570" s="5">
        <f>(pima_data!A570-AVERAGE(pima_data!$A$1:$A$768))/_xlfn.STDEV.P(pima_data!$A$1:$A$768)</f>
        <v>-1.1418515161635</v>
      </c>
      <c r="B570" s="5">
        <f>(pima_data!B570-AVERAGE(pima_data!$B$1:$B$768))/_xlfn.STDEV.P(pima_data!$B$1:$B$768)</f>
        <v>0.00330087079621474</v>
      </c>
      <c r="C570" s="5">
        <f>(pima_data!C570-AVERAGE(pima_data!$C$1:$C$768))/_xlfn.STDEV.P(pima_data!$C$1:$C$768)</f>
        <v>-0.160545746746863</v>
      </c>
      <c r="D570" s="5">
        <f>(pima_data!D570-AVERAGE(pima_data!$D$1:$D$768))/_xlfn.STDEV.P(pima_data!$D$1:$D$768)</f>
        <v>0.593629619812703</v>
      </c>
      <c r="E570" s="5">
        <f>(pima_data!E570-AVERAGE(pima_data!$E$1:$E$768))/_xlfn.STDEV.P(pima_data!$E$1:$E$768)</f>
        <v>0.73978725496168</v>
      </c>
      <c r="F570" s="5">
        <f>(pima_data!F570-AVERAGE(pima_data!$F$1:$F$768))/_xlfn.STDEV.P(pima_data!$F$1:$F$768)</f>
        <v>0.292856243096567</v>
      </c>
      <c r="G570" s="5">
        <f>(pima_data!G570-AVERAGE(pima_data!$G$1:$G$768))/_xlfn.STDEV.P(pima_data!$G$1:$G$768)</f>
        <v>-0.812038341820284</v>
      </c>
      <c r="H570" s="5">
        <f>(pima_data!H570-AVERAGE(pima_data!$H$1:$H$768))/_xlfn.STDEV.P(pima_data!$H$1:$H$768)</f>
        <v>-0.0204963988670829</v>
      </c>
    </row>
    <row r="571" spans="1:8">
      <c r="A571" s="5">
        <f>(pima_data!A571-AVERAGE(pima_data!$A$1:$A$768))/_xlfn.STDEV.P(pima_data!$A$1:$A$768)</f>
        <v>-0.25095212800207</v>
      </c>
      <c r="B571" s="5">
        <f>(pima_data!B571-AVERAGE(pima_data!$B$1:$B$768))/_xlfn.STDEV.P(pima_data!$B$1:$B$768)</f>
        <v>-1.34247637826793</v>
      </c>
      <c r="C571" s="5">
        <f>(pima_data!C571-AVERAGE(pima_data!$C$1:$C$768))/_xlfn.STDEV.P(pima_data!$C$1:$C$768)</f>
        <v>0.0462452528365177</v>
      </c>
      <c r="D571" s="5">
        <f>(pima_data!D571-AVERAGE(pima_data!$D$1:$D$768))/_xlfn.STDEV.P(pima_data!$D$1:$D$768)</f>
        <v>-1.28821221294523</v>
      </c>
      <c r="E571" s="5">
        <f>(pima_data!E571-AVERAGE(pima_data!$E$1:$E$768))/_xlfn.STDEV.P(pima_data!$E$1:$E$768)</f>
        <v>-0.692890572295466</v>
      </c>
      <c r="F571" s="5">
        <f>(pima_data!F571-AVERAGE(pima_data!$F$1:$F$768))/_xlfn.STDEV.P(pima_data!$F$1:$F$768)</f>
        <v>0.0644016014529295</v>
      </c>
      <c r="G571" s="5">
        <f>(pima_data!G571-AVERAGE(pima_data!$G$1:$G$768))/_xlfn.STDEV.P(pima_data!$G$1:$G$768)</f>
        <v>-0.609690390437433</v>
      </c>
      <c r="H571" s="5">
        <f>(pima_data!H571-AVERAGE(pima_data!$H$1:$H$768))/_xlfn.STDEV.P(pima_data!$H$1:$H$768)</f>
        <v>0.490030119941127</v>
      </c>
    </row>
    <row r="572" spans="1:8">
      <c r="A572" s="5">
        <f>(pima_data!A572-AVERAGE(pima_data!$A$1:$A$768))/_xlfn.STDEV.P(pima_data!$A$1:$A$768)</f>
        <v>-0.547918590722547</v>
      </c>
      <c r="B572" s="5">
        <f>(pima_data!B572-AVERAGE(pima_data!$B$1:$B$768))/_xlfn.STDEV.P(pima_data!$B$1:$B$768)</f>
        <v>0.284975178739873</v>
      </c>
      <c r="C572" s="5">
        <f>(pima_data!C572-AVERAGE(pima_data!$C$1:$C$768))/_xlfn.STDEV.P(pima_data!$C$1:$C$768)</f>
        <v>1.39038675012849</v>
      </c>
      <c r="D572" s="5">
        <f>(pima_data!D572-AVERAGE(pima_data!$D$1:$D$768))/_xlfn.STDEV.P(pima_data!$D$1:$D$768)</f>
        <v>-1.28821221294523</v>
      </c>
      <c r="E572" s="5">
        <f>(pima_data!E572-AVERAGE(pima_data!$E$1:$E$768))/_xlfn.STDEV.P(pima_data!$E$1:$E$768)</f>
        <v>-0.692890572295466</v>
      </c>
      <c r="F572" s="5">
        <f>(pima_data!F572-AVERAGE(pima_data!$F$1:$F$768))/_xlfn.STDEV.P(pima_data!$F$1:$F$768)</f>
        <v>-1.19209892758708</v>
      </c>
      <c r="G572" s="5">
        <f>(pima_data!G572-AVERAGE(pima_data!$G$1:$G$768))/_xlfn.STDEV.P(pima_data!$G$1:$G$768)</f>
        <v>-0.615730627792145</v>
      </c>
      <c r="H572" s="5">
        <f>(pima_data!H572-AVERAGE(pima_data!$H$1:$H$768))/_xlfn.STDEV.P(pima_data!$H$1:$H$768)</f>
        <v>-1.0415494364835</v>
      </c>
    </row>
    <row r="573" spans="1:8">
      <c r="A573" s="5">
        <f>(pima_data!A573-AVERAGE(pima_data!$A$1:$A$768))/_xlfn.STDEV.P(pima_data!$A$1:$A$768)</f>
        <v>-0.25095212800207</v>
      </c>
      <c r="B573" s="5">
        <f>(pima_data!B573-AVERAGE(pima_data!$B$1:$B$768))/_xlfn.STDEV.P(pima_data!$B$1:$B$768)</f>
        <v>-0.309670582474516</v>
      </c>
      <c r="C573" s="5">
        <f>(pima_data!C573-AVERAGE(pima_data!$C$1:$C$768))/_xlfn.STDEV.P(pima_data!$C$1:$C$768)</f>
        <v>-0.574127745913624</v>
      </c>
      <c r="D573" s="5">
        <f>(pima_data!D573-AVERAGE(pima_data!$D$1:$D$768))/_xlfn.STDEV.P(pima_data!$D$1:$D$768)</f>
        <v>0.656357680904634</v>
      </c>
      <c r="E573" s="5">
        <f>(pima_data!E573-AVERAGE(pima_data!$E$1:$E$768))/_xlfn.STDEV.P(pima_data!$E$1:$E$768)</f>
        <v>-0.310843151693561</v>
      </c>
      <c r="F573" s="5">
        <f>(pima_data!F573-AVERAGE(pima_data!$F$1:$F$768))/_xlfn.STDEV.P(pima_data!$F$1:$F$768)</f>
        <v>-0.3163561346198</v>
      </c>
      <c r="G573" s="5">
        <f>(pima_data!G573-AVERAGE(pima_data!$G$1:$G$768))/_xlfn.STDEV.P(pima_data!$G$1:$G$768)</f>
        <v>-0.126471402060475</v>
      </c>
      <c r="H573" s="5">
        <f>(pima_data!H573-AVERAGE(pima_data!$H$1:$H$768))/_xlfn.STDEV.P(pima_data!$H$1:$H$768)</f>
        <v>-0.956461683348801</v>
      </c>
    </row>
    <row r="574" spans="1:8">
      <c r="A574" s="5">
        <f>(pima_data!A574-AVERAGE(pima_data!$A$1:$A$768))/_xlfn.STDEV.P(pima_data!$A$1:$A$768)</f>
        <v>-0.547918590722547</v>
      </c>
      <c r="B574" s="5">
        <f>(pima_data!B574-AVERAGE(pima_data!$B$1:$B$768))/_xlfn.STDEV.P(pima_data!$B$1:$B$768)</f>
        <v>-0.716533471726466</v>
      </c>
      <c r="C574" s="5">
        <f>(pima_data!C574-AVERAGE(pima_data!$C$1:$C$768))/_xlfn.STDEV.P(pima_data!$C$1:$C$768)</f>
        <v>-0.470732246121934</v>
      </c>
      <c r="D574" s="5">
        <f>(pima_data!D574-AVERAGE(pima_data!$D$1:$D$768))/_xlfn.STDEV.P(pima_data!$D$1:$D$768)</f>
        <v>-0.221835174382402</v>
      </c>
      <c r="E574" s="5">
        <f>(pima_data!E574-AVERAGE(pima_data!$E$1:$E$768))/_xlfn.STDEV.P(pima_data!$E$1:$E$768)</f>
        <v>0.349056938437004</v>
      </c>
      <c r="F574" s="5">
        <f>(pima_data!F574-AVERAGE(pima_data!$F$1:$F$768))/_xlfn.STDEV.P(pima_data!$F$1:$F$768)</f>
        <v>0.343623941239598</v>
      </c>
      <c r="G574" s="5">
        <f>(pima_data!G574-AVERAGE(pima_data!$G$1:$G$768))/_xlfn.STDEV.P(pima_data!$G$1:$G$768)</f>
        <v>-0.827138935207064</v>
      </c>
      <c r="H574" s="5">
        <f>(pima_data!H574-AVERAGE(pima_data!$H$1:$H$768))/_xlfn.STDEV.P(pima_data!$H$1:$H$768)</f>
        <v>-0.956461683348801</v>
      </c>
    </row>
    <row r="575" spans="1:8">
      <c r="A575" s="5">
        <f>(pima_data!A575-AVERAGE(pima_data!$A$1:$A$768))/_xlfn.STDEV.P(pima_data!$A$1:$A$768)</f>
        <v>-0.844885053443025</v>
      </c>
      <c r="B575" s="5">
        <f>(pima_data!B575-AVERAGE(pima_data!$B$1:$B$768))/_xlfn.STDEV.P(pima_data!$B$1:$B$768)</f>
        <v>0.691838067991823</v>
      </c>
      <c r="C575" s="5">
        <f>(pima_data!C575-AVERAGE(pima_data!$C$1:$C$768))/_xlfn.STDEV.P(pima_data!$C$1:$C$768)</f>
        <v>0.87340925117004</v>
      </c>
      <c r="D575" s="5">
        <f>(pima_data!D575-AVERAGE(pima_data!$D$1:$D$768))/_xlfn.STDEV.P(pima_data!$D$1:$D$768)</f>
        <v>0.593629619812703</v>
      </c>
      <c r="E575" s="5">
        <f>(pima_data!E575-AVERAGE(pima_data!$E$1:$E$768))/_xlfn.STDEV.P(pima_data!$E$1:$E$768)</f>
        <v>2.17246508221883</v>
      </c>
      <c r="F575" s="5">
        <f>(pima_data!F575-AVERAGE(pima_data!$F$1:$F$768))/_xlfn.STDEV.P(pima_data!$F$1:$F$768)</f>
        <v>-0.240204587405254</v>
      </c>
      <c r="G575" s="5">
        <f>(pima_data!G575-AVERAGE(pima_data!$G$1:$G$768))/_xlfn.STDEV.P(pima_data!$G$1:$G$768)</f>
        <v>1.26882342687799</v>
      </c>
      <c r="H575" s="5">
        <f>(pima_data!H575-AVERAGE(pima_data!$H$1:$H$768))/_xlfn.STDEV.P(pima_data!$H$1:$H$768)</f>
        <v>-0.871373930214099</v>
      </c>
    </row>
    <row r="576" spans="1:8">
      <c r="A576" s="5">
        <f>(pima_data!A576-AVERAGE(pima_data!$A$1:$A$768))/_xlfn.STDEV.P(pima_data!$A$1:$A$768)</f>
        <v>-0.844885053443025</v>
      </c>
      <c r="B576" s="5">
        <f>(pima_data!B576-AVERAGE(pima_data!$B$1:$B$768))/_xlfn.STDEV.P(pima_data!$B$1:$B$768)</f>
        <v>-0.0592934198579315</v>
      </c>
      <c r="C576" s="5">
        <f>(pima_data!C576-AVERAGE(pima_data!$C$1:$C$768))/_xlfn.STDEV.P(pima_data!$C$1:$C$768)</f>
        <v>-1.29789624445546</v>
      </c>
      <c r="D576" s="5">
        <f>(pima_data!D576-AVERAGE(pima_data!$D$1:$D$768))/_xlfn.STDEV.P(pima_data!$D$1:$D$768)</f>
        <v>1.66000665837553</v>
      </c>
      <c r="E576" s="5">
        <f>(pima_data!E576-AVERAGE(pima_data!$E$1:$E$768))/_xlfn.STDEV.P(pima_data!$E$1:$E$768)</f>
        <v>-0.145868129160919</v>
      </c>
      <c r="F576" s="5">
        <f>(pima_data!F576-AVERAGE(pima_data!$F$1:$F$768))/_xlfn.STDEV.P(pima_data!$F$1:$F$768)</f>
        <v>0.445159337525659</v>
      </c>
      <c r="G576" s="5">
        <f>(pima_data!G576-AVERAGE(pima_data!$G$1:$G$768))/_xlfn.STDEV.P(pima_data!$G$1:$G$768)</f>
        <v>-0.579489203663873</v>
      </c>
      <c r="H576" s="5">
        <f>(pima_data!H576-AVERAGE(pima_data!$H$1:$H$768))/_xlfn.STDEV.P(pima_data!$H$1:$H$768)</f>
        <v>-0.701198423944696</v>
      </c>
    </row>
    <row r="577" spans="1:8">
      <c r="A577" s="5">
        <f>(pima_data!A577-AVERAGE(pima_data!$A$1:$A$768))/_xlfn.STDEV.P(pima_data!$A$1:$A$768)</f>
        <v>0.639947260159362</v>
      </c>
      <c r="B577" s="5">
        <f>(pima_data!B577-AVERAGE(pima_data!$B$1:$B$768))/_xlfn.STDEV.P(pima_data!$B$1:$B$768)</f>
        <v>-0.403562018455736</v>
      </c>
      <c r="C577" s="5">
        <f>(pima_data!C577-AVERAGE(pima_data!$C$1:$C$768))/_xlfn.STDEV.P(pima_data!$C$1:$C$768)</f>
        <v>-1.29789624445546</v>
      </c>
      <c r="D577" s="5">
        <f>(pima_data!D577-AVERAGE(pima_data!$D$1:$D$768))/_xlfn.STDEV.P(pima_data!$D$1:$D$768)</f>
        <v>-0.0336509911066088</v>
      </c>
      <c r="E577" s="5">
        <f>(pima_data!E577-AVERAGE(pima_data!$E$1:$E$768))/_xlfn.STDEV.P(pima_data!$E$1:$E$768)</f>
        <v>0.43588589766471</v>
      </c>
      <c r="F577" s="5">
        <f>(pima_data!F577-AVERAGE(pima_data!$F$1:$F$768))/_xlfn.STDEV.P(pima_data!$F$1:$F$768)</f>
        <v>-1.01441198408647</v>
      </c>
      <c r="G577" s="5">
        <f>(pima_data!G577-AVERAGE(pima_data!$G$1:$G$768))/_xlfn.STDEV.P(pima_data!$G$1:$G$768)</f>
        <v>1.03023405136687</v>
      </c>
      <c r="H577" s="5">
        <f>(pima_data!H577-AVERAGE(pima_data!$H$1:$H$768))/_xlfn.STDEV.P(pima_data!$H$1:$H$768)</f>
        <v>0.14967910740232</v>
      </c>
    </row>
    <row r="578" spans="1:8">
      <c r="A578" s="5">
        <f>(pima_data!A578-AVERAGE(pima_data!$A$1:$A$768))/_xlfn.STDEV.P(pima_data!$A$1:$A$768)</f>
        <v>-0.547918590722547</v>
      </c>
      <c r="B578" s="5">
        <f>(pima_data!B578-AVERAGE(pima_data!$B$1:$B$768))/_xlfn.STDEV.P(pima_data!$B$1:$B$768)</f>
        <v>-0.0905905651850046</v>
      </c>
      <c r="C578" s="5">
        <f>(pima_data!C578-AVERAGE(pima_data!$C$1:$C$768))/_xlfn.STDEV.P(pima_data!$C$1:$C$768)</f>
        <v>0.563222751794969</v>
      </c>
      <c r="D578" s="5">
        <f>(pima_data!D578-AVERAGE(pima_data!$D$1:$D$768))/_xlfn.STDEV.P(pima_data!$D$1:$D$768)</f>
        <v>-1.28821221294523</v>
      </c>
      <c r="E578" s="5">
        <f>(pima_data!E578-AVERAGE(pima_data!$E$1:$E$768))/_xlfn.STDEV.P(pima_data!$E$1:$E$768)</f>
        <v>-0.692890572295466</v>
      </c>
      <c r="F578" s="5">
        <f>(pima_data!F578-AVERAGE(pima_data!$F$1:$F$768))/_xlfn.STDEV.P(pima_data!$F$1:$F$768)</f>
        <v>1.38436175317173</v>
      </c>
      <c r="G578" s="5">
        <f>(pima_data!G578-AVERAGE(pima_data!$G$1:$G$768))/_xlfn.STDEV.P(pima_data!$G$1:$G$768)</f>
        <v>0.66781981008415</v>
      </c>
      <c r="H578" s="5">
        <f>(pima_data!H578-AVERAGE(pima_data!$H$1:$H$768))/_xlfn.STDEV.P(pima_data!$H$1:$H$768)</f>
        <v>-1.0415494364835</v>
      </c>
    </row>
    <row r="579" spans="1:8">
      <c r="A579" s="5">
        <f>(pima_data!A579-AVERAGE(pima_data!$A$1:$A$768))/_xlfn.STDEV.P(pima_data!$A$1:$A$768)</f>
        <v>1.82781311104127</v>
      </c>
      <c r="B579" s="5">
        <f>(pima_data!B579-AVERAGE(pima_data!$B$1:$B$768))/_xlfn.STDEV.P(pima_data!$B$1:$B$768)</f>
        <v>0.378866614721092</v>
      </c>
      <c r="C579" s="5">
        <f>(pima_data!C579-AVERAGE(pima_data!$C$1:$C$768))/_xlfn.STDEV.P(pima_data!$C$1:$C$768)</f>
        <v>-0.0571502469551726</v>
      </c>
      <c r="D579" s="5">
        <f>(pima_data!D579-AVERAGE(pima_data!$D$1:$D$768))/_xlfn.STDEV.P(pima_data!$D$1:$D$768)</f>
        <v>-1.28821221294523</v>
      </c>
      <c r="E579" s="5">
        <f>(pima_data!E579-AVERAGE(pima_data!$E$1:$E$768))/_xlfn.STDEV.P(pima_data!$E$1:$E$768)</f>
        <v>-0.692890572295466</v>
      </c>
      <c r="F579" s="5">
        <f>(pima_data!F579-AVERAGE(pima_data!$F$1:$F$768))/_xlfn.STDEV.P(pima_data!$F$1:$F$768)</f>
        <v>-0.633654248013741</v>
      </c>
      <c r="G579" s="5">
        <f>(pima_data!G579-AVERAGE(pima_data!$G$1:$G$768))/_xlfn.STDEV.P(pima_data!$G$1:$G$768)</f>
        <v>-0.685193357371333</v>
      </c>
      <c r="H579" s="5">
        <f>(pima_data!H579-AVERAGE(pima_data!$H$1:$H$768))/_xlfn.STDEV.P(pima_data!$H$1:$H$768)</f>
        <v>0.234766860537022</v>
      </c>
    </row>
    <row r="580" spans="1:8">
      <c r="A580" s="5">
        <f>(pima_data!A580-AVERAGE(pima_data!$A$1:$A$768))/_xlfn.STDEV.P(pima_data!$A$1:$A$768)</f>
        <v>-0.547918590722547</v>
      </c>
      <c r="B580" s="5">
        <f>(pima_data!B580-AVERAGE(pima_data!$B$1:$B$768))/_xlfn.STDEV.P(pima_data!$B$1:$B$768)</f>
        <v>2.38188391565377</v>
      </c>
      <c r="C580" s="5">
        <f>(pima_data!C580-AVERAGE(pima_data!$C$1:$C$768))/_xlfn.STDEV.P(pima_data!$C$1:$C$768)</f>
        <v>0.0462452528365177</v>
      </c>
      <c r="D580" s="5">
        <f>(pima_data!D580-AVERAGE(pima_data!$D$1:$D$768))/_xlfn.STDEV.P(pima_data!$D$1:$D$768)</f>
        <v>4.92186583515596</v>
      </c>
      <c r="E580" s="5">
        <f>(pima_data!E580-AVERAGE(pima_data!$E$1:$E$768))/_xlfn.STDEV.P(pima_data!$E$1:$E$768)</f>
        <v>-0.692890572295466</v>
      </c>
      <c r="F580" s="5">
        <f>(pima_data!F580-AVERAGE(pima_data!$F$1:$F$768))/_xlfn.STDEV.P(pima_data!$F$1:$F$768)</f>
        <v>0.343623941239598</v>
      </c>
      <c r="G580" s="5">
        <f>(pima_data!G580-AVERAGE(pima_data!$G$1:$G$768))/_xlfn.STDEV.P(pima_data!$G$1:$G$768)</f>
        <v>0.311445806156144</v>
      </c>
      <c r="H580" s="5">
        <f>(pima_data!H580-AVERAGE(pima_data!$H$1:$H$768))/_xlfn.STDEV.P(pima_data!$H$1:$H$768)</f>
        <v>2.44704844203926</v>
      </c>
    </row>
    <row r="581" spans="1:8">
      <c r="A581" s="5">
        <f>(pima_data!A581-AVERAGE(pima_data!$A$1:$A$768))/_xlfn.STDEV.P(pima_data!$A$1:$A$768)</f>
        <v>-1.1418515161635</v>
      </c>
      <c r="B581" s="5">
        <f>(pima_data!B581-AVERAGE(pima_data!$B$1:$B$768))/_xlfn.STDEV.P(pima_data!$B$1:$B$768)</f>
        <v>0.942215230608408</v>
      </c>
      <c r="C581" s="5">
        <f>(pima_data!C581-AVERAGE(pima_data!$C$1:$C$768))/_xlfn.STDEV.P(pima_data!$C$1:$C$768)</f>
        <v>1.08020025075342</v>
      </c>
      <c r="D581" s="5">
        <f>(pima_data!D581-AVERAGE(pima_data!$D$1:$D$768))/_xlfn.STDEV.P(pima_data!$D$1:$D$768)</f>
        <v>1.5972785972836</v>
      </c>
      <c r="E581" s="5">
        <f>(pima_data!E581-AVERAGE(pima_data!$E$1:$E$768))/_xlfn.STDEV.P(pima_data!$E$1:$E$768)</f>
        <v>-0.692890572295466</v>
      </c>
      <c r="F581" s="5">
        <f>(pima_data!F581-AVERAGE(pima_data!$F$1:$F$768))/_xlfn.STDEV.P(pima_data!$F$1:$F$768)</f>
        <v>1.28282635688566</v>
      </c>
      <c r="G581" s="5">
        <f>(pima_data!G581-AVERAGE(pima_data!$G$1:$G$768))/_xlfn.STDEV.P(pima_data!$G$1:$G$768)</f>
        <v>-0.304658404024478</v>
      </c>
      <c r="H581" s="5">
        <f>(pima_data!H581-AVERAGE(pima_data!$H$1:$H$768))/_xlfn.STDEV.P(pima_data!$H$1:$H$768)</f>
        <v>-1.0415494364835</v>
      </c>
    </row>
    <row r="582" spans="1:8">
      <c r="A582" s="5">
        <f>(pima_data!A582-AVERAGE(pima_data!$A$1:$A$768))/_xlfn.STDEV.P(pima_data!$A$1:$A$768)</f>
        <v>0.639947260159362</v>
      </c>
      <c r="B582" s="5">
        <f>(pima_data!B582-AVERAGE(pima_data!$B$1:$B$768))/_xlfn.STDEV.P(pima_data!$B$1:$B$768)</f>
        <v>-0.372264873128662</v>
      </c>
      <c r="C582" s="5">
        <f>(pima_data!C582-AVERAGE(pima_data!$C$1:$C$768))/_xlfn.STDEV.P(pima_data!$C$1:$C$768)</f>
        <v>-0.470732246121934</v>
      </c>
      <c r="D582" s="5">
        <f>(pima_data!D582-AVERAGE(pima_data!$D$1:$D$768))/_xlfn.STDEV.P(pima_data!$D$1:$D$768)</f>
        <v>0.40544543653691</v>
      </c>
      <c r="E582" s="5">
        <f>(pima_data!E582-AVERAGE(pima_data!$E$1:$E$768))/_xlfn.STDEV.P(pima_data!$E$1:$E$768)</f>
        <v>-0.692890572295466</v>
      </c>
      <c r="F582" s="5">
        <f>(pima_data!F582-AVERAGE(pima_data!$F$1:$F$768))/_xlfn.STDEV.P(pima_data!$F$1:$F$768)</f>
        <v>-0.887492738728894</v>
      </c>
      <c r="G582" s="5">
        <f>(pima_data!G582-AVERAGE(pima_data!$G$1:$G$768))/_xlfn.STDEV.P(pima_data!$G$1:$G$768)</f>
        <v>-0.802977985788216</v>
      </c>
      <c r="H582" s="5">
        <f>(pima_data!H582-AVERAGE(pima_data!$H$1:$H$768))/_xlfn.STDEV.P(pima_data!$H$1:$H$768)</f>
        <v>-0.531022917675293</v>
      </c>
    </row>
    <row r="583" spans="1:8">
      <c r="A583" s="5">
        <f>(pima_data!A583-AVERAGE(pima_data!$A$1:$A$768))/_xlfn.STDEV.P(pima_data!$A$1:$A$768)</f>
        <v>2.42174603648223</v>
      </c>
      <c r="B583" s="5">
        <f>(pima_data!B583-AVERAGE(pima_data!$B$1:$B$768))/_xlfn.STDEV.P(pima_data!$B$1:$B$768)</f>
        <v>0.00330087079621474</v>
      </c>
      <c r="C583" s="5">
        <f>(pima_data!C583-AVERAGE(pima_data!$C$1:$C$768))/_xlfn.STDEV.P(pima_data!$C$1:$C$768)</f>
        <v>0.459827252003279</v>
      </c>
      <c r="D583" s="5">
        <f>(pima_data!D583-AVERAGE(pima_data!$D$1:$D$768))/_xlfn.STDEV.P(pima_data!$D$1:$D$768)</f>
        <v>-0.221835174382402</v>
      </c>
      <c r="E583" s="5">
        <f>(pima_data!E583-AVERAGE(pima_data!$E$1:$E$768))/_xlfn.STDEV.P(pima_data!$E$1:$E$768)</f>
        <v>-0.692890572295466</v>
      </c>
      <c r="F583" s="5">
        <f>(pima_data!F583-AVERAGE(pima_data!$F$1:$F$768))/_xlfn.STDEV.P(pima_data!$F$1:$F$768)</f>
        <v>-0.69711387069253</v>
      </c>
      <c r="G583" s="5">
        <f>(pima_data!G583-AVERAGE(pima_data!$G$1:$G$768))/_xlfn.STDEV.P(pima_data!$G$1:$G$768)</f>
        <v>-0.642911695888349</v>
      </c>
      <c r="H583" s="5">
        <f>(pima_data!H583-AVERAGE(pima_data!$H$1:$H$768))/_xlfn.STDEV.P(pima_data!$H$1:$H$768)</f>
        <v>2.44704844203926</v>
      </c>
    </row>
    <row r="584" spans="1:8">
      <c r="A584" s="5">
        <f>(pima_data!A584-AVERAGE(pima_data!$A$1:$A$768))/_xlfn.STDEV.P(pima_data!$A$1:$A$768)</f>
        <v>1.23388018560032</v>
      </c>
      <c r="B584" s="5">
        <f>(pima_data!B584-AVERAGE(pima_data!$B$1:$B$768))/_xlfn.STDEV.P(pima_data!$B$1:$B$768)</f>
        <v>-0.65393918107232</v>
      </c>
      <c r="C584" s="5">
        <f>(pima_data!C584-AVERAGE(pima_data!$C$1:$C$768))/_xlfn.STDEV.P(pima_data!$C$1:$C$768)</f>
        <v>0.356431752211589</v>
      </c>
      <c r="D584" s="5">
        <f>(pima_data!D584-AVERAGE(pima_data!$D$1:$D$768))/_xlfn.STDEV.P(pima_data!$D$1:$D$768)</f>
        <v>-1.28821221294523</v>
      </c>
      <c r="E584" s="5">
        <f>(pima_data!E584-AVERAGE(pima_data!$E$1:$E$768))/_xlfn.STDEV.P(pima_data!$E$1:$E$768)</f>
        <v>-0.692890572295466</v>
      </c>
      <c r="F584" s="5">
        <f>(pima_data!F584-AVERAGE(pima_data!$F$1:$F$768))/_xlfn.STDEV.P(pima_data!$F$1:$F$768)</f>
        <v>0.851300922669904</v>
      </c>
      <c r="G584" s="5">
        <f>(pima_data!G584-AVERAGE(pima_data!$G$1:$G$768))/_xlfn.STDEV.P(pima_data!$G$1:$G$768)</f>
        <v>-0.851299884625912</v>
      </c>
      <c r="H584" s="5">
        <f>(pima_data!H584-AVERAGE(pima_data!$H$1:$H$768))/_xlfn.STDEV.P(pima_data!$H$1:$H$768)</f>
        <v>0.745293379345232</v>
      </c>
    </row>
    <row r="585" spans="1:8">
      <c r="A585" s="5">
        <f>(pima_data!A585-AVERAGE(pima_data!$A$1:$A$768))/_xlfn.STDEV.P(pima_data!$A$1:$A$768)</f>
        <v>1.23388018560032</v>
      </c>
      <c r="B585" s="5">
        <f>(pima_data!B585-AVERAGE(pima_data!$B$1:$B$768))/_xlfn.STDEV.P(pima_data!$B$1:$B$768)</f>
        <v>0.097192306777434</v>
      </c>
      <c r="C585" s="5">
        <f>(pima_data!C585-AVERAGE(pima_data!$C$1:$C$768))/_xlfn.STDEV.P(pima_data!$C$1:$C$768)</f>
        <v>0.356431752211589</v>
      </c>
      <c r="D585" s="5">
        <f>(pima_data!D585-AVERAGE(pima_data!$D$1:$D$768))/_xlfn.STDEV.P(pima_data!$D$1:$D$768)</f>
        <v>0.217261253261116</v>
      </c>
      <c r="E585" s="5">
        <f>(pima_data!E585-AVERAGE(pima_data!$E$1:$E$768))/_xlfn.STDEV.P(pima_data!$E$1:$E$768)</f>
        <v>4.51684698136689</v>
      </c>
      <c r="F585" s="5">
        <f>(pima_data!F585-AVERAGE(pima_data!$F$1:$F$768))/_xlfn.STDEV.P(pima_data!$F$1:$F$768)</f>
        <v>-0.417891530905861</v>
      </c>
      <c r="G585" s="5">
        <f>(pima_data!G585-AVERAGE(pima_data!$G$1:$G$768))/_xlfn.STDEV.P(pima_data!$G$1:$G$768)</f>
        <v>0.649699098020015</v>
      </c>
      <c r="H585" s="5">
        <f>(pima_data!H585-AVERAGE(pima_data!$H$1:$H$768))/_xlfn.STDEV.P(pima_data!$H$1:$H$768)</f>
        <v>1.59617091069225</v>
      </c>
    </row>
    <row r="586" spans="1:8">
      <c r="A586" s="5">
        <f>(pima_data!A586-AVERAGE(pima_data!$A$1:$A$768))/_xlfn.STDEV.P(pima_data!$A$1:$A$768)</f>
        <v>-0.844885053443025</v>
      </c>
      <c r="B586" s="5">
        <f>(pima_data!B586-AVERAGE(pima_data!$B$1:$B$768))/_xlfn.STDEV.P(pima_data!$B$1:$B$768)</f>
        <v>-0.873019198361832</v>
      </c>
      <c r="C586" s="5">
        <f>(pima_data!C586-AVERAGE(pima_data!$C$1:$C$768))/_xlfn.STDEV.P(pima_data!$C$1:$C$768)</f>
        <v>-0.677523245705314</v>
      </c>
      <c r="D586" s="5">
        <f>(pima_data!D586-AVERAGE(pima_data!$D$1:$D$768))/_xlfn.STDEV.P(pima_data!$D$1:$D$768)</f>
        <v>-0.59820354093399</v>
      </c>
      <c r="E586" s="5">
        <f>(pima_data!E586-AVERAGE(pima_data!$E$1:$E$768))/_xlfn.STDEV.P(pima_data!$E$1:$E$768)</f>
        <v>-0.692890572295466</v>
      </c>
      <c r="F586" s="5">
        <f>(pima_data!F586-AVERAGE(pima_data!$F$1:$F$768))/_xlfn.STDEV.P(pima_data!$F$1:$F$768)</f>
        <v>-1.20479085212284</v>
      </c>
      <c r="G586" s="5">
        <f>(pima_data!G586-AVERAGE(pima_data!$G$1:$G$768))/_xlfn.STDEV.P(pima_data!$G$1:$G$768)</f>
        <v>-0.165732944866103</v>
      </c>
      <c r="H586" s="5">
        <f>(pima_data!H586-AVERAGE(pima_data!$H$1:$H$768))/_xlfn.STDEV.P(pima_data!$H$1:$H$768)</f>
        <v>-0.956461683348801</v>
      </c>
    </row>
    <row r="587" spans="1:8">
      <c r="A587" s="5">
        <f>(pima_data!A587-AVERAGE(pima_data!$A$1:$A$768))/_xlfn.STDEV.P(pima_data!$A$1:$A$768)</f>
        <v>1.23388018560032</v>
      </c>
      <c r="B587" s="5">
        <f>(pima_data!B587-AVERAGE(pima_data!$B$1:$B$768))/_xlfn.STDEV.P(pima_data!$B$1:$B$768)</f>
        <v>0.691838067991823</v>
      </c>
      <c r="C587" s="5">
        <f>(pima_data!C587-AVERAGE(pima_data!$C$1:$C$768))/_xlfn.STDEV.P(pima_data!$C$1:$C$768)</f>
        <v>-0.160545746746863</v>
      </c>
      <c r="D587" s="5">
        <f>(pima_data!D587-AVERAGE(pima_data!$D$1:$D$768))/_xlfn.STDEV.P(pima_data!$D$1:$D$768)</f>
        <v>-1.28821221294523</v>
      </c>
      <c r="E587" s="5">
        <f>(pima_data!E587-AVERAGE(pima_data!$E$1:$E$768))/_xlfn.STDEV.P(pima_data!$E$1:$E$768)</f>
        <v>-0.692890572295466</v>
      </c>
      <c r="F587" s="5">
        <f>(pima_data!F587-AVERAGE(pima_data!$F$1:$F$768))/_xlfn.STDEV.P(pima_data!$F$1:$F$768)</f>
        <v>0.369007790311113</v>
      </c>
      <c r="G587" s="5">
        <f>(pima_data!G587-AVERAGE(pima_data!$G$1:$G$768))/_xlfn.STDEV.P(pima_data!$G$1:$G$768)</f>
        <v>-1.03552712394463</v>
      </c>
      <c r="H587" s="5">
        <f>(pima_data!H587-AVERAGE(pima_data!$H$1:$H$768))/_xlfn.STDEV.P(pima_data!$H$1:$H$768)</f>
        <v>0.66020562621053</v>
      </c>
    </row>
    <row r="588" spans="1:8">
      <c r="A588" s="5">
        <f>(pima_data!A588-AVERAGE(pima_data!$A$1:$A$768))/_xlfn.STDEV.P(pima_data!$A$1:$A$768)</f>
        <v>0.639947260159362</v>
      </c>
      <c r="B588" s="5">
        <f>(pima_data!B588-AVERAGE(pima_data!$B$1:$B$768))/_xlfn.STDEV.P(pima_data!$B$1:$B$768)</f>
        <v>-0.560047745091101</v>
      </c>
      <c r="C588" s="5">
        <f>(pima_data!C588-AVERAGE(pima_data!$C$1:$C$768))/_xlfn.STDEV.P(pima_data!$C$1:$C$768)</f>
        <v>-0.160545746746863</v>
      </c>
      <c r="D588" s="5">
        <f>(pima_data!D588-AVERAGE(pima_data!$D$1:$D$768))/_xlfn.STDEV.P(pima_data!$D$1:$D$768)</f>
        <v>-1.28821221294523</v>
      </c>
      <c r="E588" s="5">
        <f>(pima_data!E588-AVERAGE(pima_data!$E$1:$E$768))/_xlfn.STDEV.P(pima_data!$E$1:$E$768)</f>
        <v>-0.692890572295466</v>
      </c>
      <c r="F588" s="5">
        <f>(pima_data!F588-AVERAGE(pima_data!$F$1:$F$768))/_xlfn.STDEV.P(pima_data!$F$1:$F$768)</f>
        <v>-0.976336210479198</v>
      </c>
      <c r="G588" s="5">
        <f>(pima_data!G588-AVERAGE(pima_data!$G$1:$G$768))/_xlfn.STDEV.P(pima_data!$G$1:$G$768)</f>
        <v>-0.673112882661909</v>
      </c>
      <c r="H588" s="5">
        <f>(pima_data!H588-AVERAGE(pima_data!$H$1:$H$768))/_xlfn.STDEV.P(pima_data!$H$1:$H$768)</f>
        <v>-0.360847411405889</v>
      </c>
    </row>
    <row r="589" spans="1:8">
      <c r="A589" s="5">
        <f>(pima_data!A589-AVERAGE(pima_data!$A$1:$A$768))/_xlfn.STDEV.P(pima_data!$A$1:$A$768)</f>
        <v>-0.25095212800207</v>
      </c>
      <c r="B589" s="5">
        <f>(pima_data!B589-AVERAGE(pima_data!$B$1:$B$768))/_xlfn.STDEV.P(pima_data!$B$1:$B$768)</f>
        <v>1.72464386378524</v>
      </c>
      <c r="C589" s="5">
        <f>(pima_data!C589-AVERAGE(pima_data!$C$1:$C$768))/_xlfn.STDEV.P(pima_data!$C$1:$C$768)</f>
        <v>0.87340925117004</v>
      </c>
      <c r="D589" s="5">
        <f>(pima_data!D589-AVERAGE(pima_data!$D$1:$D$768))/_xlfn.STDEV.P(pima_data!$D$1:$D$768)</f>
        <v>0.40544543653691</v>
      </c>
      <c r="E589" s="5">
        <f>(pima_data!E589-AVERAGE(pima_data!$E$1:$E$768))/_xlfn.STDEV.P(pima_data!$E$1:$E$768)</f>
        <v>0.661641191656745</v>
      </c>
      <c r="F589" s="5">
        <f>(pima_data!F589-AVERAGE(pima_data!$F$1:$F$768))/_xlfn.STDEV.P(pima_data!$F$1:$F$768)</f>
        <v>0.16593699773899</v>
      </c>
      <c r="G589" s="5">
        <f>(pima_data!G589-AVERAGE(pima_data!$G$1:$G$768))/_xlfn.STDEV.P(pima_data!$G$1:$G$768)</f>
        <v>2.06009452034526</v>
      </c>
      <c r="H589" s="5">
        <f>(pima_data!H589-AVERAGE(pima_data!$H$1:$H$768))/_xlfn.STDEV.P(pima_data!$H$1:$H$768)</f>
        <v>1.59617091069225</v>
      </c>
    </row>
    <row r="590" spans="1:8">
      <c r="A590" s="5">
        <f>(pima_data!A590-AVERAGE(pima_data!$A$1:$A$768))/_xlfn.STDEV.P(pima_data!$A$1:$A$768)</f>
        <v>-1.1418515161635</v>
      </c>
      <c r="B590" s="5">
        <f>(pima_data!B590-AVERAGE(pima_data!$B$1:$B$768))/_xlfn.STDEV.P(pima_data!$B$1:$B$768)</f>
        <v>-1.49896210490329</v>
      </c>
      <c r="C590" s="5">
        <f>(pima_data!C590-AVERAGE(pima_data!$C$1:$C$768))/_xlfn.STDEV.P(pima_data!$C$1:$C$768)</f>
        <v>-3.57259723987264</v>
      </c>
      <c r="D590" s="5">
        <f>(pima_data!D590-AVERAGE(pima_data!$D$1:$D$768))/_xlfn.STDEV.P(pima_data!$D$1:$D$768)</f>
        <v>-1.28821221294523</v>
      </c>
      <c r="E590" s="5">
        <f>(pima_data!E590-AVERAGE(pima_data!$E$1:$E$768))/_xlfn.STDEV.P(pima_data!$E$1:$E$768)</f>
        <v>-0.692890572295466</v>
      </c>
      <c r="F590" s="5">
        <f>(pima_data!F590-AVERAGE(pima_data!$F$1:$F$768))/_xlfn.STDEV.P(pima_data!$F$1:$F$768)</f>
        <v>-1.38247779562344</v>
      </c>
      <c r="G590" s="5">
        <f>(pima_data!G590-AVERAGE(pima_data!$G$1:$G$768))/_xlfn.STDEV.P(pima_data!$G$1:$G$768)</f>
        <v>-0.392241845667802</v>
      </c>
      <c r="H590" s="5">
        <f>(pima_data!H590-AVERAGE(pima_data!$H$1:$H$768))/_xlfn.STDEV.P(pima_data!$H$1:$H$768)</f>
        <v>-0.701198423944696</v>
      </c>
    </row>
    <row r="591" spans="1:8">
      <c r="A591" s="5">
        <f>(pima_data!A591-AVERAGE(pima_data!$A$1:$A$768))/_xlfn.STDEV.P(pima_data!$A$1:$A$768)</f>
        <v>2.12477957376175</v>
      </c>
      <c r="B591" s="5">
        <f>(pima_data!B591-AVERAGE(pima_data!$B$1:$B$768))/_xlfn.STDEV.P(pima_data!$B$1:$B$768)</f>
        <v>-0.309670582474516</v>
      </c>
      <c r="C591" s="5">
        <f>(pima_data!C591-AVERAGE(pima_data!$C$1:$C$768))/_xlfn.STDEV.P(pima_data!$C$1:$C$768)</f>
        <v>0.77001375137835</v>
      </c>
      <c r="D591" s="5">
        <f>(pima_data!D591-AVERAGE(pima_data!$D$1:$D$768))/_xlfn.STDEV.P(pima_data!$D$1:$D$768)</f>
        <v>1.22091023073201</v>
      </c>
      <c r="E591" s="5">
        <f>(pima_data!E591-AVERAGE(pima_data!$E$1:$E$768))/_xlfn.STDEV.P(pima_data!$E$1:$E$768)</f>
        <v>-0.692890572295466</v>
      </c>
      <c r="F591" s="5">
        <f>(pima_data!F591-AVERAGE(pima_data!$F$1:$F$768))/_xlfn.STDEV.P(pima_data!$F$1:$F$768)</f>
        <v>1.87934681006627</v>
      </c>
      <c r="G591" s="5">
        <f>(pima_data!G591-AVERAGE(pima_data!$G$1:$G$768))/_xlfn.STDEV.P(pima_data!$G$1:$G$768)</f>
        <v>1.36848734323074</v>
      </c>
      <c r="H591" s="5">
        <f>(pima_data!H591-AVERAGE(pima_data!$H$1:$H$768))/_xlfn.STDEV.P(pima_data!$H$1:$H$768)</f>
        <v>1.00055663874934</v>
      </c>
    </row>
    <row r="592" spans="1:8">
      <c r="A592" s="5">
        <f>(pima_data!A592-AVERAGE(pima_data!$A$1:$A$768))/_xlfn.STDEV.P(pima_data!$A$1:$A$768)</f>
        <v>-0.547918590722547</v>
      </c>
      <c r="B592" s="5">
        <f>(pima_data!B592-AVERAGE(pima_data!$B$1:$B$768))/_xlfn.STDEV.P(pima_data!$B$1:$B$768)</f>
        <v>-0.278373437147443</v>
      </c>
      <c r="C592" s="5">
        <f>(pima_data!C592-AVERAGE(pima_data!$C$1:$C$768))/_xlfn.STDEV.P(pima_data!$C$1:$C$768)</f>
        <v>0.459827252003279</v>
      </c>
      <c r="D592" s="5">
        <f>(pima_data!D592-AVERAGE(pima_data!$D$1:$D$768))/_xlfn.STDEV.P(pima_data!$D$1:$D$768)</f>
        <v>1.84819084165133</v>
      </c>
      <c r="E592" s="5">
        <f>(pima_data!E592-AVERAGE(pima_data!$E$1:$E$768))/_xlfn.STDEV.P(pima_data!$E$1:$E$768)</f>
        <v>0.522714856892416</v>
      </c>
      <c r="F592" s="5">
        <f>(pima_data!F592-AVERAGE(pima_data!$F$1:$F$768))/_xlfn.STDEV.P(pima_data!$F$1:$F$768)</f>
        <v>0.940144394420207</v>
      </c>
      <c r="G592" s="5">
        <f>(pima_data!G592-AVERAGE(pima_data!$G$1:$G$768))/_xlfn.STDEV.P(pima_data!$G$1:$G$768)</f>
        <v>-0.896601664786252</v>
      </c>
      <c r="H592" s="5">
        <f>(pima_data!H592-AVERAGE(pima_data!$H$1:$H$768))/_xlfn.STDEV.P(pima_data!$H$1:$H$768)</f>
        <v>-0.786286177079398</v>
      </c>
    </row>
    <row r="593" spans="1:8">
      <c r="A593" s="5">
        <f>(pima_data!A593-AVERAGE(pima_data!$A$1:$A$768))/_xlfn.STDEV.P(pima_data!$A$1:$A$768)</f>
        <v>-0.25095212800207</v>
      </c>
      <c r="B593" s="5">
        <f>(pima_data!B593-AVERAGE(pima_data!$B$1:$B$768))/_xlfn.STDEV.P(pima_data!$B$1:$B$768)</f>
        <v>0.347569469394019</v>
      </c>
      <c r="C593" s="5">
        <f>(pima_data!C593-AVERAGE(pima_data!$C$1:$C$768))/_xlfn.STDEV.P(pima_data!$C$1:$C$768)</f>
        <v>0.563222751794969</v>
      </c>
      <c r="D593" s="5">
        <f>(pima_data!D593-AVERAGE(pima_data!$D$1:$D$768))/_xlfn.STDEV.P(pima_data!$D$1:$D$768)</f>
        <v>-1.28821221294523</v>
      </c>
      <c r="E593" s="5">
        <f>(pima_data!E593-AVERAGE(pima_data!$E$1:$E$768))/_xlfn.STDEV.P(pima_data!$E$1:$E$768)</f>
        <v>-0.692890572295466</v>
      </c>
      <c r="F593" s="5">
        <f>(pima_data!F593-AVERAGE(pima_data!$F$1:$F$768))/_xlfn.STDEV.P(pima_data!$F$1:$F$768)</f>
        <v>0.305548167632325</v>
      </c>
      <c r="G593" s="5">
        <f>(pima_data!G593-AVERAGE(pima_data!$G$1:$G$768))/_xlfn.STDEV.P(pima_data!$G$1:$G$768)</f>
        <v>-0.211034725026442</v>
      </c>
      <c r="H593" s="5">
        <f>(pima_data!H593-AVERAGE(pima_data!$H$1:$H$768))/_xlfn.STDEV.P(pima_data!$H$1:$H$768)</f>
        <v>0.915468885614635</v>
      </c>
    </row>
    <row r="594" spans="1:8">
      <c r="A594" s="5">
        <f>(pima_data!A594-AVERAGE(pima_data!$A$1:$A$768))/_xlfn.STDEV.P(pima_data!$A$1:$A$768)</f>
        <v>-0.547918590722547</v>
      </c>
      <c r="B594" s="5">
        <f>(pima_data!B594-AVERAGE(pima_data!$B$1:$B$768))/_xlfn.STDEV.P(pima_data!$B$1:$B$768)</f>
        <v>-1.21728779695964</v>
      </c>
      <c r="C594" s="5">
        <f>(pima_data!C594-AVERAGE(pima_data!$C$1:$C$768))/_xlfn.STDEV.P(pima_data!$C$1:$C$768)</f>
        <v>-0.884314245288695</v>
      </c>
      <c r="D594" s="5">
        <f>(pima_data!D594-AVERAGE(pima_data!$D$1:$D$768))/_xlfn.STDEV.P(pima_data!$D$1:$D$768)</f>
        <v>0.0918051310772535</v>
      </c>
      <c r="E594" s="5">
        <f>(pima_data!E594-AVERAGE(pima_data!$E$1:$E$768))/_xlfn.STDEV.P(pima_data!$E$1:$E$768)</f>
        <v>0.305642458823151</v>
      </c>
      <c r="F594" s="5">
        <f>(pima_data!F594-AVERAGE(pima_data!$F$1:$F$768))/_xlfn.STDEV.P(pima_data!$F$1:$F$768)</f>
        <v>-0.443275379977377</v>
      </c>
      <c r="G594" s="5">
        <f>(pima_data!G594-AVERAGE(pima_data!$G$1:$G$768))/_xlfn.STDEV.P(pima_data!$G$1:$G$768)</f>
        <v>3.70605919950428</v>
      </c>
      <c r="H594" s="5">
        <f>(pima_data!H594-AVERAGE(pima_data!$H$1:$H$768))/_xlfn.STDEV.P(pima_data!$H$1:$H$768)</f>
        <v>-0.701198423944696</v>
      </c>
    </row>
    <row r="595" spans="1:8">
      <c r="A595" s="5">
        <f>(pima_data!A595-AVERAGE(pima_data!$A$1:$A$768))/_xlfn.STDEV.P(pima_data!$A$1:$A$768)</f>
        <v>0.639947260159362</v>
      </c>
      <c r="B595" s="5">
        <f>(pima_data!B595-AVERAGE(pima_data!$B$1:$B$768))/_xlfn.STDEV.P(pima_data!$B$1:$B$768)</f>
        <v>0.0658951614503609</v>
      </c>
      <c r="C595" s="5">
        <f>(pima_data!C595-AVERAGE(pima_data!$C$1:$C$768))/_xlfn.STDEV.P(pima_data!$C$1:$C$768)</f>
        <v>0.149640752628208</v>
      </c>
      <c r="D595" s="5">
        <f>(pima_data!D595-AVERAGE(pima_data!$D$1:$D$768))/_xlfn.STDEV.P(pima_data!$D$1:$D$768)</f>
        <v>1.53455053619167</v>
      </c>
      <c r="E595" s="5">
        <f>(pima_data!E595-AVERAGE(pima_data!$E$1:$E$768))/_xlfn.STDEV.P(pima_data!$E$1:$E$768)</f>
        <v>1.30417548994177</v>
      </c>
      <c r="F595" s="5">
        <f>(pima_data!F595-AVERAGE(pima_data!$F$1:$F$768))/_xlfn.STDEV.P(pima_data!$F$1:$F$768)</f>
        <v>0.204012771346264</v>
      </c>
      <c r="G595" s="5">
        <f>(pima_data!G595-AVERAGE(pima_data!$G$1:$G$768))/_xlfn.STDEV.P(pima_data!$G$1:$G$768)</f>
        <v>0.78862455717839</v>
      </c>
      <c r="H595" s="5">
        <f>(pima_data!H595-AVERAGE(pima_data!$H$1:$H$768))/_xlfn.STDEV.P(pima_data!$H$1:$H$768)</f>
        <v>0.0645913542676188</v>
      </c>
    </row>
    <row r="596" spans="1:8">
      <c r="A596" s="5">
        <f>(pima_data!A596-AVERAGE(pima_data!$A$1:$A$768))/_xlfn.STDEV.P(pima_data!$A$1:$A$768)</f>
        <v>-1.1418515161635</v>
      </c>
      <c r="B596" s="5">
        <f>(pima_data!B596-AVERAGE(pima_data!$B$1:$B$768))/_xlfn.STDEV.P(pima_data!$B$1:$B$768)</f>
        <v>2.10020960771011</v>
      </c>
      <c r="C596" s="5">
        <f>(pima_data!C596-AVERAGE(pima_data!$C$1:$C$768))/_xlfn.STDEV.P(pima_data!$C$1:$C$768)</f>
        <v>0.666618251586659</v>
      </c>
      <c r="D596" s="5">
        <f>(pima_data!D596-AVERAGE(pima_data!$D$1:$D$768))/_xlfn.STDEV.P(pima_data!$D$1:$D$768)</f>
        <v>-0.410019357658196</v>
      </c>
      <c r="E596" s="5">
        <f>(pima_data!E596-AVERAGE(pima_data!$E$1:$E$768))/_xlfn.STDEV.P(pima_data!$E$1:$E$768)</f>
        <v>0.913445173417092</v>
      </c>
      <c r="F596" s="5">
        <f>(pima_data!F596-AVERAGE(pima_data!$F$1:$F$768))/_xlfn.STDEV.P(pima_data!$F$1:$F$768)</f>
        <v>0.000941978774141239</v>
      </c>
      <c r="G596" s="5">
        <f>(pima_data!G596-AVERAGE(pima_data!$G$1:$G$768))/_xlfn.STDEV.P(pima_data!$G$1:$G$768)</f>
        <v>0.634598504633235</v>
      </c>
      <c r="H596" s="5">
        <f>(pima_data!H596-AVERAGE(pima_data!$H$1:$H$768))/_xlfn.STDEV.P(pima_data!$H$1:$H$768)</f>
        <v>-0.956461683348801</v>
      </c>
    </row>
    <row r="597" spans="1:8">
      <c r="A597" s="5">
        <f>(pima_data!A597-AVERAGE(pima_data!$A$1:$A$768))/_xlfn.STDEV.P(pima_data!$A$1:$A$768)</f>
        <v>-1.1418515161635</v>
      </c>
      <c r="B597" s="5">
        <f>(pima_data!B597-AVERAGE(pima_data!$B$1:$B$768))/_xlfn.STDEV.P(pima_data!$B$1:$B$768)</f>
        <v>-1.68674497686573</v>
      </c>
      <c r="C597" s="5">
        <f>(pima_data!C597-AVERAGE(pima_data!$C$1:$C$768))/_xlfn.STDEV.P(pima_data!$C$1:$C$768)</f>
        <v>0.356431752211589</v>
      </c>
      <c r="D597" s="5">
        <f>(pima_data!D597-AVERAGE(pima_data!$D$1:$D$768))/_xlfn.STDEV.P(pima_data!$D$1:$D$768)</f>
        <v>-1.28821221294523</v>
      </c>
      <c r="E597" s="5">
        <f>(pima_data!E597-AVERAGE(pima_data!$E$1:$E$768))/_xlfn.STDEV.P(pima_data!$E$1:$E$768)</f>
        <v>-0.692890572295466</v>
      </c>
      <c r="F597" s="5">
        <f>(pima_data!F597-AVERAGE(pima_data!$F$1:$F$768))/_xlfn.STDEV.P(pima_data!$F$1:$F$768)</f>
        <v>1.68896794202991</v>
      </c>
      <c r="G597" s="5">
        <f>(pima_data!G597-AVERAGE(pima_data!$G$1:$G$768))/_xlfn.STDEV.P(pima_data!$G$1:$G$768)</f>
        <v>-0.839219409916488</v>
      </c>
      <c r="H597" s="5">
        <f>(pima_data!H597-AVERAGE(pima_data!$H$1:$H$768))/_xlfn.STDEV.P(pima_data!$H$1:$H$768)</f>
        <v>1.08564439188404</v>
      </c>
    </row>
    <row r="598" spans="1:8">
      <c r="A598" s="5">
        <f>(pima_data!A598-AVERAGE(pima_data!$A$1:$A$768))/_xlfn.STDEV.P(pima_data!$A$1:$A$768)</f>
        <v>-0.844885053443025</v>
      </c>
      <c r="B598" s="5">
        <f>(pima_data!B598-AVERAGE(pima_data!$B$1:$B$768))/_xlfn.STDEV.P(pima_data!$B$1:$B$768)</f>
        <v>-0.998207779670124</v>
      </c>
      <c r="C598" s="5">
        <f>(pima_data!C598-AVERAGE(pima_data!$C$1:$C$768))/_xlfn.STDEV.P(pima_data!$C$1:$C$768)</f>
        <v>-2.33185124237236</v>
      </c>
      <c r="D598" s="5">
        <f>(pima_data!D598-AVERAGE(pima_data!$D$1:$D$768))/_xlfn.STDEV.P(pima_data!$D$1:$D$768)</f>
        <v>-0.09637905219854</v>
      </c>
      <c r="E598" s="5">
        <f>(pima_data!E598-AVERAGE(pima_data!$E$1:$E$768))/_xlfn.STDEV.P(pima_data!$E$1:$E$768)</f>
        <v>-0.475818174226202</v>
      </c>
      <c r="F598" s="5">
        <f>(pima_data!F598-AVERAGE(pima_data!$F$1:$F$768))/_xlfn.STDEV.P(pima_data!$F$1:$F$768)</f>
        <v>-0.53211885172768</v>
      </c>
      <c r="G598" s="5">
        <f>(pima_data!G598-AVERAGE(pima_data!$G$1:$G$768))/_xlfn.STDEV.P(pima_data!$G$1:$G$768)</f>
        <v>0.263123907318448</v>
      </c>
      <c r="H598" s="5">
        <f>(pima_data!H598-AVERAGE(pima_data!$H$1:$H$768))/_xlfn.STDEV.P(pima_data!$H$1:$H$768)</f>
        <v>-1.0415494364835</v>
      </c>
    </row>
    <row r="599" spans="1:8">
      <c r="A599" s="5">
        <f>(pima_data!A599-AVERAGE(pima_data!$A$1:$A$768))/_xlfn.STDEV.P(pima_data!$A$1:$A$768)</f>
        <v>-0.844885053443025</v>
      </c>
      <c r="B599" s="5">
        <f>(pima_data!B599-AVERAGE(pima_data!$B$1:$B$768))/_xlfn.STDEV.P(pima_data!$B$1:$B$768)</f>
        <v>1.63075242780402</v>
      </c>
      <c r="C599" s="5">
        <f>(pima_data!C599-AVERAGE(pima_data!$C$1:$C$768))/_xlfn.STDEV.P(pima_data!$C$1:$C$768)</f>
        <v>0.253036252419898</v>
      </c>
      <c r="D599" s="5">
        <f>(pima_data!D599-AVERAGE(pima_data!$D$1:$D$768))/_xlfn.STDEV.P(pima_data!$D$1:$D$768)</f>
        <v>-1.28821221294523</v>
      </c>
      <c r="E599" s="5">
        <f>(pima_data!E599-AVERAGE(pima_data!$E$1:$E$768))/_xlfn.STDEV.P(pima_data!$E$1:$E$768)</f>
        <v>-0.692890572295466</v>
      </c>
      <c r="F599" s="5">
        <f>(pima_data!F599-AVERAGE(pima_data!$F$1:$F$768))/_xlfn.STDEV.P(pima_data!$F$1:$F$768)</f>
        <v>0.610154356490508</v>
      </c>
      <c r="G599" s="5">
        <f>(pima_data!G599-AVERAGE(pima_data!$G$1:$G$768))/_xlfn.STDEV.P(pima_data!$G$1:$G$768)</f>
        <v>-1.15935198971622</v>
      </c>
      <c r="H599" s="5">
        <f>(pima_data!H599-AVERAGE(pima_data!$H$1:$H$768))/_xlfn.STDEV.P(pima_data!$H$1:$H$768)</f>
        <v>0.404942366806425</v>
      </c>
    </row>
    <row r="600" spans="1:8">
      <c r="A600" s="5">
        <f>(pima_data!A600-AVERAGE(pima_data!$A$1:$A$768))/_xlfn.STDEV.P(pima_data!$A$1:$A$768)</f>
        <v>-0.844885053443025</v>
      </c>
      <c r="B600" s="5">
        <f>(pima_data!B600-AVERAGE(pima_data!$B$1:$B$768))/_xlfn.STDEV.P(pima_data!$B$1:$B$768)</f>
        <v>-0.372264873128662</v>
      </c>
      <c r="C600" s="5">
        <f>(pima_data!C600-AVERAGE(pima_data!$C$1:$C$768))/_xlfn.STDEV.P(pima_data!$C$1:$C$768)</f>
        <v>-1.60808274383053</v>
      </c>
      <c r="D600" s="5">
        <f>(pima_data!D600-AVERAGE(pima_data!$D$1:$D$768))/_xlfn.STDEV.P(pima_data!$D$1:$D$768)</f>
        <v>-0.159107113290471</v>
      </c>
      <c r="E600" s="5">
        <f>(pima_data!E600-AVERAGE(pima_data!$E$1:$E$768))/_xlfn.STDEV.P(pima_data!$E$1:$E$768)</f>
        <v>0.349056938437004</v>
      </c>
      <c r="F600" s="5">
        <f>(pima_data!F600-AVERAGE(pima_data!$F$1:$F$768))/_xlfn.STDEV.P(pima_data!$F$1:$F$768)</f>
        <v>-1.12863930490829</v>
      </c>
      <c r="G600" s="5">
        <f>(pima_data!G600-AVERAGE(pima_data!$G$1:$G$768))/_xlfn.STDEV.P(pima_data!$G$1:$G$768)</f>
        <v>-0.195934131639662</v>
      </c>
      <c r="H600" s="5">
        <f>(pima_data!H600-AVERAGE(pima_data!$H$1:$H$768))/_xlfn.STDEV.P(pima_data!$H$1:$H$768)</f>
        <v>-0.616110670809994</v>
      </c>
    </row>
    <row r="601" spans="1:8">
      <c r="A601" s="5">
        <f>(pima_data!A601-AVERAGE(pima_data!$A$1:$A$768))/_xlfn.STDEV.P(pima_data!$A$1:$A$768)</f>
        <v>-0.844885053443025</v>
      </c>
      <c r="B601" s="5">
        <f>(pima_data!B601-AVERAGE(pima_data!$B$1:$B$768))/_xlfn.STDEV.P(pima_data!$B$1:$B$768)</f>
        <v>-0.403562018455736</v>
      </c>
      <c r="C601" s="5">
        <f>(pima_data!C601-AVERAGE(pima_data!$C$1:$C$768))/_xlfn.STDEV.P(pima_data!$C$1:$C$768)</f>
        <v>0.97680475096173</v>
      </c>
      <c r="D601" s="5">
        <f>(pima_data!D601-AVERAGE(pima_data!$D$1:$D$768))/_xlfn.STDEV.P(pima_data!$D$1:$D$768)</f>
        <v>-0.09637905219854</v>
      </c>
      <c r="E601" s="5">
        <f>(pima_data!E601-AVERAGE(pima_data!$E$1:$E$768))/_xlfn.STDEV.P(pima_data!$E$1:$E$768)</f>
        <v>-0.692890572295466</v>
      </c>
      <c r="F601" s="5">
        <f>(pima_data!F601-AVERAGE(pima_data!$F$1:$F$768))/_xlfn.STDEV.P(pima_data!$F$1:$F$768)</f>
        <v>-0.620962323477984</v>
      </c>
      <c r="G601" s="5">
        <f>(pima_data!G601-AVERAGE(pima_data!$G$1:$G$768))/_xlfn.STDEV.P(pima_data!$G$1:$G$768)</f>
        <v>-0.217074962381154</v>
      </c>
      <c r="H601" s="5">
        <f>(pima_data!H601-AVERAGE(pima_data!$H$1:$H$768))/_xlfn.STDEV.P(pima_data!$H$1:$H$768)</f>
        <v>-0.786286177079398</v>
      </c>
    </row>
    <row r="602" spans="1:8">
      <c r="A602" s="5">
        <f>(pima_data!A602-AVERAGE(pima_data!$A$1:$A$768))/_xlfn.STDEV.P(pima_data!$A$1:$A$768)</f>
        <v>0.639947260159362</v>
      </c>
      <c r="B602" s="5">
        <f>(pima_data!B602-AVERAGE(pima_data!$B$1:$B$768))/_xlfn.STDEV.P(pima_data!$B$1:$B$768)</f>
        <v>-0.779127762380613</v>
      </c>
      <c r="C602" s="5">
        <f>(pima_data!C602-AVERAGE(pima_data!$C$1:$C$768))/_xlfn.STDEV.P(pima_data!$C$1:$C$768)</f>
        <v>-3.57259723987264</v>
      </c>
      <c r="D602" s="5">
        <f>(pima_data!D602-AVERAGE(pima_data!$D$1:$D$768))/_xlfn.STDEV.P(pima_data!$D$1:$D$768)</f>
        <v>-1.28821221294523</v>
      </c>
      <c r="E602" s="5">
        <f>(pima_data!E602-AVERAGE(pima_data!$E$1:$E$768))/_xlfn.STDEV.P(pima_data!$E$1:$E$768)</f>
        <v>-0.692890572295466</v>
      </c>
      <c r="F602" s="5">
        <f>(pima_data!F602-AVERAGE(pima_data!$F$1:$F$768))/_xlfn.STDEV.P(pima_data!$F$1:$F$768)</f>
        <v>-1.05248775769374</v>
      </c>
      <c r="G602" s="5">
        <f>(pima_data!G602-AVERAGE(pima_data!$G$1:$G$768))/_xlfn.STDEV.P(pima_data!$G$1:$G$768)</f>
        <v>-0.851299884625912</v>
      </c>
      <c r="H602" s="5">
        <f>(pima_data!H602-AVERAGE(pima_data!$H$1:$H$768))/_xlfn.STDEV.P(pima_data!$H$1:$H$768)</f>
        <v>-0.445935164540591</v>
      </c>
    </row>
    <row r="603" spans="1:8">
      <c r="A603" s="5">
        <f>(pima_data!A603-AVERAGE(pima_data!$A$1:$A$768))/_xlfn.STDEV.P(pima_data!$A$1:$A$768)</f>
        <v>-0.844885053443025</v>
      </c>
      <c r="B603" s="5">
        <f>(pima_data!B603-AVERAGE(pima_data!$B$1:$B$768))/_xlfn.STDEV.P(pima_data!$B$1:$B$768)</f>
        <v>0.097192306777434</v>
      </c>
      <c r="C603" s="5">
        <f>(pima_data!C603-AVERAGE(pima_data!$C$1:$C$768))/_xlfn.STDEV.P(pima_data!$C$1:$C$768)</f>
        <v>0.253036252419898</v>
      </c>
      <c r="D603" s="5">
        <f>(pima_data!D603-AVERAGE(pima_data!$D$1:$D$768))/_xlfn.STDEV.P(pima_data!$D$1:$D$768)</f>
        <v>0.96999798636429</v>
      </c>
      <c r="E603" s="5">
        <f>(pima_data!E603-AVERAGE(pima_data!$E$1:$E$768))/_xlfn.STDEV.P(pima_data!$E$1:$E$768)</f>
        <v>-0.692890572295466</v>
      </c>
      <c r="F603" s="5">
        <f>(pima_data!F603-AVERAGE(pima_data!$F$1:$F$768))/_xlfn.STDEV.P(pima_data!$F$1:$F$768)</f>
        <v>-0.53211885172768</v>
      </c>
      <c r="G603" s="5">
        <f>(pima_data!G603-AVERAGE(pima_data!$G$1:$G$768))/_xlfn.STDEV.P(pima_data!$G$1:$G$768)</f>
        <v>-1.12311056558795</v>
      </c>
      <c r="H603" s="5">
        <f>(pima_data!H603-AVERAGE(pima_data!$H$1:$H$768))/_xlfn.STDEV.P(pima_data!$H$1:$H$768)</f>
        <v>-0.275759658271188</v>
      </c>
    </row>
    <row r="604" spans="1:8">
      <c r="A604" s="5">
        <f>(pima_data!A604-AVERAGE(pima_data!$A$1:$A$768))/_xlfn.STDEV.P(pima_data!$A$1:$A$768)</f>
        <v>0.936913722879839</v>
      </c>
      <c r="B604" s="5">
        <f>(pima_data!B604-AVERAGE(pima_data!$B$1:$B$768))/_xlfn.STDEV.P(pima_data!$B$1:$B$768)</f>
        <v>0.910918085281335</v>
      </c>
      <c r="C604" s="5">
        <f>(pima_data!C604-AVERAGE(pima_data!$C$1:$C$768))/_xlfn.STDEV.P(pima_data!$C$1:$C$768)</f>
        <v>0.459827252003279</v>
      </c>
      <c r="D604" s="5">
        <f>(pima_data!D604-AVERAGE(pima_data!$D$1:$D$768))/_xlfn.STDEV.P(pima_data!$D$1:$D$768)</f>
        <v>0.530901558720772</v>
      </c>
      <c r="E604" s="5">
        <f>(pima_data!E604-AVERAGE(pima_data!$E$1:$E$768))/_xlfn.STDEV.P(pima_data!$E$1:$E$768)</f>
        <v>0.401154313973627</v>
      </c>
      <c r="F604" s="5">
        <f>(pima_data!F604-AVERAGE(pima_data!$F$1:$F$768))/_xlfn.STDEV.P(pima_data!$F$1:$F$768)</f>
        <v>0.407083563918387</v>
      </c>
      <c r="G604" s="5">
        <f>(pima_data!G604-AVERAGE(pima_data!$G$1:$G$768))/_xlfn.STDEV.P(pima_data!$G$1:$G$768)</f>
        <v>0.664799691406794</v>
      </c>
      <c r="H604" s="5">
        <f>(pima_data!H604-AVERAGE(pima_data!$H$1:$H$768))/_xlfn.STDEV.P(pima_data!$H$1:$H$768)</f>
        <v>1.76634641696165</v>
      </c>
    </row>
    <row r="605" spans="1:8">
      <c r="A605" s="5">
        <f>(pima_data!A605-AVERAGE(pima_data!$A$1:$A$768))/_xlfn.STDEV.P(pima_data!$A$1:$A$768)</f>
        <v>0.0460143347184072</v>
      </c>
      <c r="B605" s="5">
        <f>(pima_data!B605-AVERAGE(pima_data!$B$1:$B$768))/_xlfn.STDEV.P(pima_data!$B$1:$B$768)</f>
        <v>1.94372388107475</v>
      </c>
      <c r="C605" s="5">
        <f>(pima_data!C605-AVERAGE(pima_data!$C$1:$C$768))/_xlfn.STDEV.P(pima_data!$C$1:$C$768)</f>
        <v>-3.57259723987264</v>
      </c>
      <c r="D605" s="5">
        <f>(pima_data!D605-AVERAGE(pima_data!$D$1:$D$768))/_xlfn.STDEV.P(pima_data!$D$1:$D$768)</f>
        <v>-1.28821221294523</v>
      </c>
      <c r="E605" s="5">
        <f>(pima_data!E605-AVERAGE(pima_data!$E$1:$E$768))/_xlfn.STDEV.P(pima_data!$E$1:$E$768)</f>
        <v>-0.692890572295466</v>
      </c>
      <c r="F605" s="5">
        <f>(pima_data!F605-AVERAGE(pima_data!$F$1:$F$768))/_xlfn.STDEV.P(pima_data!$F$1:$F$768)</f>
        <v>-0.455967304513134</v>
      </c>
      <c r="G605" s="5">
        <f>(pima_data!G605-AVERAGE(pima_data!$G$1:$G$768))/_xlfn.STDEV.P(pima_data!$G$1:$G$768)</f>
        <v>-0.78485727372408</v>
      </c>
      <c r="H605" s="5">
        <f>(pima_data!H605-AVERAGE(pima_data!$H$1:$H$768))/_xlfn.STDEV.P(pima_data!$H$1:$H$768)</f>
        <v>0.234766860537022</v>
      </c>
    </row>
    <row r="606" spans="1:8">
      <c r="A606" s="5">
        <f>(pima_data!A606-AVERAGE(pima_data!$A$1:$A$768))/_xlfn.STDEV.P(pima_data!$A$1:$A$768)</f>
        <v>-0.844885053443025</v>
      </c>
      <c r="B606" s="5">
        <f>(pima_data!B606-AVERAGE(pima_data!$B$1:$B$768))/_xlfn.STDEV.P(pima_data!$B$1:$B$768)</f>
        <v>0.097192306777434</v>
      </c>
      <c r="C606" s="5">
        <f>(pima_data!C606-AVERAGE(pima_data!$C$1:$C$768))/_xlfn.STDEV.P(pima_data!$C$1:$C$768)</f>
        <v>-0.470732246121934</v>
      </c>
      <c r="D606" s="5">
        <f>(pima_data!D606-AVERAGE(pima_data!$D$1:$D$768))/_xlfn.STDEV.P(pima_data!$D$1:$D$768)</f>
        <v>0.719085741996565</v>
      </c>
      <c r="E606" s="5">
        <f>(pima_data!E606-AVERAGE(pima_data!$E$1:$E$768))/_xlfn.STDEV.P(pima_data!$E$1:$E$768)</f>
        <v>-0.692890572295466</v>
      </c>
      <c r="F606" s="5">
        <f>(pima_data!F606-AVERAGE(pima_data!$F$1:$F$768))/_xlfn.STDEV.P(pima_data!$F$1:$F$768)</f>
        <v>0.483235111132932</v>
      </c>
      <c r="G606" s="5">
        <f>(pima_data!G606-AVERAGE(pima_data!$G$1:$G$768))/_xlfn.STDEV.P(pima_data!$G$1:$G$768)</f>
        <v>0.127218566837429</v>
      </c>
      <c r="H606" s="5">
        <f>(pima_data!H606-AVERAGE(pima_data!$H$1:$H$768))/_xlfn.STDEV.P(pima_data!$H$1:$H$768)</f>
        <v>-1.0415494364835</v>
      </c>
    </row>
    <row r="607" spans="1:8">
      <c r="A607" s="5">
        <f>(pima_data!A607-AVERAGE(pima_data!$A$1:$A$768))/_xlfn.STDEV.P(pima_data!$A$1:$A$768)</f>
        <v>-0.844885053443025</v>
      </c>
      <c r="B607" s="5">
        <f>(pima_data!B607-AVERAGE(pima_data!$B$1:$B$768))/_xlfn.STDEV.P(pima_data!$B$1:$B$768)</f>
        <v>1.8811295904206</v>
      </c>
      <c r="C607" s="5">
        <f>(pima_data!C607-AVERAGE(pima_data!$C$1:$C$768))/_xlfn.STDEV.P(pima_data!$C$1:$C$768)</f>
        <v>0.459827252003279</v>
      </c>
      <c r="D607" s="5">
        <f>(pima_data!D607-AVERAGE(pima_data!$D$1:$D$768))/_xlfn.STDEV.P(pima_data!$D$1:$D$768)</f>
        <v>1.34636635291588</v>
      </c>
      <c r="E607" s="5">
        <f>(pima_data!E607-AVERAGE(pima_data!$E$1:$E$768))/_xlfn.STDEV.P(pima_data!$E$1:$E$768)</f>
        <v>1.85119793307632</v>
      </c>
      <c r="F607" s="5">
        <f>(pima_data!F607-AVERAGE(pima_data!$F$1:$F$768))/_xlfn.STDEV.P(pima_data!$F$1:$F$768)</f>
        <v>1.01629594163475</v>
      </c>
      <c r="G607" s="5">
        <f>(pima_data!G607-AVERAGE(pima_data!$G$1:$G$768))/_xlfn.STDEV.P(pima_data!$G$1:$G$768)</f>
        <v>2.37418686279028</v>
      </c>
      <c r="H607" s="5">
        <f>(pima_data!H607-AVERAGE(pima_data!$H$1:$H$768))/_xlfn.STDEV.P(pima_data!$H$1:$H$768)</f>
        <v>-0.956461683348801</v>
      </c>
    </row>
    <row r="608" spans="1:8">
      <c r="A608" s="5">
        <f>(pima_data!A608-AVERAGE(pima_data!$A$1:$A$768))/_xlfn.STDEV.P(pima_data!$A$1:$A$768)</f>
        <v>-0.844885053443025</v>
      </c>
      <c r="B608" s="5">
        <f>(pima_data!B608-AVERAGE(pima_data!$B$1:$B$768))/_xlfn.STDEV.P(pima_data!$B$1:$B$768)</f>
        <v>-0.904316343688905</v>
      </c>
      <c r="C608" s="5">
        <f>(pima_data!C608-AVERAGE(pima_data!$C$1:$C$768))/_xlfn.STDEV.P(pima_data!$C$1:$C$768)</f>
        <v>-0.367336746330243</v>
      </c>
      <c r="D608" s="5">
        <f>(pima_data!D608-AVERAGE(pima_data!$D$1:$D$768))/_xlfn.STDEV.P(pima_data!$D$1:$D$768)</f>
        <v>0.279989314353047</v>
      </c>
      <c r="E608" s="5">
        <f>(pima_data!E608-AVERAGE(pima_data!$E$1:$E$768))/_xlfn.STDEV.P(pima_data!$E$1:$E$768)</f>
        <v>-0.336891839461872</v>
      </c>
      <c r="F608" s="5">
        <f>(pima_data!F608-AVERAGE(pima_data!$F$1:$F$768))/_xlfn.STDEV.P(pima_data!$F$1:$F$768)</f>
        <v>-1.58554858819557</v>
      </c>
      <c r="G608" s="5">
        <f>(pima_data!G608-AVERAGE(pima_data!$G$1:$G$768))/_xlfn.STDEV.P(pima_data!$G$1:$G$768)</f>
        <v>0.0305747691620368</v>
      </c>
      <c r="H608" s="5">
        <f>(pima_data!H608-AVERAGE(pima_data!$H$1:$H$768))/_xlfn.STDEV.P(pima_data!$H$1:$H$768)</f>
        <v>-0.701198423944696</v>
      </c>
    </row>
    <row r="609" spans="1:8">
      <c r="A609" s="5">
        <f>(pima_data!A609-AVERAGE(pima_data!$A$1:$A$768))/_xlfn.STDEV.P(pima_data!$A$1:$A$768)</f>
        <v>-1.1418515161635</v>
      </c>
      <c r="B609" s="5">
        <f>(pima_data!B609-AVERAGE(pima_data!$B$1:$B$768))/_xlfn.STDEV.P(pima_data!$B$1:$B$768)</f>
        <v>0.973512375935481</v>
      </c>
      <c r="C609" s="5">
        <f>(pima_data!C609-AVERAGE(pima_data!$C$1:$C$768))/_xlfn.STDEV.P(pima_data!$C$1:$C$768)</f>
        <v>0.666618251586659</v>
      </c>
      <c r="D609" s="5">
        <f>(pima_data!D609-AVERAGE(pima_data!$D$1:$D$768))/_xlfn.STDEV.P(pima_data!$D$1:$D$768)</f>
        <v>1.15818216964008</v>
      </c>
      <c r="E609" s="5">
        <f>(pima_data!E609-AVERAGE(pima_data!$E$1:$E$768))/_xlfn.STDEV.P(pima_data!$E$1:$E$768)</f>
        <v>1.66885711869813</v>
      </c>
      <c r="F609" s="5">
        <f>(pima_data!F609-AVERAGE(pima_data!$F$1:$F$768))/_xlfn.STDEV.P(pima_data!$F$1:$F$768)</f>
        <v>1.20667480967112</v>
      </c>
      <c r="G609" s="5">
        <f>(pima_data!G609-AVERAGE(pima_data!$G$1:$G$768))/_xlfn.STDEV.P(pima_data!$G$1:$G$768)</f>
        <v>-0.609690390437433</v>
      </c>
      <c r="H609" s="5">
        <f>(pima_data!H609-AVERAGE(pima_data!$H$1:$H$768))/_xlfn.STDEV.P(pima_data!$H$1:$H$768)</f>
        <v>-0.531022917675293</v>
      </c>
    </row>
    <row r="610" spans="1:8">
      <c r="A610" s="5">
        <f>(pima_data!A610-AVERAGE(pima_data!$A$1:$A$768))/_xlfn.STDEV.P(pima_data!$A$1:$A$768)</f>
        <v>-0.844885053443025</v>
      </c>
      <c r="B610" s="5">
        <f>(pima_data!B610-AVERAGE(pima_data!$B$1:$B$768))/_xlfn.STDEV.P(pima_data!$B$1:$B$768)</f>
        <v>-0.309670582474516</v>
      </c>
      <c r="C610" s="5">
        <f>(pima_data!C610-AVERAGE(pima_data!$C$1:$C$768))/_xlfn.STDEV.P(pima_data!$C$1:$C$768)</f>
        <v>-0.367336746330243</v>
      </c>
      <c r="D610" s="5">
        <f>(pima_data!D610-AVERAGE(pima_data!$D$1:$D$768))/_xlfn.STDEV.P(pima_data!$D$1:$D$768)</f>
        <v>-0.472747418750127</v>
      </c>
      <c r="E610" s="5">
        <f>(pima_data!E610-AVERAGE(pima_data!$E$1:$E$768))/_xlfn.STDEV.P(pima_data!$E$1:$E$768)</f>
        <v>0.88739648564878</v>
      </c>
      <c r="F610" s="5">
        <f>(pima_data!F610-AVERAGE(pima_data!$F$1:$F$768))/_xlfn.STDEV.P(pima_data!$F$1:$F$768)</f>
        <v>-1.01441198408647</v>
      </c>
      <c r="G610" s="5">
        <f>(pima_data!G610-AVERAGE(pima_data!$G$1:$G$768))/_xlfn.STDEV.P(pima_data!$G$1:$G$768)</f>
        <v>-1.00834605584842</v>
      </c>
      <c r="H610" s="5">
        <f>(pima_data!H610-AVERAGE(pima_data!$H$1:$H$768))/_xlfn.STDEV.P(pima_data!$H$1:$H$768)</f>
        <v>-0.871373930214099</v>
      </c>
    </row>
    <row r="611" spans="1:8">
      <c r="A611" s="5">
        <f>(pima_data!A611-AVERAGE(pima_data!$A$1:$A$768))/_xlfn.STDEV.P(pima_data!$A$1:$A$768)</f>
        <v>-0.25095212800207</v>
      </c>
      <c r="B611" s="5">
        <f>(pima_data!B611-AVERAGE(pima_data!$B$1:$B$768))/_xlfn.STDEV.P(pima_data!$B$1:$B$768)</f>
        <v>-0.466156309109882</v>
      </c>
      <c r="C611" s="5">
        <f>(pima_data!C611-AVERAGE(pima_data!$C$1:$C$768))/_xlfn.STDEV.P(pima_data!$C$1:$C$768)</f>
        <v>-0.780918745497004</v>
      </c>
      <c r="D611" s="5">
        <f>(pima_data!D611-AVERAGE(pima_data!$D$1:$D$768))/_xlfn.STDEV.P(pima_data!$D$1:$D$768)</f>
        <v>0.0290770699853223</v>
      </c>
      <c r="E611" s="5">
        <f>(pima_data!E611-AVERAGE(pima_data!$E$1:$E$768))/_xlfn.STDEV.P(pima_data!$E$1:$E$768)</f>
        <v>0.679006983502286</v>
      </c>
      <c r="F611" s="5">
        <f>(pima_data!F611-AVERAGE(pima_data!$F$1:$F$768))/_xlfn.STDEV.P(pima_data!$F$1:$F$768)</f>
        <v>-0.138669191119193</v>
      </c>
      <c r="G611" s="5">
        <f>(pima_data!G611-AVERAGE(pima_data!$G$1:$G$768))/_xlfn.STDEV.P(pima_data!$G$1:$G$768)</f>
        <v>-0.543247779535601</v>
      </c>
      <c r="H611" s="5">
        <f>(pima_data!H611-AVERAGE(pima_data!$H$1:$H$768))/_xlfn.STDEV.P(pima_data!$H$1:$H$768)</f>
        <v>-0.786286177079398</v>
      </c>
    </row>
    <row r="612" spans="1:8">
      <c r="A612" s="5">
        <f>(pima_data!A612-AVERAGE(pima_data!$A$1:$A$768))/_xlfn.STDEV.P(pima_data!$A$1:$A$768)</f>
        <v>-0.25095212800207</v>
      </c>
      <c r="B612" s="5">
        <f>(pima_data!B612-AVERAGE(pima_data!$B$1:$B$768))/_xlfn.STDEV.P(pima_data!$B$1:$B$768)</f>
        <v>1.66204957313109</v>
      </c>
      <c r="C612" s="5">
        <f>(pima_data!C612-AVERAGE(pima_data!$C$1:$C$768))/_xlfn.STDEV.P(pima_data!$C$1:$C$768)</f>
        <v>-0.574127745913624</v>
      </c>
      <c r="D612" s="5">
        <f>(pima_data!D612-AVERAGE(pima_data!$D$1:$D$768))/_xlfn.STDEV.P(pima_data!$D$1:$D$768)</f>
        <v>0.0918051310772535</v>
      </c>
      <c r="E612" s="5">
        <f>(pima_data!E612-AVERAGE(pima_data!$E$1:$E$768))/_xlfn.STDEV.P(pima_data!$E$1:$E$768)</f>
        <v>0.991591236722027</v>
      </c>
      <c r="F612" s="5">
        <f>(pima_data!F612-AVERAGE(pima_data!$F$1:$F$768))/_xlfn.STDEV.P(pima_data!$F$1:$F$768)</f>
        <v>0.11516929959596</v>
      </c>
      <c r="G612" s="5">
        <f>(pima_data!G612-AVERAGE(pima_data!$G$1:$G$768))/_xlfn.STDEV.P(pima_data!$G$1:$G$768)</f>
        <v>0.365807942348552</v>
      </c>
      <c r="H612" s="5">
        <f>(pima_data!H612-AVERAGE(pima_data!$H$1:$H$768))/_xlfn.STDEV.P(pima_data!$H$1:$H$768)</f>
        <v>0.234766860537022</v>
      </c>
    </row>
    <row r="613" spans="1:8">
      <c r="A613" s="5">
        <f>(pima_data!A613-AVERAGE(pima_data!$A$1:$A$768))/_xlfn.STDEV.P(pima_data!$A$1:$A$768)</f>
        <v>0.936913722879839</v>
      </c>
      <c r="B613" s="5">
        <f>(pima_data!B613-AVERAGE(pima_data!$B$1:$B$768))/_xlfn.STDEV.P(pima_data!$B$1:$B$768)</f>
        <v>1.47426670116865</v>
      </c>
      <c r="C613" s="5">
        <f>(pima_data!C613-AVERAGE(pima_data!$C$1:$C$768))/_xlfn.STDEV.P(pima_data!$C$1:$C$768)</f>
        <v>0.97680475096173</v>
      </c>
      <c r="D613" s="5">
        <f>(pima_data!D613-AVERAGE(pima_data!$D$1:$D$768))/_xlfn.STDEV.P(pima_data!$D$1:$D$768)</f>
        <v>1.34636635291588</v>
      </c>
      <c r="E613" s="5">
        <f>(pima_data!E613-AVERAGE(pima_data!$E$1:$E$768))/_xlfn.STDEV.P(pima_data!$E$1:$E$768)</f>
        <v>2.09431901891389</v>
      </c>
      <c r="F613" s="5">
        <f>(pima_data!F613-AVERAGE(pima_data!$F$1:$F$768))/_xlfn.STDEV.P(pima_data!$F$1:$F$768)</f>
        <v>0.787841299991116</v>
      </c>
      <c r="G613" s="5">
        <f>(pima_data!G613-AVERAGE(pima_data!$G$1:$G$768))/_xlfn.STDEV.P(pima_data!$G$1:$G$768)</f>
        <v>0.951710965755614</v>
      </c>
      <c r="H613" s="5">
        <f>(pima_data!H613-AVERAGE(pima_data!$H$1:$H$768))/_xlfn.STDEV.P(pima_data!$H$1:$H$768)</f>
        <v>0.575117873075829</v>
      </c>
    </row>
    <row r="614" spans="1:8">
      <c r="A614" s="5">
        <f>(pima_data!A614-AVERAGE(pima_data!$A$1:$A$768))/_xlfn.STDEV.P(pima_data!$A$1:$A$768)</f>
        <v>0.639947260159362</v>
      </c>
      <c r="B614" s="5">
        <f>(pima_data!B614-AVERAGE(pima_data!$B$1:$B$768))/_xlfn.STDEV.P(pima_data!$B$1:$B$768)</f>
        <v>-0.497453454436955</v>
      </c>
      <c r="C614" s="5">
        <f>(pima_data!C614-AVERAGE(pima_data!$C$1:$C$768))/_xlfn.STDEV.P(pima_data!$C$1:$C$768)</f>
        <v>0.563222751794969</v>
      </c>
      <c r="D614" s="5">
        <f>(pima_data!D614-AVERAGE(pima_data!$D$1:$D$768))/_xlfn.STDEV.P(pima_data!$D$1:$D$768)</f>
        <v>0.468173497628841</v>
      </c>
      <c r="E614" s="5">
        <f>(pima_data!E614-AVERAGE(pima_data!$E$1:$E$768))/_xlfn.STDEV.P(pima_data!$E$1:$E$768)</f>
        <v>-0.692890572295466</v>
      </c>
      <c r="F614" s="5">
        <f>(pima_data!F614-AVERAGE(pima_data!$F$1:$F$768))/_xlfn.STDEV.P(pima_data!$F$1:$F$768)</f>
        <v>0.0644016014529295</v>
      </c>
      <c r="G614" s="5">
        <f>(pima_data!G614-AVERAGE(pima_data!$G$1:$G$768))/_xlfn.STDEV.P(pima_data!$G$1:$G$768)</f>
        <v>1.22654176539501</v>
      </c>
      <c r="H614" s="5">
        <f>(pima_data!H614-AVERAGE(pima_data!$H$1:$H$768))/_xlfn.STDEV.P(pima_data!$H$1:$H$768)</f>
        <v>-0.616110670809994</v>
      </c>
    </row>
    <row r="615" spans="1:8">
      <c r="A615" s="5">
        <f>(pima_data!A615-AVERAGE(pima_data!$A$1:$A$768))/_xlfn.STDEV.P(pima_data!$A$1:$A$768)</f>
        <v>2.12477957376175</v>
      </c>
      <c r="B615" s="5">
        <f>(pima_data!B615-AVERAGE(pima_data!$B$1:$B$768))/_xlfn.STDEV.P(pima_data!$B$1:$B$768)</f>
        <v>0.535352341356457</v>
      </c>
      <c r="C615" s="5">
        <f>(pima_data!C615-AVERAGE(pima_data!$C$1:$C$768))/_xlfn.STDEV.P(pima_data!$C$1:$C$768)</f>
        <v>0.253036252419898</v>
      </c>
      <c r="D615" s="5">
        <f>(pima_data!D615-AVERAGE(pima_data!$D$1:$D$768))/_xlfn.STDEV.P(pima_data!$D$1:$D$768)</f>
        <v>0.342717375444978</v>
      </c>
      <c r="E615" s="5">
        <f>(pima_data!E615-AVERAGE(pima_data!$E$1:$E$768))/_xlfn.STDEV.P(pima_data!$E$1:$E$768)</f>
        <v>0.557446440583498</v>
      </c>
      <c r="F615" s="5">
        <f>(pima_data!F615-AVERAGE(pima_data!$F$1:$F$768))/_xlfn.STDEV.P(pima_data!$F$1:$F$768)</f>
        <v>0.521310884740205</v>
      </c>
      <c r="G615" s="5">
        <f>(pima_data!G615-AVERAGE(pima_data!$G$1:$G$768))/_xlfn.STDEV.P(pima_data!$G$1:$G$768)</f>
        <v>0.257083669963736</v>
      </c>
      <c r="H615" s="5">
        <f>(pima_data!H615-AVERAGE(pima_data!$H$1:$H$768))/_xlfn.STDEV.P(pima_data!$H$1:$H$768)</f>
        <v>1.42599540442285</v>
      </c>
    </row>
    <row r="616" spans="1:8">
      <c r="A616" s="5">
        <f>(pima_data!A616-AVERAGE(pima_data!$A$1:$A$768))/_xlfn.STDEV.P(pima_data!$A$1:$A$768)</f>
        <v>-0.25095212800207</v>
      </c>
      <c r="B616" s="5">
        <f>(pima_data!B616-AVERAGE(pima_data!$B$1:$B$768))/_xlfn.STDEV.P(pima_data!$B$1:$B$768)</f>
        <v>-0.466156309109882</v>
      </c>
      <c r="C616" s="5">
        <f>(pima_data!C616-AVERAGE(pima_data!$C$1:$C$768))/_xlfn.STDEV.P(pima_data!$C$1:$C$768)</f>
        <v>0.149640752628208</v>
      </c>
      <c r="D616" s="5">
        <f>(pima_data!D616-AVERAGE(pima_data!$D$1:$D$768))/_xlfn.STDEV.P(pima_data!$D$1:$D$768)</f>
        <v>-1.28821221294523</v>
      </c>
      <c r="E616" s="5">
        <f>(pima_data!E616-AVERAGE(pima_data!$E$1:$E$768))/_xlfn.STDEV.P(pima_data!$E$1:$E$768)</f>
        <v>-0.692890572295466</v>
      </c>
      <c r="F616" s="5">
        <f>(pima_data!F616-AVERAGE(pima_data!$F$1:$F$768))/_xlfn.STDEV.P(pima_data!$F$1:$F$768)</f>
        <v>-0.785957342442833</v>
      </c>
      <c r="G616" s="5">
        <f>(pima_data!G616-AVERAGE(pima_data!$G$1:$G$768))/_xlfn.STDEV.P(pima_data!$G$1:$G$768)</f>
        <v>-0.79995786711086</v>
      </c>
      <c r="H616" s="5">
        <f>(pima_data!H616-AVERAGE(pima_data!$H$1:$H$768))/_xlfn.STDEV.P(pima_data!$H$1:$H$768)</f>
        <v>-0.531022917675293</v>
      </c>
    </row>
    <row r="617" spans="1:8">
      <c r="A617" s="5">
        <f>(pima_data!A617-AVERAGE(pima_data!$A$1:$A$768))/_xlfn.STDEV.P(pima_data!$A$1:$A$768)</f>
        <v>0.639947260159362</v>
      </c>
      <c r="B617" s="5">
        <f>(pima_data!B617-AVERAGE(pima_data!$B$1:$B$768))/_xlfn.STDEV.P(pima_data!$B$1:$B$768)</f>
        <v>-0.121887710512078</v>
      </c>
      <c r="C617" s="5">
        <f>(pima_data!C617-AVERAGE(pima_data!$C$1:$C$768))/_xlfn.STDEV.P(pima_data!$C$1:$C$768)</f>
        <v>1.39038675012849</v>
      </c>
      <c r="D617" s="5">
        <f>(pima_data!D617-AVERAGE(pima_data!$D$1:$D$768))/_xlfn.STDEV.P(pima_data!$D$1:$D$768)</f>
        <v>-1.28821221294523</v>
      </c>
      <c r="E617" s="5">
        <f>(pima_data!E617-AVERAGE(pima_data!$E$1:$E$768))/_xlfn.STDEV.P(pima_data!$E$1:$E$768)</f>
        <v>-0.692890572295466</v>
      </c>
      <c r="F617" s="5">
        <f>(pima_data!F617-AVERAGE(pima_data!$F$1:$F$768))/_xlfn.STDEV.P(pima_data!$F$1:$F$768)</f>
        <v>-0.417891530905861</v>
      </c>
      <c r="G617" s="5">
        <f>(pima_data!G617-AVERAGE(pima_data!$G$1:$G$768))/_xlfn.STDEV.P(pima_data!$G$1:$G$768)</f>
        <v>-0.95096380097866</v>
      </c>
      <c r="H617" s="5">
        <f>(pima_data!H617-AVERAGE(pima_data!$H$1:$H$768))/_xlfn.STDEV.P(pima_data!$H$1:$H$768)</f>
        <v>-0.275759658271188</v>
      </c>
    </row>
    <row r="618" spans="1:8">
      <c r="A618" s="5">
        <f>(pima_data!A618-AVERAGE(pima_data!$A$1:$A$768))/_xlfn.STDEV.P(pima_data!$A$1:$A$768)</f>
        <v>-0.547918590722547</v>
      </c>
      <c r="B618" s="5">
        <f>(pima_data!B618-AVERAGE(pima_data!$B$1:$B$768))/_xlfn.STDEV.P(pima_data!$B$1:$B$768)</f>
        <v>-1.65544783153866</v>
      </c>
      <c r="C618" s="5">
        <f>(pima_data!C618-AVERAGE(pima_data!$C$1:$C$768))/_xlfn.STDEV.P(pima_data!$C$1:$C$768)</f>
        <v>-0.367336746330243</v>
      </c>
      <c r="D618" s="5">
        <f>(pima_data!D618-AVERAGE(pima_data!$D$1:$D$768))/_xlfn.STDEV.P(pima_data!$D$1:$D$768)</f>
        <v>-0.472747418750127</v>
      </c>
      <c r="E618" s="5">
        <f>(pima_data!E618-AVERAGE(pima_data!$E$1:$E$768))/_xlfn.STDEV.P(pima_data!$E$1:$E$768)</f>
        <v>-0.562647133453908</v>
      </c>
      <c r="F618" s="5">
        <f>(pima_data!F618-AVERAGE(pima_data!$F$1:$F$768))/_xlfn.STDEV.P(pima_data!$F$1:$F$768)</f>
        <v>-1.50939704098102</v>
      </c>
      <c r="G618" s="5">
        <f>(pima_data!G618-AVERAGE(pima_data!$G$1:$G$768))/_xlfn.STDEV.P(pima_data!$G$1:$G$768)</f>
        <v>-0.648951933243061</v>
      </c>
      <c r="H618" s="5">
        <f>(pima_data!H618-AVERAGE(pima_data!$H$1:$H$768))/_xlfn.STDEV.P(pima_data!$H$1:$H$768)</f>
        <v>-0.871373930214099</v>
      </c>
    </row>
    <row r="619" spans="1:8">
      <c r="A619" s="5">
        <f>(pima_data!A619-AVERAGE(pima_data!$A$1:$A$768))/_xlfn.STDEV.P(pima_data!$A$1:$A$768)</f>
        <v>1.53084664832079</v>
      </c>
      <c r="B619" s="5">
        <f>(pima_data!B619-AVERAGE(pima_data!$B$1:$B$768))/_xlfn.STDEV.P(pima_data!$B$1:$B$768)</f>
        <v>-0.278373437147443</v>
      </c>
      <c r="C619" s="5">
        <f>(pima_data!C619-AVERAGE(pima_data!$C$1:$C$768))/_xlfn.STDEV.P(pima_data!$C$1:$C$768)</f>
        <v>0.666618251586659</v>
      </c>
      <c r="D619" s="5">
        <f>(pima_data!D619-AVERAGE(pima_data!$D$1:$D$768))/_xlfn.STDEV.P(pima_data!$D$1:$D$768)</f>
        <v>0.217261253261116</v>
      </c>
      <c r="E619" s="5">
        <f>(pima_data!E619-AVERAGE(pima_data!$E$1:$E$768))/_xlfn.STDEV.P(pima_data!$E$1:$E$768)</f>
        <v>-0.692890572295466</v>
      </c>
      <c r="F619" s="5">
        <f>(pima_data!F619-AVERAGE(pima_data!$F$1:$F$768))/_xlfn.STDEV.P(pima_data!$F$1:$F$768)</f>
        <v>-0.48135115358465</v>
      </c>
      <c r="G619" s="5">
        <f>(pima_data!G619-AVERAGE(pima_data!$G$1:$G$768))/_xlfn.STDEV.P(pima_data!$G$1:$G$768)</f>
        <v>2.44666971104683</v>
      </c>
      <c r="H619" s="5">
        <f>(pima_data!H619-AVERAGE(pima_data!$H$1:$H$768))/_xlfn.STDEV.P(pima_data!$H$1:$H$768)</f>
        <v>1.42599540442285</v>
      </c>
    </row>
    <row r="620" spans="1:8">
      <c r="A620" s="5">
        <f>(pima_data!A620-AVERAGE(pima_data!$A$1:$A$768))/_xlfn.STDEV.P(pima_data!$A$1:$A$768)</f>
        <v>-1.1418515161635</v>
      </c>
      <c r="B620" s="5">
        <f>(pima_data!B620-AVERAGE(pima_data!$B$1:$B$768))/_xlfn.STDEV.P(pima_data!$B$1:$B$768)</f>
        <v>-0.0592934198579315</v>
      </c>
      <c r="C620" s="5">
        <f>(pima_data!C620-AVERAGE(pima_data!$C$1:$C$768))/_xlfn.STDEV.P(pima_data!$C$1:$C$768)</f>
        <v>-3.57259723987264</v>
      </c>
      <c r="D620" s="5">
        <f>(pima_data!D620-AVERAGE(pima_data!$D$1:$D$768))/_xlfn.STDEV.P(pima_data!$D$1:$D$768)</f>
        <v>-1.28821221294523</v>
      </c>
      <c r="E620" s="5">
        <f>(pima_data!E620-AVERAGE(pima_data!$E$1:$E$768))/_xlfn.STDEV.P(pima_data!$E$1:$E$768)</f>
        <v>-0.692890572295466</v>
      </c>
      <c r="F620" s="5">
        <f>(pima_data!F620-AVERAGE(pima_data!$F$1:$F$768))/_xlfn.STDEV.P(pima_data!$F$1:$F$768)</f>
        <v>0.0517096769171717</v>
      </c>
      <c r="G620" s="5">
        <f>(pima_data!G620-AVERAGE(pima_data!$G$1:$G$768))/_xlfn.STDEV.P(pima_data!$G$1:$G$768)</f>
        <v>-0.999285699816356</v>
      </c>
      <c r="H620" s="5">
        <f>(pima_data!H620-AVERAGE(pima_data!$H$1:$H$768))/_xlfn.STDEV.P(pima_data!$H$1:$H$768)</f>
        <v>-0.786286177079398</v>
      </c>
    </row>
    <row r="621" spans="1:8">
      <c r="A621" s="5">
        <f>(pima_data!A621-AVERAGE(pima_data!$A$1:$A$768))/_xlfn.STDEV.P(pima_data!$A$1:$A$768)</f>
        <v>-0.547918590722547</v>
      </c>
      <c r="B621" s="5">
        <f>(pima_data!B621-AVERAGE(pima_data!$B$1:$B$768))/_xlfn.STDEV.P(pima_data!$B$1:$B$768)</f>
        <v>-0.278373437147443</v>
      </c>
      <c r="C621" s="5">
        <f>(pima_data!C621-AVERAGE(pima_data!$C$1:$C$768))/_xlfn.STDEV.P(pima_data!$C$1:$C$768)</f>
        <v>0.87340925117004</v>
      </c>
      <c r="D621" s="5">
        <f>(pima_data!D621-AVERAGE(pima_data!$D$1:$D$768))/_xlfn.STDEV.P(pima_data!$D$1:$D$768)</f>
        <v>1.34636635291588</v>
      </c>
      <c r="E621" s="5">
        <f>(pima_data!E621-AVERAGE(pima_data!$E$1:$E$768))/_xlfn.STDEV.P(pima_data!$E$1:$E$768)</f>
        <v>0.696372775347827</v>
      </c>
      <c r="F621" s="5">
        <f>(pima_data!F621-AVERAGE(pima_data!$F$1:$F$768))/_xlfn.STDEV.P(pima_data!$F$1:$F$768)</f>
        <v>0.813225149062631</v>
      </c>
      <c r="G621" s="5">
        <f>(pima_data!G621-AVERAGE(pima_data!$G$1:$G$768))/_xlfn.STDEV.P(pima_data!$G$1:$G$768)</f>
        <v>-0.682173238693977</v>
      </c>
      <c r="H621" s="5">
        <f>(pima_data!H621-AVERAGE(pima_data!$H$1:$H$768))/_xlfn.STDEV.P(pima_data!$H$1:$H$768)</f>
        <v>-0.445935164540591</v>
      </c>
    </row>
    <row r="622" spans="1:8">
      <c r="A622" s="5">
        <f>(pima_data!A622-AVERAGE(pima_data!$A$1:$A$768))/_xlfn.STDEV.P(pima_data!$A$1:$A$768)</f>
        <v>-0.547918590722547</v>
      </c>
      <c r="B622" s="5">
        <f>(pima_data!B622-AVERAGE(pima_data!$B$1:$B$768))/_xlfn.STDEV.P(pima_data!$B$1:$B$768)</f>
        <v>-0.904316343688905</v>
      </c>
      <c r="C622" s="5">
        <f>(pima_data!C622-AVERAGE(pima_data!$C$1:$C$768))/_xlfn.STDEV.P(pima_data!$C$1:$C$768)</f>
        <v>0.356431752211589</v>
      </c>
      <c r="D622" s="5">
        <f>(pima_data!D622-AVERAGE(pima_data!$D$1:$D$768))/_xlfn.STDEV.P(pima_data!$D$1:$D$768)</f>
        <v>-0.0336509911066088</v>
      </c>
      <c r="E622" s="5">
        <f>(pima_data!E622-AVERAGE(pima_data!$E$1:$E$768))/_xlfn.STDEV.P(pima_data!$E$1:$E$768)</f>
        <v>-0.692890572295466</v>
      </c>
      <c r="F622" s="5">
        <f>(pima_data!F622-AVERAGE(pima_data!$F$1:$F$768))/_xlfn.STDEV.P(pima_data!$F$1:$F$768)</f>
        <v>-0.989028135014956</v>
      </c>
      <c r="G622" s="5">
        <f>(pima_data!G622-AVERAGE(pima_data!$G$1:$G$768))/_xlfn.STDEV.P(pima_data!$G$1:$G$768)</f>
        <v>3.70303908082692</v>
      </c>
      <c r="H622" s="5">
        <f>(pima_data!H622-AVERAGE(pima_data!$H$1:$H$768))/_xlfn.STDEV.P(pima_data!$H$1:$H$768)</f>
        <v>-0.445935164540591</v>
      </c>
    </row>
    <row r="623" spans="1:8">
      <c r="A623" s="5">
        <f>(pima_data!A623-AVERAGE(pima_data!$A$1:$A$768))/_xlfn.STDEV.P(pima_data!$A$1:$A$768)</f>
        <v>0.639947260159362</v>
      </c>
      <c r="B623" s="5">
        <f>(pima_data!B623-AVERAGE(pima_data!$B$1:$B$768))/_xlfn.STDEV.P(pima_data!$B$1:$B$768)</f>
        <v>1.94372388107475</v>
      </c>
      <c r="C623" s="5">
        <f>(pima_data!C623-AVERAGE(pima_data!$C$1:$C$768))/_xlfn.STDEV.P(pima_data!$C$1:$C$768)</f>
        <v>1.2869912503368</v>
      </c>
      <c r="D623" s="5">
        <f>(pima_data!D623-AVERAGE(pima_data!$D$1:$D$768))/_xlfn.STDEV.P(pima_data!$D$1:$D$768)</f>
        <v>-1.28821221294523</v>
      </c>
      <c r="E623" s="5">
        <f>(pima_data!E623-AVERAGE(pima_data!$E$1:$E$768))/_xlfn.STDEV.P(pima_data!$E$1:$E$768)</f>
        <v>-0.692890572295466</v>
      </c>
      <c r="F623" s="5">
        <f>(pima_data!F623-AVERAGE(pima_data!$F$1:$F$768))/_xlfn.STDEV.P(pima_data!$F$1:$F$768)</f>
        <v>1.11783133792081</v>
      </c>
      <c r="G623" s="5">
        <f>(pima_data!G623-AVERAGE(pima_data!$G$1:$G$768))/_xlfn.STDEV.P(pima_data!$G$1:$G$768)</f>
        <v>2.98727095429355</v>
      </c>
      <c r="H623" s="5">
        <f>(pima_data!H623-AVERAGE(pima_data!$H$1:$H$768))/_xlfn.STDEV.P(pima_data!$H$1:$H$768)</f>
        <v>1.00055663874934</v>
      </c>
    </row>
    <row r="624" spans="1:8">
      <c r="A624" s="5">
        <f>(pima_data!A624-AVERAGE(pima_data!$A$1:$A$768))/_xlfn.STDEV.P(pima_data!$A$1:$A$768)</f>
        <v>-1.1418515161635</v>
      </c>
      <c r="B624" s="5">
        <f>(pima_data!B624-AVERAGE(pima_data!$B$1:$B$768))/_xlfn.STDEV.P(pima_data!$B$1:$B$768)</f>
        <v>-0.841722053034759</v>
      </c>
      <c r="C624" s="5">
        <f>(pima_data!C624-AVERAGE(pima_data!$C$1:$C$768))/_xlfn.STDEV.P(pima_data!$C$1:$C$768)</f>
        <v>0.0462452528365177</v>
      </c>
      <c r="D624" s="5">
        <f>(pima_data!D624-AVERAGE(pima_data!$D$1:$D$768))/_xlfn.STDEV.P(pima_data!$D$1:$D$768)</f>
        <v>0.40544543653691</v>
      </c>
      <c r="E624" s="5">
        <f>(pima_data!E624-AVERAGE(pima_data!$E$1:$E$768))/_xlfn.STDEV.P(pima_data!$E$1:$E$768)</f>
        <v>0.305642458823151</v>
      </c>
      <c r="F624" s="5">
        <f>(pima_data!F624-AVERAGE(pima_data!$F$1:$F$768))/_xlfn.STDEV.P(pima_data!$F$1:$F$768)</f>
        <v>1.46051330038627</v>
      </c>
      <c r="G624" s="5">
        <f>(pima_data!G624-AVERAGE(pima_data!$G$1:$G$768))/_xlfn.STDEV.P(pima_data!$G$1:$G$768)</f>
        <v>-0.377141252281022</v>
      </c>
      <c r="H624" s="5">
        <f>(pima_data!H624-AVERAGE(pima_data!$H$1:$H$768))/_xlfn.STDEV.P(pima_data!$H$1:$H$768)</f>
        <v>-1.0415494364835</v>
      </c>
    </row>
    <row r="625" spans="1:8">
      <c r="A625" s="5">
        <f>(pima_data!A625-AVERAGE(pima_data!$A$1:$A$768))/_xlfn.STDEV.P(pima_data!$A$1:$A$768)</f>
        <v>-0.547918590722547</v>
      </c>
      <c r="B625" s="5">
        <f>(pima_data!B625-AVERAGE(pima_data!$B$1:$B$768))/_xlfn.STDEV.P(pima_data!$B$1:$B$768)</f>
        <v>-0.403562018455736</v>
      </c>
      <c r="C625" s="5">
        <f>(pima_data!C625-AVERAGE(pima_data!$C$1:$C$768))/_xlfn.STDEV.P(pima_data!$C$1:$C$768)</f>
        <v>-0.263941246538553</v>
      </c>
      <c r="D625" s="5">
        <f>(pima_data!D625-AVERAGE(pima_data!$D$1:$D$768))/_xlfn.STDEV.P(pima_data!$D$1:$D$768)</f>
        <v>-1.28821221294523</v>
      </c>
      <c r="E625" s="5">
        <f>(pima_data!E625-AVERAGE(pima_data!$E$1:$E$768))/_xlfn.STDEV.P(pima_data!$E$1:$E$768)</f>
        <v>-0.692890572295466</v>
      </c>
      <c r="F625" s="5">
        <f>(pima_data!F625-AVERAGE(pima_data!$F$1:$F$768))/_xlfn.STDEV.P(pima_data!$F$1:$F$768)</f>
        <v>-0.151361115654951</v>
      </c>
      <c r="G625" s="5">
        <f>(pima_data!G625-AVERAGE(pima_data!$G$1:$G$768))/_xlfn.STDEV.P(pima_data!$G$1:$G$768)</f>
        <v>-0.947943682301304</v>
      </c>
      <c r="H625" s="5">
        <f>(pima_data!H625-AVERAGE(pima_data!$H$1:$H$768))/_xlfn.STDEV.P(pima_data!$H$1:$H$768)</f>
        <v>-1.0415494364835</v>
      </c>
    </row>
    <row r="626" spans="1:8">
      <c r="A626" s="5">
        <f>(pima_data!A626-AVERAGE(pima_data!$A$1:$A$768))/_xlfn.STDEV.P(pima_data!$A$1:$A$768)</f>
        <v>0.0460143347184072</v>
      </c>
      <c r="B626" s="5">
        <f>(pima_data!B626-AVERAGE(pima_data!$B$1:$B$768))/_xlfn.STDEV.P(pima_data!$B$1:$B$768)</f>
        <v>-0.966910634343051</v>
      </c>
      <c r="C626" s="5">
        <f>(pima_data!C626-AVERAGE(pima_data!$C$1:$C$768))/_xlfn.STDEV.P(pima_data!$C$1:$C$768)</f>
        <v>0.97680475096173</v>
      </c>
      <c r="D626" s="5">
        <f>(pima_data!D626-AVERAGE(pima_data!$D$1:$D$768))/_xlfn.STDEV.P(pima_data!$D$1:$D$768)</f>
        <v>1.66000665837553</v>
      </c>
      <c r="E626" s="5">
        <f>(pima_data!E626-AVERAGE(pima_data!$E$1:$E$768))/_xlfn.STDEV.P(pima_data!$E$1:$E$768)</f>
        <v>-0.224014192465855</v>
      </c>
      <c r="F626" s="5">
        <f>(pima_data!F626-AVERAGE(pima_data!$F$1:$F$768))/_xlfn.STDEV.P(pima_data!$F$1:$F$768)</f>
        <v>0.724381677312328</v>
      </c>
      <c r="G626" s="5">
        <f>(pima_data!G626-AVERAGE(pima_data!$G$1:$G$768))/_xlfn.STDEV.P(pima_data!$G$1:$G$768)</f>
        <v>-0.331839472120682</v>
      </c>
      <c r="H626" s="5">
        <f>(pima_data!H626-AVERAGE(pima_data!$H$1:$H$768))/_xlfn.STDEV.P(pima_data!$H$1:$H$768)</f>
        <v>-0.360847411405889</v>
      </c>
    </row>
    <row r="627" spans="1:8">
      <c r="A627" s="5">
        <f>(pima_data!A627-AVERAGE(pima_data!$A$1:$A$768))/_xlfn.STDEV.P(pima_data!$A$1:$A$768)</f>
        <v>-1.1418515161635</v>
      </c>
      <c r="B627" s="5">
        <f>(pima_data!B627-AVERAGE(pima_data!$B$1:$B$768))/_xlfn.STDEV.P(pima_data!$B$1:$B$768)</f>
        <v>0.128489452104507</v>
      </c>
      <c r="C627" s="5">
        <f>(pima_data!C627-AVERAGE(pima_data!$C$1:$C$768))/_xlfn.STDEV.P(pima_data!$C$1:$C$768)</f>
        <v>-0.0571502469551726</v>
      </c>
      <c r="D627" s="5">
        <f>(pima_data!D627-AVERAGE(pima_data!$D$1:$D$768))/_xlfn.STDEV.P(pima_data!$D$1:$D$768)</f>
        <v>-1.28821221294523</v>
      </c>
      <c r="E627" s="5">
        <f>(pima_data!E627-AVERAGE(pima_data!$E$1:$E$768))/_xlfn.STDEV.P(pima_data!$E$1:$E$768)</f>
        <v>-0.692890572295466</v>
      </c>
      <c r="F627" s="5">
        <f>(pima_data!F627-AVERAGE(pima_data!$F$1:$F$768))/_xlfn.STDEV.P(pima_data!$F$1:$F$768)</f>
        <v>-0.925568512336168</v>
      </c>
      <c r="G627" s="5">
        <f>(pima_data!G627-AVERAGE(pima_data!$G$1:$G$768))/_xlfn.STDEV.P(pima_data!$G$1:$G$768)</f>
        <v>-0.802977985788216</v>
      </c>
      <c r="H627" s="5">
        <f>(pima_data!H627-AVERAGE(pima_data!$H$1:$H$768))/_xlfn.STDEV.P(pima_data!$H$1:$H$768)</f>
        <v>-1.0415494364835</v>
      </c>
    </row>
    <row r="628" spans="1:8">
      <c r="A628" s="5">
        <f>(pima_data!A628-AVERAGE(pima_data!$A$1:$A$768))/_xlfn.STDEV.P(pima_data!$A$1:$A$768)</f>
        <v>-1.1418515161635</v>
      </c>
      <c r="B628" s="5">
        <f>(pima_data!B628-AVERAGE(pima_data!$B$1:$B$768))/_xlfn.STDEV.P(pima_data!$B$1:$B$768)</f>
        <v>0.347569469394019</v>
      </c>
      <c r="C628" s="5">
        <f>(pima_data!C628-AVERAGE(pima_data!$C$1:$C$768))/_xlfn.STDEV.P(pima_data!$C$1:$C$768)</f>
        <v>0.459827252003279</v>
      </c>
      <c r="D628" s="5">
        <f>(pima_data!D628-AVERAGE(pima_data!$D$1:$D$768))/_xlfn.STDEV.P(pima_data!$D$1:$D$768)</f>
        <v>-1.28821221294523</v>
      </c>
      <c r="E628" s="5">
        <f>(pima_data!E628-AVERAGE(pima_data!$E$1:$E$768))/_xlfn.STDEV.P(pima_data!$E$1:$E$768)</f>
        <v>-0.692890572295466</v>
      </c>
      <c r="F628" s="5">
        <f>(pima_data!F628-AVERAGE(pima_data!$F$1:$F$768))/_xlfn.STDEV.P(pima_data!$F$1:$F$768)</f>
        <v>0.0517096769171717</v>
      </c>
      <c r="G628" s="5">
        <f>(pima_data!G628-AVERAGE(pima_data!$G$1:$G$768))/_xlfn.STDEV.P(pima_data!$G$1:$G$768)</f>
        <v>-0.238215793122646</v>
      </c>
      <c r="H628" s="5">
        <f>(pima_data!H628-AVERAGE(pima_data!$H$1:$H$768))/_xlfn.STDEV.P(pima_data!$H$1:$H$768)</f>
        <v>-1.0415494364835</v>
      </c>
    </row>
    <row r="629" spans="1:8">
      <c r="A629" s="5">
        <f>(pima_data!A629-AVERAGE(pima_data!$A$1:$A$768))/_xlfn.STDEV.P(pima_data!$A$1:$A$768)</f>
        <v>0.342980797438884</v>
      </c>
      <c r="B629" s="5">
        <f>(pima_data!B629-AVERAGE(pima_data!$B$1:$B$768))/_xlfn.STDEV.P(pima_data!$B$1:$B$768)</f>
        <v>0.222380888085726</v>
      </c>
      <c r="C629" s="5">
        <f>(pima_data!C629-AVERAGE(pima_data!$C$1:$C$768))/_xlfn.STDEV.P(pima_data!$C$1:$C$768)</f>
        <v>0.563222751794969</v>
      </c>
      <c r="D629" s="5">
        <f>(pima_data!D629-AVERAGE(pima_data!$D$1:$D$768))/_xlfn.STDEV.P(pima_data!$D$1:$D$768)</f>
        <v>-1.28821221294523</v>
      </c>
      <c r="E629" s="5">
        <f>(pima_data!E629-AVERAGE(pima_data!$E$1:$E$768))/_xlfn.STDEV.P(pima_data!$E$1:$E$768)</f>
        <v>-0.692890572295466</v>
      </c>
      <c r="F629" s="5">
        <f>(pima_data!F629-AVERAGE(pima_data!$F$1:$F$768))/_xlfn.STDEV.P(pima_data!$F$1:$F$768)</f>
        <v>0.33093201670384</v>
      </c>
      <c r="G629" s="5">
        <f>(pima_data!G629-AVERAGE(pima_data!$G$1:$G$768))/_xlfn.STDEV.P(pima_data!$G$1:$G$768)</f>
        <v>-0.990225343784288</v>
      </c>
      <c r="H629" s="5">
        <f>(pima_data!H629-AVERAGE(pima_data!$H$1:$H$768))/_xlfn.STDEV.P(pima_data!$H$1:$H$768)</f>
        <v>1.00055663874934</v>
      </c>
    </row>
    <row r="630" spans="1:8">
      <c r="A630" s="5">
        <f>(pima_data!A630-AVERAGE(pima_data!$A$1:$A$768))/_xlfn.STDEV.P(pima_data!$A$1:$A$768)</f>
        <v>0.0460143347184072</v>
      </c>
      <c r="B630" s="5">
        <f>(pima_data!B630-AVERAGE(pima_data!$B$1:$B$768))/_xlfn.STDEV.P(pima_data!$B$1:$B$768)</f>
        <v>-0.841722053034759</v>
      </c>
      <c r="C630" s="5">
        <f>(pima_data!C630-AVERAGE(pima_data!$C$1:$C$768))/_xlfn.STDEV.P(pima_data!$C$1:$C$768)</f>
        <v>-0.212243496642708</v>
      </c>
      <c r="D630" s="5">
        <f>(pima_data!D630-AVERAGE(pima_data!$D$1:$D$768))/_xlfn.STDEV.P(pima_data!$D$1:$D$768)</f>
        <v>0.0918051310772535</v>
      </c>
      <c r="E630" s="5">
        <f>(pima_data!E630-AVERAGE(pima_data!$E$1:$E$768))/_xlfn.STDEV.P(pima_data!$E$1:$E$768)</f>
        <v>-0.692890572295466</v>
      </c>
      <c r="F630" s="5">
        <f>(pima_data!F630-AVERAGE(pima_data!$F$1:$F$768))/_xlfn.STDEV.P(pima_data!$F$1:$F$768)</f>
        <v>-0.925568512336168</v>
      </c>
      <c r="G630" s="5">
        <f>(pima_data!G630-AVERAGE(pima_data!$G$1:$G$768))/_xlfn.STDEV.P(pima_data!$G$1:$G$768)</f>
        <v>-0.978144869074864</v>
      </c>
      <c r="H630" s="5">
        <f>(pima_data!H630-AVERAGE(pima_data!$H$1:$H$768))/_xlfn.STDEV.P(pima_data!$H$1:$H$768)</f>
        <v>-1.0415494364835</v>
      </c>
    </row>
    <row r="631" spans="1:8">
      <c r="A631" s="5">
        <f>(pima_data!A631-AVERAGE(pima_data!$A$1:$A$768))/_xlfn.STDEV.P(pima_data!$A$1:$A$768)</f>
        <v>0.936913722879839</v>
      </c>
      <c r="B631" s="5">
        <f>(pima_data!B631-AVERAGE(pima_data!$B$1:$B$768))/_xlfn.STDEV.P(pima_data!$B$1:$B$768)</f>
        <v>-0.215779146493297</v>
      </c>
      <c r="C631" s="5">
        <f>(pima_data!C631-AVERAGE(pima_data!$C$1:$C$768))/_xlfn.STDEV.P(pima_data!$C$1:$C$768)</f>
        <v>-0.263941246538553</v>
      </c>
      <c r="D631" s="5">
        <f>(pima_data!D631-AVERAGE(pima_data!$D$1:$D$768))/_xlfn.STDEV.P(pima_data!$D$1:$D$768)</f>
        <v>-1.28821221294523</v>
      </c>
      <c r="E631" s="5">
        <f>(pima_data!E631-AVERAGE(pima_data!$E$1:$E$768))/_xlfn.STDEV.P(pima_data!$E$1:$E$768)</f>
        <v>-0.692890572295466</v>
      </c>
      <c r="F631" s="5">
        <f>(pima_data!F631-AVERAGE(pima_data!$F$1:$F$768))/_xlfn.STDEV.P(pima_data!$F$1:$F$768)</f>
        <v>-0.582886549870711</v>
      </c>
      <c r="G631" s="5">
        <f>(pima_data!G631-AVERAGE(pima_data!$G$1:$G$768))/_xlfn.STDEV.P(pima_data!$G$1:$G$768)</f>
        <v>0.785604438501034</v>
      </c>
      <c r="H631" s="5">
        <f>(pima_data!H631-AVERAGE(pima_data!$H$1:$H$768))/_xlfn.STDEV.P(pima_data!$H$1:$H$768)</f>
        <v>0.0645913542676188</v>
      </c>
    </row>
    <row r="632" spans="1:8">
      <c r="A632" s="5">
        <f>(pima_data!A632-AVERAGE(pima_data!$A$1:$A$768))/_xlfn.STDEV.P(pima_data!$A$1:$A$768)</f>
        <v>-1.1418515161635</v>
      </c>
      <c r="B632" s="5">
        <f>(pima_data!B632-AVERAGE(pima_data!$B$1:$B$768))/_xlfn.STDEV.P(pima_data!$B$1:$B$768)</f>
        <v>-0.591344890418174</v>
      </c>
      <c r="C632" s="5">
        <f>(pima_data!C632-AVERAGE(pima_data!$C$1:$C$768))/_xlfn.STDEV.P(pima_data!$C$1:$C$768)</f>
        <v>0.459827252003279</v>
      </c>
      <c r="D632" s="5">
        <f>(pima_data!D632-AVERAGE(pima_data!$D$1:$D$768))/_xlfn.STDEV.P(pima_data!$D$1:$D$768)</f>
        <v>1.22091023073201</v>
      </c>
      <c r="E632" s="5">
        <f>(pima_data!E632-AVERAGE(pima_data!$E$1:$E$768))/_xlfn.STDEV.P(pima_data!$E$1:$E$768)</f>
        <v>0.0885700607538864</v>
      </c>
      <c r="F632" s="5">
        <f>(pima_data!F632-AVERAGE(pima_data!$F$1:$F$768))/_xlfn.STDEV.P(pima_data!$F$1:$F$768)</f>
        <v>0.318240092168083</v>
      </c>
      <c r="G632" s="5">
        <f>(pima_data!G632-AVERAGE(pima_data!$G$1:$G$768))/_xlfn.STDEV.P(pima_data!$G$1:$G$768)</f>
        <v>-0.706334188112825</v>
      </c>
      <c r="H632" s="5">
        <f>(pima_data!H632-AVERAGE(pima_data!$H$1:$H$768))/_xlfn.STDEV.P(pima_data!$H$1:$H$768)</f>
        <v>-0.786286177079398</v>
      </c>
    </row>
    <row r="633" spans="1:8">
      <c r="A633" s="5">
        <f>(pima_data!A633-AVERAGE(pima_data!$A$1:$A$768))/_xlfn.STDEV.P(pima_data!$A$1:$A$768)</f>
        <v>-0.547918590722547</v>
      </c>
      <c r="B633" s="5">
        <f>(pima_data!B633-AVERAGE(pima_data!$B$1:$B$768))/_xlfn.STDEV.P(pima_data!$B$1:$B$768)</f>
        <v>-0.309670582474516</v>
      </c>
      <c r="C633" s="5">
        <f>(pima_data!C633-AVERAGE(pima_data!$C$1:$C$768))/_xlfn.STDEV.P(pima_data!$C$1:$C$768)</f>
        <v>-0.470732246121934</v>
      </c>
      <c r="D633" s="5">
        <f>(pima_data!D633-AVERAGE(pima_data!$D$1:$D$768))/_xlfn.STDEV.P(pima_data!$D$1:$D$768)</f>
        <v>-1.28821221294523</v>
      </c>
      <c r="E633" s="5">
        <f>(pima_data!E633-AVERAGE(pima_data!$E$1:$E$768))/_xlfn.STDEV.P(pima_data!$E$1:$E$768)</f>
        <v>-0.692890572295466</v>
      </c>
      <c r="F633" s="5">
        <f>(pima_data!F633-AVERAGE(pima_data!$F$1:$F$768))/_xlfn.STDEV.P(pima_data!$F$1:$F$768)</f>
        <v>-0.735189644299803</v>
      </c>
      <c r="G633" s="5">
        <f>(pima_data!G633-AVERAGE(pima_data!$G$1:$G$768))/_xlfn.STDEV.P(pima_data!$G$1:$G$768)</f>
        <v>-0.389221726990446</v>
      </c>
      <c r="H633" s="5">
        <f>(pima_data!H633-AVERAGE(pima_data!$H$1:$H$768))/_xlfn.STDEV.P(pima_data!$H$1:$H$768)</f>
        <v>-0.871373930214099</v>
      </c>
    </row>
    <row r="634" spans="1:8">
      <c r="A634" s="5">
        <f>(pima_data!A634-AVERAGE(pima_data!$A$1:$A$768))/_xlfn.STDEV.P(pima_data!$A$1:$A$768)</f>
        <v>-0.844885053443025</v>
      </c>
      <c r="B634" s="5">
        <f>(pima_data!B634-AVERAGE(pima_data!$B$1:$B$768))/_xlfn.STDEV.P(pima_data!$B$1:$B$768)</f>
        <v>0.222380888085726</v>
      </c>
      <c r="C634" s="5">
        <f>(pima_data!C634-AVERAGE(pima_data!$C$1:$C$768))/_xlfn.STDEV.P(pima_data!$C$1:$C$768)</f>
        <v>0.666618251586659</v>
      </c>
      <c r="D634" s="5">
        <f>(pima_data!D634-AVERAGE(pima_data!$D$1:$D$768))/_xlfn.STDEV.P(pima_data!$D$1:$D$768)</f>
        <v>-0.221835174382402</v>
      </c>
      <c r="E634" s="5">
        <f>(pima_data!E634-AVERAGE(pima_data!$E$1:$E$768))/_xlfn.STDEV.P(pima_data!$E$1:$E$768)</f>
        <v>0.896079381571551</v>
      </c>
      <c r="F634" s="5">
        <f>(pima_data!F634-AVERAGE(pima_data!$F$1:$F$768))/_xlfn.STDEV.P(pima_data!$F$1:$F$768)</f>
        <v>-0.570194625334953</v>
      </c>
      <c r="G634" s="5">
        <f>(pima_data!G634-AVERAGE(pima_data!$G$1:$G$768))/_xlfn.STDEV.P(pima_data!$G$1:$G$768)</f>
        <v>-1.07780878542761</v>
      </c>
      <c r="H634" s="5">
        <f>(pima_data!H634-AVERAGE(pima_data!$H$1:$H$768))/_xlfn.STDEV.P(pima_data!$H$1:$H$768)</f>
        <v>-0.956461683348801</v>
      </c>
    </row>
    <row r="635" spans="1:8">
      <c r="A635" s="5">
        <f>(pima_data!A635-AVERAGE(pima_data!$A$1:$A$768))/_xlfn.STDEV.P(pima_data!$A$1:$A$768)</f>
        <v>1.82781311104127</v>
      </c>
      <c r="B635" s="5">
        <f>(pima_data!B635-AVERAGE(pima_data!$B$1:$B$768))/_xlfn.STDEV.P(pima_data!$B$1:$B$768)</f>
        <v>-0.904316343688905</v>
      </c>
      <c r="C635" s="5">
        <f>(pima_data!C635-AVERAGE(pima_data!$C$1:$C$768))/_xlfn.STDEV.P(pima_data!$C$1:$C$768)</f>
        <v>-0.367336746330243</v>
      </c>
      <c r="D635" s="5">
        <f>(pima_data!D635-AVERAGE(pima_data!$D$1:$D$768))/_xlfn.STDEV.P(pima_data!$D$1:$D$768)</f>
        <v>-1.28821221294523</v>
      </c>
      <c r="E635" s="5">
        <f>(pima_data!E635-AVERAGE(pima_data!$E$1:$E$768))/_xlfn.STDEV.P(pima_data!$E$1:$E$768)</f>
        <v>-0.692890572295466</v>
      </c>
      <c r="F635" s="5">
        <f>(pima_data!F635-AVERAGE(pima_data!$F$1:$F$768))/_xlfn.STDEV.P(pima_data!$F$1:$F$768)</f>
        <v>-0.773265417907076</v>
      </c>
      <c r="G635" s="5">
        <f>(pima_data!G635-AVERAGE(pima_data!$G$1:$G$768))/_xlfn.STDEV.P(pima_data!$G$1:$G$768)</f>
        <v>-0.9207626142051</v>
      </c>
      <c r="H635" s="5">
        <f>(pima_data!H635-AVERAGE(pima_data!$H$1:$H$768))/_xlfn.STDEV.P(pima_data!$H$1:$H$768)</f>
        <v>-0.190671905136486</v>
      </c>
    </row>
    <row r="636" spans="1:8">
      <c r="A636" s="5">
        <f>(pima_data!A636-AVERAGE(pima_data!$A$1:$A$768))/_xlfn.STDEV.P(pima_data!$A$1:$A$768)</f>
        <v>2.7187124992027</v>
      </c>
      <c r="B636" s="5">
        <f>(pima_data!B636-AVERAGE(pima_data!$B$1:$B$768))/_xlfn.STDEV.P(pima_data!$B$1:$B$768)</f>
        <v>-0.528750599764028</v>
      </c>
      <c r="C636" s="5">
        <f>(pima_data!C636-AVERAGE(pima_data!$C$1:$C$768))/_xlfn.STDEV.P(pima_data!$C$1:$C$768)</f>
        <v>0.149640752628208</v>
      </c>
      <c r="D636" s="5">
        <f>(pima_data!D636-AVERAGE(pima_data!$D$1:$D$768))/_xlfn.STDEV.P(pima_data!$D$1:$D$768)</f>
        <v>-1.28821221294523</v>
      </c>
      <c r="E636" s="5">
        <f>(pima_data!E636-AVERAGE(pima_data!$E$1:$E$768))/_xlfn.STDEV.P(pima_data!$E$1:$E$768)</f>
        <v>-0.692890572295466</v>
      </c>
      <c r="F636" s="5">
        <f>(pima_data!F636-AVERAGE(pima_data!$F$1:$F$768))/_xlfn.STDEV.P(pima_data!$F$1:$F$768)</f>
        <v>-0.10059341751192</v>
      </c>
      <c r="G636" s="5">
        <f>(pima_data!G636-AVERAGE(pima_data!$G$1:$G$768))/_xlfn.STDEV.P(pima_data!$G$1:$G$768)</f>
        <v>-0.0207672483530149</v>
      </c>
      <c r="H636" s="5">
        <f>(pima_data!H636-AVERAGE(pima_data!$H$1:$H$768))/_xlfn.STDEV.P(pima_data!$H$1:$H$768)</f>
        <v>0.404942366806425</v>
      </c>
    </row>
    <row r="637" spans="1:8">
      <c r="A637" s="5">
        <f>(pima_data!A637-AVERAGE(pima_data!$A$1:$A$768))/_xlfn.STDEV.P(pima_data!$A$1:$A$768)</f>
        <v>0.342980797438884</v>
      </c>
      <c r="B637" s="5">
        <f>(pima_data!B637-AVERAGE(pima_data!$B$1:$B$768))/_xlfn.STDEV.P(pima_data!$B$1:$B$768)</f>
        <v>-0.528750599764028</v>
      </c>
      <c r="C637" s="5">
        <f>(pima_data!C637-AVERAGE(pima_data!$C$1:$C$768))/_xlfn.STDEV.P(pima_data!$C$1:$C$768)</f>
        <v>0.253036252419898</v>
      </c>
      <c r="D637" s="5">
        <f>(pima_data!D637-AVERAGE(pima_data!$D$1:$D$768))/_xlfn.STDEV.P(pima_data!$D$1:$D$768)</f>
        <v>-1.28821221294523</v>
      </c>
      <c r="E637" s="5">
        <f>(pima_data!E637-AVERAGE(pima_data!$E$1:$E$768))/_xlfn.STDEV.P(pima_data!$E$1:$E$768)</f>
        <v>-0.692890572295466</v>
      </c>
      <c r="F637" s="5">
        <f>(pima_data!F637-AVERAGE(pima_data!$F$1:$F$768))/_xlfn.STDEV.P(pima_data!$F$1:$F$768)</f>
        <v>-0.405199606370104</v>
      </c>
      <c r="G637" s="5">
        <f>(pima_data!G637-AVERAGE(pima_data!$G$1:$G$768))/_xlfn.STDEV.P(pima_data!$G$1:$G$768)</f>
        <v>-0.963044275688084</v>
      </c>
      <c r="H637" s="5">
        <f>(pima_data!H637-AVERAGE(pima_data!$H$1:$H$768))/_xlfn.STDEV.P(pima_data!$H$1:$H$768)</f>
        <v>1.25581989815344</v>
      </c>
    </row>
    <row r="638" spans="1:8">
      <c r="A638" s="5">
        <f>(pima_data!A638-AVERAGE(pima_data!$A$1:$A$768))/_xlfn.STDEV.P(pima_data!$A$1:$A$768)</f>
        <v>-0.547918590722547</v>
      </c>
      <c r="B638" s="5">
        <f>(pima_data!B638-AVERAGE(pima_data!$B$1:$B$768))/_xlfn.STDEV.P(pima_data!$B$1:$B$768)</f>
        <v>-0.841722053034759</v>
      </c>
      <c r="C638" s="5">
        <f>(pima_data!C638-AVERAGE(pima_data!$C$1:$C$768))/_xlfn.STDEV.P(pima_data!$C$1:$C$768)</f>
        <v>0.356431752211589</v>
      </c>
      <c r="D638" s="5">
        <f>(pima_data!D638-AVERAGE(pima_data!$D$1:$D$768))/_xlfn.STDEV.P(pima_data!$D$1:$D$768)</f>
        <v>-0.159107113290471</v>
      </c>
      <c r="E638" s="5">
        <f>(pima_data!E638-AVERAGE(pima_data!$E$1:$E$768))/_xlfn.STDEV.P(pima_data!$E$1:$E$768)</f>
        <v>-0.119819441392608</v>
      </c>
      <c r="F638" s="5">
        <f>(pima_data!F638-AVERAGE(pima_data!$F$1:$F$768))/_xlfn.STDEV.P(pima_data!$F$1:$F$768)</f>
        <v>-0.0498257193688892</v>
      </c>
      <c r="G638" s="5">
        <f>(pima_data!G638-AVERAGE(pima_data!$G$1:$G$768))/_xlfn.STDEV.P(pima_data!$G$1:$G$768)</f>
        <v>0.534934588280487</v>
      </c>
      <c r="H638" s="5">
        <f>(pima_data!H638-AVERAGE(pima_data!$H$1:$H$768))/_xlfn.STDEV.P(pima_data!$H$1:$H$768)</f>
        <v>-0.871373930214099</v>
      </c>
    </row>
    <row r="639" spans="1:8">
      <c r="A639" s="5">
        <f>(pima_data!A639-AVERAGE(pima_data!$A$1:$A$768))/_xlfn.STDEV.P(pima_data!$A$1:$A$768)</f>
        <v>0.936913722879839</v>
      </c>
      <c r="B639" s="5">
        <f>(pima_data!B639-AVERAGE(pima_data!$B$1:$B$768))/_xlfn.STDEV.P(pima_data!$B$1:$B$768)</f>
        <v>-0.74783061705354</v>
      </c>
      <c r="C639" s="5">
        <f>(pima_data!C639-AVERAGE(pima_data!$C$1:$C$768))/_xlfn.STDEV.P(pima_data!$C$1:$C$768)</f>
        <v>0.356431752211589</v>
      </c>
      <c r="D639" s="5">
        <f>(pima_data!D639-AVERAGE(pima_data!$D$1:$D$768))/_xlfn.STDEV.P(pima_data!$D$1:$D$768)</f>
        <v>0.719085741996565</v>
      </c>
      <c r="E639" s="5">
        <f>(pima_data!E639-AVERAGE(pima_data!$E$1:$E$768))/_xlfn.STDEV.P(pima_data!$E$1:$E$768)</f>
        <v>0.097252956676657</v>
      </c>
      <c r="F639" s="5">
        <f>(pima_data!F639-AVERAGE(pima_data!$F$1:$F$768))/_xlfn.STDEV.P(pima_data!$F$1:$F$768)</f>
        <v>1.13052326245657</v>
      </c>
      <c r="G639" s="5">
        <f>(pima_data!G639-AVERAGE(pima_data!$G$1:$G$768))/_xlfn.STDEV.P(pima_data!$G$1:$G$768)</f>
        <v>1.20540093465352</v>
      </c>
      <c r="H639" s="5">
        <f>(pima_data!H639-AVERAGE(pima_data!$H$1:$H$768))/_xlfn.STDEV.P(pima_data!$H$1:$H$768)</f>
        <v>-0.105584152001785</v>
      </c>
    </row>
    <row r="640" spans="1:8">
      <c r="A640" s="5">
        <f>(pima_data!A640-AVERAGE(pima_data!$A$1:$A$768))/_xlfn.STDEV.P(pima_data!$A$1:$A$768)</f>
        <v>-0.844885053443025</v>
      </c>
      <c r="B640" s="5">
        <f>(pima_data!B640-AVERAGE(pima_data!$B$1:$B$768))/_xlfn.STDEV.P(pima_data!$B$1:$B$768)</f>
        <v>-0.65393918107232</v>
      </c>
      <c r="C640" s="5">
        <f>(pima_data!C640-AVERAGE(pima_data!$C$1:$C$768))/_xlfn.STDEV.P(pima_data!$C$1:$C$768)</f>
        <v>0.253036252419898</v>
      </c>
      <c r="D640" s="5">
        <f>(pima_data!D640-AVERAGE(pima_data!$D$1:$D$768))/_xlfn.STDEV.P(pima_data!$D$1:$D$768)</f>
        <v>-0.535475479842058</v>
      </c>
      <c r="E640" s="5">
        <f>(pima_data!E640-AVERAGE(pima_data!$E$1:$E$768))/_xlfn.STDEV.P(pima_data!$E$1:$E$768)</f>
        <v>-0.293477359848019</v>
      </c>
      <c r="F640" s="5">
        <f>(pima_data!F640-AVERAGE(pima_data!$F$1:$F$768))/_xlfn.STDEV.P(pima_data!$F$1:$F$768)</f>
        <v>-1.58554858819557</v>
      </c>
      <c r="G640" s="5">
        <f>(pima_data!G640-AVERAGE(pima_data!$G$1:$G$768))/_xlfn.STDEV.P(pima_data!$G$1:$G$768)</f>
        <v>-0.975124750397508</v>
      </c>
      <c r="H640" s="5">
        <f>(pima_data!H640-AVERAGE(pima_data!$H$1:$H$768))/_xlfn.STDEV.P(pima_data!$H$1:$H$768)</f>
        <v>-0.445935164540591</v>
      </c>
    </row>
    <row r="641" spans="1:8">
      <c r="A641" s="5">
        <f>(pima_data!A641-AVERAGE(pima_data!$A$1:$A$768))/_xlfn.STDEV.P(pima_data!$A$1:$A$768)</f>
        <v>-1.1418515161635</v>
      </c>
      <c r="B641" s="5">
        <f>(pima_data!B641-AVERAGE(pima_data!$B$1:$B$768))/_xlfn.STDEV.P(pima_data!$B$1:$B$768)</f>
        <v>-0.591344890418174</v>
      </c>
      <c r="C641" s="5">
        <f>(pima_data!C641-AVERAGE(pima_data!$C$1:$C$768))/_xlfn.STDEV.P(pima_data!$C$1:$C$768)</f>
        <v>0.87340925117004</v>
      </c>
      <c r="D641" s="5">
        <f>(pima_data!D641-AVERAGE(pima_data!$D$1:$D$768))/_xlfn.STDEV.P(pima_data!$D$1:$D$768)</f>
        <v>-0.221835174382402</v>
      </c>
      <c r="E641" s="5">
        <f>(pima_data!E641-AVERAGE(pima_data!$E$1:$E$768))/_xlfn.STDEV.P(pima_data!$E$1:$E$768)</f>
        <v>0.218813499595445</v>
      </c>
      <c r="F641" s="5">
        <f>(pima_data!F641-AVERAGE(pima_data!$F$1:$F$768))/_xlfn.STDEV.P(pima_data!$F$1:$F$768)</f>
        <v>-0.341739983691315</v>
      </c>
      <c r="G641" s="5">
        <f>(pima_data!G641-AVERAGE(pima_data!$G$1:$G$768))/_xlfn.STDEV.P(pima_data!$G$1:$G$768)</f>
        <v>0.673860047438862</v>
      </c>
      <c r="H641" s="5">
        <f>(pima_data!H641-AVERAGE(pima_data!$H$1:$H$768))/_xlfn.STDEV.P(pima_data!$H$1:$H$768)</f>
        <v>-0.531022917675293</v>
      </c>
    </row>
    <row r="642" spans="1:8">
      <c r="A642" s="5">
        <f>(pima_data!A642-AVERAGE(pima_data!$A$1:$A$768))/_xlfn.STDEV.P(pima_data!$A$1:$A$768)</f>
        <v>0.0460143347184072</v>
      </c>
      <c r="B642" s="5">
        <f>(pima_data!B642-AVERAGE(pima_data!$B$1:$B$768))/_xlfn.STDEV.P(pima_data!$B$1:$B$768)</f>
        <v>0.222380888085726</v>
      </c>
      <c r="C642" s="5">
        <f>(pima_data!C642-AVERAGE(pima_data!$C$1:$C$768))/_xlfn.STDEV.P(pima_data!$C$1:$C$768)</f>
        <v>0.0462452528365177</v>
      </c>
      <c r="D642" s="5">
        <f>(pima_data!D642-AVERAGE(pima_data!$D$1:$D$768))/_xlfn.STDEV.P(pima_data!$D$1:$D$768)</f>
        <v>-1.28821221294523</v>
      </c>
      <c r="E642" s="5">
        <f>(pima_data!E642-AVERAGE(pima_data!$E$1:$E$768))/_xlfn.STDEV.P(pima_data!$E$1:$E$768)</f>
        <v>-0.692890572295466</v>
      </c>
      <c r="F642" s="5">
        <f>(pima_data!F642-AVERAGE(pima_data!$F$1:$F$768))/_xlfn.STDEV.P(pima_data!$F$1:$F$768)</f>
        <v>0.292856243096567</v>
      </c>
      <c r="G642" s="5">
        <f>(pima_data!G642-AVERAGE(pima_data!$G$1:$G$768))/_xlfn.STDEV.P(pima_data!$G$1:$G$768)</f>
        <v>-0.510026474084685</v>
      </c>
      <c r="H642" s="5">
        <f>(pima_data!H642-AVERAGE(pima_data!$H$1:$H$768))/_xlfn.STDEV.P(pima_data!$H$1:$H$768)</f>
        <v>-0.786286177079398</v>
      </c>
    </row>
    <row r="643" spans="1:8">
      <c r="A643" s="5">
        <f>(pima_data!A643-AVERAGE(pima_data!$A$1:$A$768))/_xlfn.STDEV.P(pima_data!$A$1:$A$768)</f>
        <v>0.639947260159362</v>
      </c>
      <c r="B643" s="5">
        <f>(pima_data!B643-AVERAGE(pima_data!$B$1:$B$768))/_xlfn.STDEV.P(pima_data!$B$1:$B$768)</f>
        <v>0.817026649300115</v>
      </c>
      <c r="C643" s="5">
        <f>(pima_data!C643-AVERAGE(pima_data!$C$1:$C$768))/_xlfn.STDEV.P(pima_data!$C$1:$C$768)</f>
        <v>0.563222751794969</v>
      </c>
      <c r="D643" s="5">
        <f>(pima_data!D643-AVERAGE(pima_data!$D$1:$D$768))/_xlfn.STDEV.P(pima_data!$D$1:$D$768)</f>
        <v>-1.28821221294523</v>
      </c>
      <c r="E643" s="5">
        <f>(pima_data!E643-AVERAGE(pima_data!$E$1:$E$768))/_xlfn.STDEV.P(pima_data!$E$1:$E$768)</f>
        <v>-0.692890572295466</v>
      </c>
      <c r="F643" s="5">
        <f>(pima_data!F643-AVERAGE(pima_data!$F$1:$F$768))/_xlfn.STDEV.P(pima_data!$F$1:$F$768)</f>
        <v>-0.3163561346198</v>
      </c>
      <c r="G643" s="5">
        <f>(pima_data!G643-AVERAGE(pima_data!$G$1:$G$768))/_xlfn.STDEV.P(pima_data!$G$1:$G$768)</f>
        <v>-0.887541308754184</v>
      </c>
      <c r="H643" s="5">
        <f>(pima_data!H643-AVERAGE(pima_data!$H$1:$H$768))/_xlfn.STDEV.P(pima_data!$H$1:$H$768)</f>
        <v>1.42599540442285</v>
      </c>
    </row>
    <row r="644" spans="1:8">
      <c r="A644" s="5">
        <f>(pima_data!A644-AVERAGE(pima_data!$A$1:$A$768))/_xlfn.STDEV.P(pima_data!$A$1:$A$768)</f>
        <v>0.0460143347184072</v>
      </c>
      <c r="B644" s="5">
        <f>(pima_data!B644-AVERAGE(pima_data!$B$1:$B$768))/_xlfn.STDEV.P(pima_data!$B$1:$B$768)</f>
        <v>-0.966910634343051</v>
      </c>
      <c r="C644" s="5">
        <f>(pima_data!C644-AVERAGE(pima_data!$C$1:$C$768))/_xlfn.STDEV.P(pima_data!$C$1:$C$768)</f>
        <v>-3.57259723987264</v>
      </c>
      <c r="D644" s="5">
        <f>(pima_data!D644-AVERAGE(pima_data!$D$1:$D$768))/_xlfn.STDEV.P(pima_data!$D$1:$D$768)</f>
        <v>-1.28821221294523</v>
      </c>
      <c r="E644" s="5">
        <f>(pima_data!E644-AVERAGE(pima_data!$E$1:$E$768))/_xlfn.STDEV.P(pima_data!$E$1:$E$768)</f>
        <v>-0.692890572295466</v>
      </c>
      <c r="F644" s="5">
        <f>(pima_data!F644-AVERAGE(pima_data!$F$1:$F$768))/_xlfn.STDEV.P(pima_data!$F$1:$F$768)</f>
        <v>-0.506735002656165</v>
      </c>
      <c r="G644" s="5">
        <f>(pima_data!G644-AVERAGE(pima_data!$G$1:$G$768))/_xlfn.STDEV.P(pima_data!$G$1:$G$768)</f>
        <v>0.417149959863603</v>
      </c>
      <c r="H644" s="5">
        <f>(pima_data!H644-AVERAGE(pima_data!$H$1:$H$768))/_xlfn.STDEV.P(pima_data!$H$1:$H$768)</f>
        <v>-0.190671905136486</v>
      </c>
    </row>
    <row r="645" spans="1:8">
      <c r="A645" s="5">
        <f>(pima_data!A645-AVERAGE(pima_data!$A$1:$A$768))/_xlfn.STDEV.P(pima_data!$A$1:$A$768)</f>
        <v>-0.25095212800207</v>
      </c>
      <c r="B645" s="5">
        <f>(pima_data!B645-AVERAGE(pima_data!$B$1:$B$768))/_xlfn.STDEV.P(pima_data!$B$1:$B$768)</f>
        <v>-0.560047745091101</v>
      </c>
      <c r="C645" s="5">
        <f>(pima_data!C645-AVERAGE(pima_data!$C$1:$C$768))/_xlfn.STDEV.P(pima_data!$C$1:$C$768)</f>
        <v>0.149640752628208</v>
      </c>
      <c r="D645" s="5">
        <f>(pima_data!D645-AVERAGE(pima_data!$D$1:$D$768))/_xlfn.STDEV.P(pima_data!$D$1:$D$768)</f>
        <v>0.593629619812703</v>
      </c>
      <c r="E645" s="5">
        <f>(pima_data!E645-AVERAGE(pima_data!$E$1:$E$768))/_xlfn.STDEV.P(pima_data!$E$1:$E$768)</f>
        <v>0.626909607965663</v>
      </c>
      <c r="F645" s="5">
        <f>(pima_data!F645-AVERAGE(pima_data!$F$1:$F$768))/_xlfn.STDEV.P(pima_data!$F$1:$F$768)</f>
        <v>-0.557502700799195</v>
      </c>
      <c r="G645" s="5">
        <f>(pima_data!G645-AVERAGE(pima_data!$G$1:$G$768))/_xlfn.STDEV.P(pima_data!$G$1:$G$768)</f>
        <v>0.779564201146322</v>
      </c>
      <c r="H645" s="5">
        <f>(pima_data!H645-AVERAGE(pima_data!$H$1:$H$768))/_xlfn.STDEV.P(pima_data!$H$1:$H$768)</f>
        <v>-0.531022917675293</v>
      </c>
    </row>
    <row r="646" spans="1:8">
      <c r="A646" s="5">
        <f>(pima_data!A646-AVERAGE(pima_data!$A$1:$A$768))/_xlfn.STDEV.P(pima_data!$A$1:$A$768)</f>
        <v>-0.547918590722547</v>
      </c>
      <c r="B646" s="5">
        <f>(pima_data!B646-AVERAGE(pima_data!$B$1:$B$768))/_xlfn.STDEV.P(pima_data!$B$1:$B$768)</f>
        <v>1.12999810257085</v>
      </c>
      <c r="C646" s="5">
        <f>(pima_data!C646-AVERAGE(pima_data!$C$1:$C$768))/_xlfn.STDEV.P(pima_data!$C$1:$C$768)</f>
        <v>0.253036252419898</v>
      </c>
      <c r="D646" s="5">
        <f>(pima_data!D646-AVERAGE(pima_data!$D$1:$D$768))/_xlfn.STDEV.P(pima_data!$D$1:$D$768)</f>
        <v>0.907269925272359</v>
      </c>
      <c r="E646" s="5">
        <f>(pima_data!E646-AVERAGE(pima_data!$E$1:$E$768))/_xlfn.STDEV.P(pima_data!$E$1:$E$768)</f>
        <v>3.12758363372359</v>
      </c>
      <c r="F646" s="5">
        <f>(pima_data!F646-AVERAGE(pima_data!$F$1:$F$768))/_xlfn.STDEV.P(pima_data!$F$1:$F$768)</f>
        <v>0.940144394420207</v>
      </c>
      <c r="G646" s="5">
        <f>(pima_data!G646-AVERAGE(pima_data!$G$1:$G$768))/_xlfn.STDEV.P(pima_data!$G$1:$G$768)</f>
        <v>-1.02042653055785</v>
      </c>
      <c r="H646" s="5">
        <f>(pima_data!H646-AVERAGE(pima_data!$H$1:$H$768))/_xlfn.STDEV.P(pima_data!$H$1:$H$768)</f>
        <v>-0.275759658271188</v>
      </c>
    </row>
    <row r="647" spans="1:8">
      <c r="A647" s="5">
        <f>(pima_data!A647-AVERAGE(pima_data!$A$1:$A$768))/_xlfn.STDEV.P(pima_data!$A$1:$A$768)</f>
        <v>-0.844885053443025</v>
      </c>
      <c r="B647" s="5">
        <f>(pima_data!B647-AVERAGE(pima_data!$B$1:$B$768))/_xlfn.STDEV.P(pima_data!$B$1:$B$768)</f>
        <v>1.44296955584158</v>
      </c>
      <c r="C647" s="5">
        <f>(pima_data!C647-AVERAGE(pima_data!$C$1:$C$768))/_xlfn.STDEV.P(pima_data!$C$1:$C$768)</f>
        <v>0.253036252419898</v>
      </c>
      <c r="D647" s="5">
        <f>(pima_data!D647-AVERAGE(pima_data!$D$1:$D$768))/_xlfn.STDEV.P(pima_data!$D$1:$D$768)</f>
        <v>-0.221835174382402</v>
      </c>
      <c r="E647" s="5">
        <f>(pima_data!E647-AVERAGE(pima_data!$E$1:$E$768))/_xlfn.STDEV.P(pima_data!$E$1:$E$768)</f>
        <v>0.557446440583498</v>
      </c>
      <c r="F647" s="5">
        <f>(pima_data!F647-AVERAGE(pima_data!$F$1:$F$768))/_xlfn.STDEV.P(pima_data!$F$1:$F$768)</f>
        <v>-1.09056353130102</v>
      </c>
      <c r="G647" s="5">
        <f>(pima_data!G647-AVERAGE(pima_data!$G$1:$G$768))/_xlfn.STDEV.P(pima_data!$G$1:$G$768)</f>
        <v>-0.0751293845454228</v>
      </c>
      <c r="H647" s="5">
        <f>(pima_data!H647-AVERAGE(pima_data!$H$1:$H$768))/_xlfn.STDEV.P(pima_data!$H$1:$H$768)</f>
        <v>-0.0204963988670829</v>
      </c>
    </row>
    <row r="648" spans="1:8">
      <c r="A648" s="5">
        <f>(pima_data!A648-AVERAGE(pima_data!$A$1:$A$768))/_xlfn.STDEV.P(pima_data!$A$1:$A$768)</f>
        <v>-1.1418515161635</v>
      </c>
      <c r="B648" s="5">
        <f>(pima_data!B648-AVERAGE(pima_data!$B$1:$B$768))/_xlfn.STDEV.P(pima_data!$B$1:$B$768)</f>
        <v>1.81853529976645</v>
      </c>
      <c r="C648" s="5">
        <f>(pima_data!C648-AVERAGE(pima_data!$C$1:$C$768))/_xlfn.STDEV.P(pima_data!$C$1:$C$768)</f>
        <v>-0.987709745080385</v>
      </c>
      <c r="D648" s="5">
        <f>(pima_data!D648-AVERAGE(pima_data!$D$1:$D$768))/_xlfn.STDEV.P(pima_data!$D$1:$D$768)</f>
        <v>0.96999798636429</v>
      </c>
      <c r="E648" s="5">
        <f>(pima_data!E648-AVERAGE(pima_data!$E$1:$E$768))/_xlfn.STDEV.P(pima_data!$E$1:$E$768)</f>
        <v>0.687689879425057</v>
      </c>
      <c r="F648" s="5">
        <f>(pima_data!F648-AVERAGE(pima_data!$F$1:$F$768))/_xlfn.STDEV.P(pima_data!$F$1:$F$768)</f>
        <v>0.737073601848085</v>
      </c>
      <c r="G648" s="5">
        <f>(pima_data!G648-AVERAGE(pima_data!$G$1:$G$768))/_xlfn.STDEV.P(pima_data!$G$1:$G$768)</f>
        <v>-0.0509684351265748</v>
      </c>
      <c r="H648" s="5">
        <f>(pima_data!H648-AVERAGE(pima_data!$H$1:$H$768))/_xlfn.STDEV.P(pima_data!$H$1:$H$768)</f>
        <v>-0.956461683348801</v>
      </c>
    </row>
    <row r="649" spans="1:8">
      <c r="A649" s="5">
        <f>(pima_data!A649-AVERAGE(pima_data!$A$1:$A$768))/_xlfn.STDEV.P(pima_data!$A$1:$A$768)</f>
        <v>2.12477957376175</v>
      </c>
      <c r="B649" s="5">
        <f>(pima_data!B649-AVERAGE(pima_data!$B$1:$B$768))/_xlfn.STDEV.P(pima_data!$B$1:$B$768)</f>
        <v>0.472758050702311</v>
      </c>
      <c r="C649" s="5">
        <f>(pima_data!C649-AVERAGE(pima_data!$C$1:$C$768))/_xlfn.STDEV.P(pima_data!$C$1:$C$768)</f>
        <v>0.77001375137835</v>
      </c>
      <c r="D649" s="5">
        <f>(pima_data!D649-AVERAGE(pima_data!$D$1:$D$768))/_xlfn.STDEV.P(pima_data!$D$1:$D$768)</f>
        <v>0.907269925272359</v>
      </c>
      <c r="E649" s="5">
        <f>(pima_data!E649-AVERAGE(pima_data!$E$1:$E$768))/_xlfn.STDEV.P(pima_data!$E$1:$E$768)</f>
        <v>0.43588589766471</v>
      </c>
      <c r="F649" s="5">
        <f>(pima_data!F649-AVERAGE(pima_data!$F$1:$F$768))/_xlfn.STDEV.P(pima_data!$F$1:$F$768)</f>
        <v>-0.468659229048892</v>
      </c>
      <c r="G649" s="5">
        <f>(pima_data!G649-AVERAGE(pima_data!$G$1:$G$768))/_xlfn.STDEV.P(pima_data!$G$1:$G$768)</f>
        <v>-0.639891577210993</v>
      </c>
      <c r="H649" s="5">
        <f>(pima_data!H649-AVERAGE(pima_data!$H$1:$H$768))/_xlfn.STDEV.P(pima_data!$H$1:$H$768)</f>
        <v>0.745293379345232</v>
      </c>
    </row>
    <row r="650" spans="1:8">
      <c r="A650" s="5">
        <f>(pima_data!A650-AVERAGE(pima_data!$A$1:$A$768))/_xlfn.STDEV.P(pima_data!$A$1:$A$768)</f>
        <v>-1.1418515161635</v>
      </c>
      <c r="B650" s="5">
        <f>(pima_data!B650-AVERAGE(pima_data!$B$1:$B$768))/_xlfn.STDEV.P(pima_data!$B$1:$B$768)</f>
        <v>-0.434859163782809</v>
      </c>
      <c r="C650" s="5">
        <f>(pima_data!C650-AVERAGE(pima_data!$C$1:$C$768))/_xlfn.STDEV.P(pima_data!$C$1:$C$768)</f>
        <v>-0.470732246121934</v>
      </c>
      <c r="D650" s="5">
        <f>(pima_data!D650-AVERAGE(pima_data!$D$1:$D$768))/_xlfn.STDEV.P(pima_data!$D$1:$D$768)</f>
        <v>0.279989314353047</v>
      </c>
      <c r="E650" s="5">
        <f>(pima_data!E650-AVERAGE(pima_data!$E$1:$E$768))/_xlfn.STDEV.P(pima_data!$E$1:$E$768)</f>
        <v>-0.692890572295466</v>
      </c>
      <c r="F650" s="5">
        <f>(pima_data!F650-AVERAGE(pima_data!$F$1:$F$768))/_xlfn.STDEV.P(pima_data!$F$1:$F$768)</f>
        <v>-0.709805795228287</v>
      </c>
      <c r="G650" s="5">
        <f>(pima_data!G650-AVERAGE(pima_data!$G$1:$G$768))/_xlfn.STDEV.P(pima_data!$G$1:$G$768)</f>
        <v>-1.0234466492352</v>
      </c>
      <c r="H650" s="5">
        <f>(pima_data!H650-AVERAGE(pima_data!$H$1:$H$768))/_xlfn.STDEV.P(pima_data!$H$1:$H$768)</f>
        <v>-0.871373930214099</v>
      </c>
    </row>
    <row r="651" spans="1:8">
      <c r="A651" s="5">
        <f>(pima_data!A651-AVERAGE(pima_data!$A$1:$A$768))/_xlfn.STDEV.P(pima_data!$A$1:$A$768)</f>
        <v>-0.844885053443025</v>
      </c>
      <c r="B651" s="5">
        <f>(pima_data!B651-AVERAGE(pima_data!$B$1:$B$768))/_xlfn.STDEV.P(pima_data!$B$1:$B$768)</f>
        <v>-0.935613489015978</v>
      </c>
      <c r="C651" s="5">
        <f>(pima_data!C651-AVERAGE(pima_data!$C$1:$C$768))/_xlfn.STDEV.P(pima_data!$C$1:$C$768)</f>
        <v>-0.780918745497004</v>
      </c>
      <c r="D651" s="5">
        <f>(pima_data!D651-AVERAGE(pima_data!$D$1:$D$768))/_xlfn.STDEV.P(pima_data!$D$1:$D$768)</f>
        <v>0.279989314353047</v>
      </c>
      <c r="E651" s="5">
        <f>(pima_data!E651-AVERAGE(pima_data!$E$1:$E$768))/_xlfn.STDEV.P(pima_data!$E$1:$E$768)</f>
        <v>0.175399019981592</v>
      </c>
      <c r="F651" s="5">
        <f>(pima_data!F651-AVERAGE(pima_data!$F$1:$F$768))/_xlfn.STDEV.P(pima_data!$F$1:$F$768)</f>
        <v>-0.862108889657379</v>
      </c>
      <c r="G651" s="5">
        <f>(pima_data!G651-AVERAGE(pima_data!$G$1:$G$768))/_xlfn.STDEV.P(pima_data!$G$1:$G$768)</f>
        <v>-0.718414662822248</v>
      </c>
      <c r="H651" s="5">
        <f>(pima_data!H651-AVERAGE(pima_data!$H$1:$H$768))/_xlfn.STDEV.P(pima_data!$H$1:$H$768)</f>
        <v>-0.871373930214099</v>
      </c>
    </row>
    <row r="652" spans="1:8">
      <c r="A652" s="5">
        <f>(pima_data!A652-AVERAGE(pima_data!$A$1:$A$768))/_xlfn.STDEV.P(pima_data!$A$1:$A$768)</f>
        <v>-0.844885053443025</v>
      </c>
      <c r="B652" s="5">
        <f>(pima_data!B652-AVERAGE(pima_data!$B$1:$B$768))/_xlfn.STDEV.P(pima_data!$B$1:$B$768)</f>
        <v>-0.121887710512078</v>
      </c>
      <c r="C652" s="5">
        <f>(pima_data!C652-AVERAGE(pima_data!$C$1:$C$768))/_xlfn.STDEV.P(pima_data!$C$1:$C$768)</f>
        <v>-0.470732246121934</v>
      </c>
      <c r="D652" s="5">
        <f>(pima_data!D652-AVERAGE(pima_data!$D$1:$D$768))/_xlfn.STDEV.P(pima_data!$D$1:$D$768)</f>
        <v>0.154533192169185</v>
      </c>
      <c r="E652" s="5">
        <f>(pima_data!E652-AVERAGE(pima_data!$E$1:$E$768))/_xlfn.STDEV.P(pima_data!$E$1:$E$768)</f>
        <v>0.227496395518216</v>
      </c>
      <c r="F652" s="5">
        <f>(pima_data!F652-AVERAGE(pima_data!$F$1:$F$768))/_xlfn.STDEV.P(pima_data!$F$1:$F$768)</f>
        <v>0.229396620417779</v>
      </c>
      <c r="G652" s="5">
        <f>(pima_data!G652-AVERAGE(pima_data!$G$1:$G$768))/_xlfn.STDEV.P(pima_data!$G$1:$G$768)</f>
        <v>-0.0177471296756589</v>
      </c>
      <c r="H652" s="5">
        <f>(pima_data!H652-AVERAGE(pima_data!$H$1:$H$768))/_xlfn.STDEV.P(pima_data!$H$1:$H$768)</f>
        <v>-0.531022917675293</v>
      </c>
    </row>
    <row r="653" spans="1:8">
      <c r="A653" s="5">
        <f>(pima_data!A653-AVERAGE(pima_data!$A$1:$A$768))/_xlfn.STDEV.P(pima_data!$A$1:$A$768)</f>
        <v>0.342980797438884</v>
      </c>
      <c r="B653" s="5">
        <f>(pima_data!B653-AVERAGE(pima_data!$B$1:$B$768))/_xlfn.STDEV.P(pima_data!$B$1:$B$768)</f>
        <v>0.0658951614503609</v>
      </c>
      <c r="C653" s="5">
        <f>(pima_data!C653-AVERAGE(pima_data!$C$1:$C$768))/_xlfn.STDEV.P(pima_data!$C$1:$C$768)</f>
        <v>0.253036252419898</v>
      </c>
      <c r="D653" s="5">
        <f>(pima_data!D653-AVERAGE(pima_data!$D$1:$D$768))/_xlfn.STDEV.P(pima_data!$D$1:$D$768)</f>
        <v>1.22091023073201</v>
      </c>
      <c r="E653" s="5">
        <f>(pima_data!E653-AVERAGE(pima_data!$E$1:$E$768))/_xlfn.STDEV.P(pima_data!$E$1:$E$768)</f>
        <v>-0.0243075862421312</v>
      </c>
      <c r="F653" s="5">
        <f>(pima_data!F653-AVERAGE(pima_data!$F$1:$F$768))/_xlfn.STDEV.P(pima_data!$F$1:$F$768)</f>
        <v>0.267472394025052</v>
      </c>
      <c r="G653" s="5">
        <f>(pima_data!G653-AVERAGE(pima_data!$G$1:$G$768))/_xlfn.STDEV.P(pima_data!$G$1:$G$768)</f>
        <v>-0.612710509114789</v>
      </c>
      <c r="H653" s="5">
        <f>(pima_data!H653-AVERAGE(pima_data!$H$1:$H$768))/_xlfn.STDEV.P(pima_data!$H$1:$H$768)</f>
        <v>-0.445935164540591</v>
      </c>
    </row>
    <row r="654" spans="1:8">
      <c r="A654" s="5">
        <f>(pima_data!A654-AVERAGE(pima_data!$A$1:$A$768))/_xlfn.STDEV.P(pima_data!$A$1:$A$768)</f>
        <v>-0.547918590722547</v>
      </c>
      <c r="B654" s="5">
        <f>(pima_data!B654-AVERAGE(pima_data!$B$1:$B$768))/_xlfn.STDEV.P(pima_data!$B$1:$B$768)</f>
        <v>-0.0279962745308584</v>
      </c>
      <c r="C654" s="5">
        <f>(pima_data!C654-AVERAGE(pima_data!$C$1:$C$768))/_xlfn.STDEV.P(pima_data!$C$1:$C$768)</f>
        <v>-0.780918745497004</v>
      </c>
      <c r="D654" s="5">
        <f>(pima_data!D654-AVERAGE(pima_data!$D$1:$D$768))/_xlfn.STDEV.P(pima_data!$D$1:$D$768)</f>
        <v>-1.28821221294523</v>
      </c>
      <c r="E654" s="5">
        <f>(pima_data!E654-AVERAGE(pima_data!$E$1:$E$768))/_xlfn.STDEV.P(pima_data!$E$1:$E$768)</f>
        <v>-0.692890572295466</v>
      </c>
      <c r="F654" s="5">
        <f>(pima_data!F654-AVERAGE(pima_data!$F$1:$F$768))/_xlfn.STDEV.P(pima_data!$F$1:$F$768)</f>
        <v>-0.659038097085257</v>
      </c>
      <c r="G654" s="5">
        <f>(pima_data!G654-AVERAGE(pima_data!$G$1:$G$768))/_xlfn.STDEV.P(pima_data!$G$1:$G$768)</f>
        <v>-0.0509684351265748</v>
      </c>
      <c r="H654" s="5">
        <f>(pima_data!H654-AVERAGE(pima_data!$H$1:$H$768))/_xlfn.STDEV.P(pima_data!$H$1:$H$768)</f>
        <v>-0.531022917675293</v>
      </c>
    </row>
    <row r="655" spans="1:8">
      <c r="A655" s="5">
        <f>(pima_data!A655-AVERAGE(pima_data!$A$1:$A$768))/_xlfn.STDEV.P(pima_data!$A$1:$A$768)</f>
        <v>-0.844885053443025</v>
      </c>
      <c r="B655" s="5">
        <f>(pima_data!B655-AVERAGE(pima_data!$B$1:$B$768))/_xlfn.STDEV.P(pima_data!$B$1:$B$768)</f>
        <v>-0.466156309109882</v>
      </c>
      <c r="C655" s="5">
        <f>(pima_data!C655-AVERAGE(pima_data!$C$1:$C$768))/_xlfn.STDEV.P(pima_data!$C$1:$C$768)</f>
        <v>0.0462452528365177</v>
      </c>
      <c r="D655" s="5">
        <f>(pima_data!D655-AVERAGE(pima_data!$D$1:$D$768))/_xlfn.STDEV.P(pima_data!$D$1:$D$768)</f>
        <v>0.468173497628841</v>
      </c>
      <c r="E655" s="5">
        <f>(pima_data!E655-AVERAGE(pima_data!$E$1:$E$768))/_xlfn.STDEV.P(pima_data!$E$1:$E$768)</f>
        <v>0.479300377278563</v>
      </c>
      <c r="F655" s="5">
        <f>(pima_data!F655-AVERAGE(pima_data!$F$1:$F$768))/_xlfn.STDEV.P(pima_data!$F$1:$F$768)</f>
        <v>0.28016431856081</v>
      </c>
      <c r="G655" s="5">
        <f>(pima_data!G655-AVERAGE(pima_data!$G$1:$G$768))/_xlfn.STDEV.P(pima_data!$G$1:$G$768)</f>
        <v>-0.996265581139</v>
      </c>
      <c r="H655" s="5">
        <f>(pima_data!H655-AVERAGE(pima_data!$H$1:$H$768))/_xlfn.STDEV.P(pima_data!$H$1:$H$768)</f>
        <v>-0.956461683348801</v>
      </c>
    </row>
    <row r="656" spans="1:8">
      <c r="A656" s="5">
        <f>(pima_data!A656-AVERAGE(pima_data!$A$1:$A$768))/_xlfn.STDEV.P(pima_data!$A$1:$A$768)</f>
        <v>-0.547918590722547</v>
      </c>
      <c r="B656" s="5">
        <f>(pima_data!B656-AVERAGE(pima_data!$B$1:$B$768))/_xlfn.STDEV.P(pima_data!$B$1:$B$768)</f>
        <v>1.0674038119167</v>
      </c>
      <c r="C656" s="5">
        <f>(pima_data!C656-AVERAGE(pima_data!$C$1:$C$768))/_xlfn.STDEV.P(pima_data!$C$1:$C$768)</f>
        <v>-0.884314245288695</v>
      </c>
      <c r="D656" s="5">
        <f>(pima_data!D656-AVERAGE(pima_data!$D$1:$D$768))/_xlfn.STDEV.P(pima_data!$D$1:$D$768)</f>
        <v>0.40544543653691</v>
      </c>
      <c r="E656" s="5">
        <f>(pima_data!E656-AVERAGE(pima_data!$E$1:$E$768))/_xlfn.STDEV.P(pima_data!$E$1:$E$768)</f>
        <v>3.99587322600065</v>
      </c>
      <c r="F656" s="5">
        <f>(pima_data!F656-AVERAGE(pima_data!$F$1:$F$768))/_xlfn.STDEV.P(pima_data!$F$1:$F$768)</f>
        <v>0.851300922669904</v>
      </c>
      <c r="G656" s="5">
        <f>(pima_data!G656-AVERAGE(pima_data!$G$1:$G$768))/_xlfn.STDEV.P(pima_data!$G$1:$G$768)</f>
        <v>-0.700293950758113</v>
      </c>
      <c r="H656" s="5">
        <f>(pima_data!H656-AVERAGE(pima_data!$H$1:$H$768))/_xlfn.STDEV.P(pima_data!$H$1:$H$768)</f>
        <v>-0.701198423944696</v>
      </c>
    </row>
    <row r="657" spans="1:8">
      <c r="A657" s="5">
        <f>(pima_data!A657-AVERAGE(pima_data!$A$1:$A$768))/_xlfn.STDEV.P(pima_data!$A$1:$A$768)</f>
        <v>-0.547918590722547</v>
      </c>
      <c r="B657" s="5">
        <f>(pima_data!B657-AVERAGE(pima_data!$B$1:$B$768))/_xlfn.STDEV.P(pima_data!$B$1:$B$768)</f>
        <v>-0.622642035745247</v>
      </c>
      <c r="C657" s="5">
        <f>(pima_data!C657-AVERAGE(pima_data!$C$1:$C$768))/_xlfn.STDEV.P(pima_data!$C$1:$C$768)</f>
        <v>-0.574127745913624</v>
      </c>
      <c r="D657" s="5">
        <f>(pima_data!D657-AVERAGE(pima_data!$D$1:$D$768))/_xlfn.STDEV.P(pima_data!$D$1:$D$768)</f>
        <v>0.907269925272359</v>
      </c>
      <c r="E657" s="5">
        <f>(pima_data!E657-AVERAGE(pima_data!$E$1:$E$768))/_xlfn.STDEV.P(pima_data!$E$1:$E$768)</f>
        <v>0.0885700607538864</v>
      </c>
      <c r="F657" s="5">
        <f>(pima_data!F657-AVERAGE(pima_data!$F$1:$F$768))/_xlfn.STDEV.P(pima_data!$F$1:$F$768)</f>
        <v>-1.29363432387314</v>
      </c>
      <c r="G657" s="5">
        <f>(pima_data!G657-AVERAGE(pima_data!$G$1:$G$768))/_xlfn.STDEV.P(pima_data!$G$1:$G$768)</f>
        <v>-0.957004038333372</v>
      </c>
      <c r="H657" s="5">
        <f>(pima_data!H657-AVERAGE(pima_data!$H$1:$H$768))/_xlfn.STDEV.P(pima_data!$H$1:$H$768)</f>
        <v>-0.956461683348801</v>
      </c>
    </row>
    <row r="658" spans="1:8">
      <c r="A658" s="5">
        <f>(pima_data!A658-AVERAGE(pima_data!$A$1:$A$768))/_xlfn.STDEV.P(pima_data!$A$1:$A$768)</f>
        <v>-0.844885053443025</v>
      </c>
      <c r="B658" s="5">
        <f>(pima_data!B658-AVERAGE(pima_data!$B$1:$B$768))/_xlfn.STDEV.P(pima_data!$B$1:$B$768)</f>
        <v>-0.0279962745308584</v>
      </c>
      <c r="C658" s="5">
        <f>(pima_data!C658-AVERAGE(pima_data!$C$1:$C$768))/_xlfn.STDEV.P(pima_data!$C$1:$C$768)</f>
        <v>0.563222751794969</v>
      </c>
      <c r="D658" s="5">
        <f>(pima_data!D658-AVERAGE(pima_data!$D$1:$D$768))/_xlfn.STDEV.P(pima_data!$D$1:$D$768)</f>
        <v>1.72273471946746</v>
      </c>
      <c r="E658" s="5">
        <f>(pima_data!E658-AVERAGE(pima_data!$E$1:$E$768))/_xlfn.STDEV.P(pima_data!$E$1:$E$768)</f>
        <v>1.04368861225865</v>
      </c>
      <c r="F658" s="5">
        <f>(pima_data!F658-AVERAGE(pima_data!$F$1:$F$768))/_xlfn.STDEV.P(pima_data!$F$1:$F$768)</f>
        <v>0.876684771741419</v>
      </c>
      <c r="G658" s="5">
        <f>(pima_data!G658-AVERAGE(pima_data!$G$1:$G$768))/_xlfn.STDEV.P(pima_data!$G$1:$G$768)</f>
        <v>2.08425546976411</v>
      </c>
      <c r="H658" s="5">
        <f>(pima_data!H658-AVERAGE(pima_data!$H$1:$H$768))/_xlfn.STDEV.P(pima_data!$H$1:$H$768)</f>
        <v>0.66020562621053</v>
      </c>
    </row>
    <row r="659" spans="1:8">
      <c r="A659" s="5">
        <f>(pima_data!A659-AVERAGE(pima_data!$A$1:$A$768))/_xlfn.STDEV.P(pima_data!$A$1:$A$768)</f>
        <v>2.12477957376175</v>
      </c>
      <c r="B659" s="5">
        <f>(pima_data!B659-AVERAGE(pima_data!$B$1:$B$768))/_xlfn.STDEV.P(pima_data!$B$1:$B$768)</f>
        <v>0.191083742758653</v>
      </c>
      <c r="C659" s="5">
        <f>(pima_data!C659-AVERAGE(pima_data!$C$1:$C$768))/_xlfn.STDEV.P(pima_data!$C$1:$C$768)</f>
        <v>1.90736424908694</v>
      </c>
      <c r="D659" s="5">
        <f>(pima_data!D659-AVERAGE(pima_data!$D$1:$D$768))/_xlfn.STDEV.P(pima_data!$D$1:$D$768)</f>
        <v>-1.28821221294523</v>
      </c>
      <c r="E659" s="5">
        <f>(pima_data!E659-AVERAGE(pima_data!$E$1:$E$768))/_xlfn.STDEV.P(pima_data!$E$1:$E$768)</f>
        <v>-0.692890572295466</v>
      </c>
      <c r="F659" s="5">
        <f>(pima_data!F659-AVERAGE(pima_data!$F$1:$F$768))/_xlfn.STDEV.P(pima_data!$F$1:$F$768)</f>
        <v>0.889376696277177</v>
      </c>
      <c r="G659" s="5">
        <f>(pima_data!G659-AVERAGE(pima_data!$G$1:$G$768))/_xlfn.STDEV.P(pima_data!$G$1:$G$768)</f>
        <v>-0.851299884625912</v>
      </c>
      <c r="H659" s="5">
        <f>(pima_data!H659-AVERAGE(pima_data!$H$1:$H$768))/_xlfn.STDEV.P(pima_data!$H$1:$H$768)</f>
        <v>1.51108315755755</v>
      </c>
    </row>
    <row r="660" spans="1:8">
      <c r="A660" s="5">
        <f>(pima_data!A660-AVERAGE(pima_data!$A$1:$A$768))/_xlfn.STDEV.P(pima_data!$A$1:$A$768)</f>
        <v>-0.25095212800207</v>
      </c>
      <c r="B660" s="5">
        <f>(pima_data!B660-AVERAGE(pima_data!$B$1:$B$768))/_xlfn.STDEV.P(pima_data!$B$1:$B$768)</f>
        <v>-1.27988208761378</v>
      </c>
      <c r="C660" s="5">
        <f>(pima_data!C660-AVERAGE(pima_data!$C$1:$C$768))/_xlfn.STDEV.P(pima_data!$C$1:$C$768)</f>
        <v>0.666618251586659</v>
      </c>
      <c r="D660" s="5">
        <f>(pima_data!D660-AVERAGE(pima_data!$D$1:$D$768))/_xlfn.STDEV.P(pima_data!$D$1:$D$768)</f>
        <v>0.656357680904634</v>
      </c>
      <c r="E660" s="5">
        <f>(pima_data!E660-AVERAGE(pima_data!$E$1:$E$768))/_xlfn.STDEV.P(pima_data!$E$1:$E$768)</f>
        <v>-0.0850878577015253</v>
      </c>
      <c r="F660" s="5">
        <f>(pima_data!F660-AVERAGE(pima_data!$F$1:$F$768))/_xlfn.STDEV.P(pima_data!$F$1:$F$768)</f>
        <v>0.28016431856081</v>
      </c>
      <c r="G660" s="5">
        <f>(pima_data!G660-AVERAGE(pima_data!$G$1:$G$768))/_xlfn.STDEV.P(pima_data!$G$1:$G$768)</f>
        <v>2.47687089782039</v>
      </c>
      <c r="H660" s="5">
        <f>(pima_data!H660-AVERAGE(pima_data!$H$1:$H$768))/_xlfn.STDEV.P(pima_data!$H$1:$H$768)</f>
        <v>-0.531022917675293</v>
      </c>
    </row>
    <row r="661" spans="1:8">
      <c r="A661" s="5">
        <f>(pima_data!A661-AVERAGE(pima_data!$A$1:$A$768))/_xlfn.STDEV.P(pima_data!$A$1:$A$768)</f>
        <v>1.82781311104127</v>
      </c>
      <c r="B661" s="5">
        <f>(pima_data!B661-AVERAGE(pima_data!$B$1:$B$768))/_xlfn.STDEV.P(pima_data!$B$1:$B$768)</f>
        <v>1.28648382920621</v>
      </c>
      <c r="C661" s="5">
        <f>(pima_data!C661-AVERAGE(pima_data!$C$1:$C$768))/_xlfn.STDEV.P(pima_data!$C$1:$C$768)</f>
        <v>0.77001375137835</v>
      </c>
      <c r="D661" s="5">
        <f>(pima_data!D661-AVERAGE(pima_data!$D$1:$D$768))/_xlfn.STDEV.P(pima_data!$D$1:$D$768)</f>
        <v>-1.28821221294523</v>
      </c>
      <c r="E661" s="5">
        <f>(pima_data!E661-AVERAGE(pima_data!$E$1:$E$768))/_xlfn.STDEV.P(pima_data!$E$1:$E$768)</f>
        <v>-0.692890572295466</v>
      </c>
      <c r="F661" s="5">
        <f>(pima_data!F661-AVERAGE(pima_data!$F$1:$F$768))/_xlfn.STDEV.P(pima_data!$F$1:$F$768)</f>
        <v>-0.544810776263438</v>
      </c>
      <c r="G661" s="5">
        <f>(pima_data!G661-AVERAGE(pima_data!$G$1:$G$768))/_xlfn.STDEV.P(pima_data!$G$1:$G$768)</f>
        <v>-0.87546083404476</v>
      </c>
      <c r="H661" s="5">
        <f>(pima_data!H661-AVERAGE(pima_data!$H$1:$H$768))/_xlfn.STDEV.P(pima_data!$H$1:$H$768)</f>
        <v>1.76634641696165</v>
      </c>
    </row>
    <row r="662" spans="1:8">
      <c r="A662" s="5">
        <f>(pima_data!A662-AVERAGE(pima_data!$A$1:$A$768))/_xlfn.STDEV.P(pima_data!$A$1:$A$768)</f>
        <v>-0.844885053443025</v>
      </c>
      <c r="B662" s="5">
        <f>(pima_data!B662-AVERAGE(pima_data!$B$1:$B$768))/_xlfn.STDEV.P(pima_data!$B$1:$B$768)</f>
        <v>2.44447820630792</v>
      </c>
      <c r="C662" s="5">
        <f>(pima_data!C662-AVERAGE(pima_data!$C$1:$C$768))/_xlfn.STDEV.P(pima_data!$C$1:$C$768)</f>
        <v>0.356431752211589</v>
      </c>
      <c r="D662" s="5">
        <f>(pima_data!D662-AVERAGE(pima_data!$D$1:$D$768))/_xlfn.STDEV.P(pima_data!$D$1:$D$768)</f>
        <v>1.40909441400781</v>
      </c>
      <c r="E662" s="5">
        <f>(pima_data!E662-AVERAGE(pima_data!$E$1:$E$768))/_xlfn.STDEV.P(pima_data!$E$1:$E$768)</f>
        <v>-0.692890572295466</v>
      </c>
      <c r="F662" s="5">
        <f>(pima_data!F662-AVERAGE(pima_data!$F$1:$F$768))/_xlfn.STDEV.P(pima_data!$F$1:$F$768)</f>
        <v>1.38436175317173</v>
      </c>
      <c r="G662" s="5">
        <f>(pima_data!G662-AVERAGE(pima_data!$G$1:$G$768))/_xlfn.STDEV.P(pima_data!$G$1:$G$768)</f>
        <v>2.7849230029107</v>
      </c>
      <c r="H662" s="5">
        <f>(pima_data!H662-AVERAGE(pima_data!$H$1:$H$768))/_xlfn.STDEV.P(pima_data!$H$1:$H$768)</f>
        <v>-0.956461683348801</v>
      </c>
    </row>
    <row r="663" spans="1:8">
      <c r="A663" s="5">
        <f>(pima_data!A663-AVERAGE(pima_data!$A$1:$A$768))/_xlfn.STDEV.P(pima_data!$A$1:$A$768)</f>
        <v>1.23388018560032</v>
      </c>
      <c r="B663" s="5">
        <f>(pima_data!B663-AVERAGE(pima_data!$B$1:$B$768))/_xlfn.STDEV.P(pima_data!$B$1:$B$768)</f>
        <v>1.44296955584158</v>
      </c>
      <c r="C663" s="5">
        <f>(pima_data!C663-AVERAGE(pima_data!$C$1:$C$768))/_xlfn.STDEV.P(pima_data!$C$1:$C$768)</f>
        <v>1.90736424908694</v>
      </c>
      <c r="D663" s="5">
        <f>(pima_data!D663-AVERAGE(pima_data!$D$1:$D$768))/_xlfn.STDEV.P(pima_data!$D$1:$D$768)</f>
        <v>1.5972785972836</v>
      </c>
      <c r="E663" s="5">
        <f>(pima_data!E663-AVERAGE(pima_data!$E$1:$E$768))/_xlfn.STDEV.P(pima_data!$E$1:$E$768)</f>
        <v>1.31285838586454</v>
      </c>
      <c r="F663" s="5">
        <f>(pima_data!F663-AVERAGE(pima_data!$F$1:$F$768))/_xlfn.STDEV.P(pima_data!$F$1:$F$768)</f>
        <v>0.71168975277657</v>
      </c>
      <c r="G663" s="5">
        <f>(pima_data!G663-AVERAGE(pima_data!$G$1:$G$768))/_xlfn.STDEV.P(pima_data!$G$1:$G$768)</f>
        <v>-0.926802851559812</v>
      </c>
      <c r="H663" s="5">
        <f>(pima_data!H663-AVERAGE(pima_data!$H$1:$H$768))/_xlfn.STDEV.P(pima_data!$H$1:$H$768)</f>
        <v>0.830381132479934</v>
      </c>
    </row>
    <row r="664" spans="1:8">
      <c r="A664" s="5">
        <f>(pima_data!A664-AVERAGE(pima_data!$A$1:$A$768))/_xlfn.STDEV.P(pima_data!$A$1:$A$768)</f>
        <v>1.53084664832079</v>
      </c>
      <c r="B664" s="5">
        <f>(pima_data!B664-AVERAGE(pima_data!$B$1:$B$768))/_xlfn.STDEV.P(pima_data!$B$1:$B$768)</f>
        <v>0.754432358645969</v>
      </c>
      <c r="C664" s="5">
        <f>(pima_data!C664-AVERAGE(pima_data!$C$1:$C$768))/_xlfn.STDEV.P(pima_data!$C$1:$C$768)</f>
        <v>0.563222751794969</v>
      </c>
      <c r="D664" s="5">
        <f>(pima_data!D664-AVERAGE(pima_data!$D$1:$D$768))/_xlfn.STDEV.P(pima_data!$D$1:$D$768)</f>
        <v>1.5972785972836</v>
      </c>
      <c r="E664" s="5">
        <f>(pima_data!E664-AVERAGE(pima_data!$E$1:$E$768))/_xlfn.STDEV.P(pima_data!$E$1:$E$768)</f>
        <v>0.43588589766471</v>
      </c>
      <c r="F664" s="5">
        <f>(pima_data!F664-AVERAGE(pima_data!$F$1:$F$768))/_xlfn.STDEV.P(pima_data!$F$1:$F$768)</f>
        <v>0.749765526383843</v>
      </c>
      <c r="G664" s="5">
        <f>(pima_data!G664-AVERAGE(pima_data!$G$1:$G$768))/_xlfn.STDEV.P(pima_data!$G$1:$G$768)</f>
        <v>0.498693164152215</v>
      </c>
      <c r="H664" s="5">
        <f>(pima_data!H664-AVERAGE(pima_data!$H$1:$H$768))/_xlfn.STDEV.P(pima_data!$H$1:$H$768)</f>
        <v>0.575117873075829</v>
      </c>
    </row>
    <row r="665" spans="1:8">
      <c r="A665" s="5">
        <f>(pima_data!A665-AVERAGE(pima_data!$A$1:$A$768))/_xlfn.STDEV.P(pima_data!$A$1:$A$768)</f>
        <v>0.639947260159362</v>
      </c>
      <c r="B665" s="5">
        <f>(pima_data!B665-AVERAGE(pima_data!$B$1:$B$768))/_xlfn.STDEV.P(pima_data!$B$1:$B$768)</f>
        <v>-0.184482001166224</v>
      </c>
      <c r="C665" s="5">
        <f>(pima_data!C665-AVERAGE(pima_data!$C$1:$C$768))/_xlfn.STDEV.P(pima_data!$C$1:$C$768)</f>
        <v>-0.470732246121934</v>
      </c>
      <c r="D665" s="5">
        <f>(pima_data!D665-AVERAGE(pima_data!$D$1:$D$768))/_xlfn.STDEV.P(pima_data!$D$1:$D$768)</f>
        <v>1.15818216964008</v>
      </c>
      <c r="E665" s="5">
        <f>(pima_data!E665-AVERAGE(pima_data!$E$1:$E$768))/_xlfn.STDEV.P(pima_data!$E$1:$E$768)</f>
        <v>-0.692890572295466</v>
      </c>
      <c r="F665" s="5">
        <f>(pima_data!F665-AVERAGE(pima_data!$F$1:$F$768))/_xlfn.STDEV.P(pima_data!$F$1:$F$768)</f>
        <v>0.216704695882022</v>
      </c>
      <c r="G665" s="5">
        <f>(pima_data!G665-AVERAGE(pima_data!$G$1:$G$768))/_xlfn.STDEV.P(pima_data!$G$1:$G$768)</f>
        <v>-0.685193357371333</v>
      </c>
      <c r="H665" s="5">
        <f>(pima_data!H665-AVERAGE(pima_data!$H$1:$H$768))/_xlfn.STDEV.P(pima_data!$H$1:$H$768)</f>
        <v>0.575117873075829</v>
      </c>
    </row>
    <row r="666" spans="1:8">
      <c r="A666" s="5">
        <f>(pima_data!A666-AVERAGE(pima_data!$A$1:$A$768))/_xlfn.STDEV.P(pima_data!$A$1:$A$768)</f>
        <v>-0.844885053443025</v>
      </c>
      <c r="B666" s="5">
        <f>(pima_data!B666-AVERAGE(pima_data!$B$1:$B$768))/_xlfn.STDEV.P(pima_data!$B$1:$B$768)</f>
        <v>-0.278373437147443</v>
      </c>
      <c r="C666" s="5">
        <f>(pima_data!C666-AVERAGE(pima_data!$C$1:$C$768))/_xlfn.STDEV.P(pima_data!$C$1:$C$768)</f>
        <v>0.563222751794969</v>
      </c>
      <c r="D666" s="5">
        <f>(pima_data!D666-AVERAGE(pima_data!$D$1:$D$768))/_xlfn.STDEV.P(pima_data!$D$1:$D$768)</f>
        <v>1.53455053619167</v>
      </c>
      <c r="E666" s="5">
        <f>(pima_data!E666-AVERAGE(pima_data!$E$1:$E$768))/_xlfn.STDEV.P(pima_data!$E$1:$E$768)</f>
        <v>0.453251689510251</v>
      </c>
      <c r="F666" s="5">
        <f>(pima_data!F666-AVERAGE(pima_data!$F$1:$F$768))/_xlfn.STDEV.P(pima_data!$F$1:$F$768)</f>
        <v>0.356315865775355</v>
      </c>
      <c r="G666" s="5">
        <f>(pima_data!G666-AVERAGE(pima_data!$G$1:$G$768))/_xlfn.STDEV.P(pima_data!$G$1:$G$768)</f>
        <v>-0.7697566803373</v>
      </c>
      <c r="H666" s="5">
        <f>(pima_data!H666-AVERAGE(pima_data!$H$1:$H$768))/_xlfn.STDEV.P(pima_data!$H$1:$H$768)</f>
        <v>-0.786286177079398</v>
      </c>
    </row>
    <row r="667" spans="1:8">
      <c r="A667" s="5">
        <f>(pima_data!A667-AVERAGE(pima_data!$A$1:$A$768))/_xlfn.STDEV.P(pima_data!$A$1:$A$768)</f>
        <v>0.0460143347184072</v>
      </c>
      <c r="B667" s="5">
        <f>(pima_data!B667-AVERAGE(pima_data!$B$1:$B$768))/_xlfn.STDEV.P(pima_data!$B$1:$B$768)</f>
        <v>0.754432358645969</v>
      </c>
      <c r="C667" s="5">
        <f>(pima_data!C667-AVERAGE(pima_data!$C$1:$C$768))/_xlfn.STDEV.P(pima_data!$C$1:$C$768)</f>
        <v>0.666618251586659</v>
      </c>
      <c r="D667" s="5">
        <f>(pima_data!D667-AVERAGE(pima_data!$D$1:$D$768))/_xlfn.STDEV.P(pima_data!$D$1:$D$768)</f>
        <v>-0.159107113290471</v>
      </c>
      <c r="E667" s="5">
        <f>(pima_data!E667-AVERAGE(pima_data!$E$1:$E$768))/_xlfn.STDEV.P(pima_data!$E$1:$E$768)</f>
        <v>-0.692890572295466</v>
      </c>
      <c r="F667" s="5">
        <f>(pima_data!F667-AVERAGE(pima_data!$F$1:$F$768))/_xlfn.STDEV.P(pima_data!$F$1:$F$768)</f>
        <v>0.0644016014529295</v>
      </c>
      <c r="G667" s="5">
        <f>(pima_data!G667-AVERAGE(pima_data!$G$1:$G$768))/_xlfn.STDEV.P(pima_data!$G$1:$G$768)</f>
        <v>-0.715394544144892</v>
      </c>
      <c r="H667" s="5">
        <f>(pima_data!H667-AVERAGE(pima_data!$H$1:$H$768))/_xlfn.STDEV.P(pima_data!$H$1:$H$768)</f>
        <v>3.12775046711688</v>
      </c>
    </row>
    <row r="668" spans="1:8">
      <c r="A668" s="5">
        <f>(pima_data!A668-AVERAGE(pima_data!$A$1:$A$768))/_xlfn.STDEV.P(pima_data!$A$1:$A$768)</f>
        <v>1.82781311104127</v>
      </c>
      <c r="B668" s="5">
        <f>(pima_data!B668-AVERAGE(pima_data!$B$1:$B$768))/_xlfn.STDEV.P(pima_data!$B$1:$B$768)</f>
        <v>-0.309670582474516</v>
      </c>
      <c r="C668" s="5">
        <f>(pima_data!C668-AVERAGE(pima_data!$C$1:$C$768))/_xlfn.STDEV.P(pima_data!$C$1:$C$768)</f>
        <v>0.0462452528365177</v>
      </c>
      <c r="D668" s="5">
        <f>(pima_data!D668-AVERAGE(pima_data!$D$1:$D$768))/_xlfn.STDEV.P(pima_data!$D$1:$D$768)</f>
        <v>0.40544543653691</v>
      </c>
      <c r="E668" s="5">
        <f>(pima_data!E668-AVERAGE(pima_data!$E$1:$E$768))/_xlfn.STDEV.P(pima_data!$E$1:$E$768)</f>
        <v>-0.692890572295466</v>
      </c>
      <c r="F668" s="5">
        <f>(pima_data!F668-AVERAGE(pima_data!$F$1:$F$768))/_xlfn.STDEV.P(pima_data!$F$1:$F$768)</f>
        <v>-0.570194625334953</v>
      </c>
      <c r="G668" s="5">
        <f>(pima_data!G668-AVERAGE(pima_data!$G$1:$G$768))/_xlfn.STDEV.P(pima_data!$G$1:$G$768)</f>
        <v>-0.999285699816356</v>
      </c>
      <c r="H668" s="5">
        <f>(pima_data!H668-AVERAGE(pima_data!$H$1:$H$768))/_xlfn.STDEV.P(pima_data!$H$1:$H$768)</f>
        <v>0.575117873075829</v>
      </c>
    </row>
    <row r="669" spans="1:8">
      <c r="A669" s="5">
        <f>(pima_data!A669-AVERAGE(pima_data!$A$1:$A$768))/_xlfn.STDEV.P(pima_data!$A$1:$A$768)</f>
        <v>0.639947260159362</v>
      </c>
      <c r="B669" s="5">
        <f>(pima_data!B669-AVERAGE(pima_data!$B$1:$B$768))/_xlfn.STDEV.P(pima_data!$B$1:$B$768)</f>
        <v>-0.716533471726466</v>
      </c>
      <c r="C669" s="5">
        <f>(pima_data!C669-AVERAGE(pima_data!$C$1:$C$768))/_xlfn.STDEV.P(pima_data!$C$1:$C$768)</f>
        <v>-0.574127745913624</v>
      </c>
      <c r="D669" s="5">
        <f>(pima_data!D669-AVERAGE(pima_data!$D$1:$D$768))/_xlfn.STDEV.P(pima_data!$D$1:$D$768)</f>
        <v>0.781813803088497</v>
      </c>
      <c r="E669" s="5">
        <f>(pima_data!E669-AVERAGE(pima_data!$E$1:$E$768))/_xlfn.STDEV.P(pima_data!$E$1:$E$768)</f>
        <v>0.956859653030945</v>
      </c>
      <c r="F669" s="5">
        <f>(pima_data!F669-AVERAGE(pima_data!$F$1:$F$768))/_xlfn.STDEV.P(pima_data!$F$1:$F$768)</f>
        <v>0.254780469489294</v>
      </c>
      <c r="G669" s="5">
        <f>(pima_data!G669-AVERAGE(pima_data!$G$1:$G$768))/_xlfn.STDEV.P(pima_data!$G$1:$G$768)</f>
        <v>-0.126471402060475</v>
      </c>
      <c r="H669" s="5">
        <f>(pima_data!H669-AVERAGE(pima_data!$H$1:$H$768))/_xlfn.STDEV.P(pima_data!$H$1:$H$768)</f>
        <v>0.830381132479934</v>
      </c>
    </row>
    <row r="670" spans="1:8">
      <c r="A670" s="5">
        <f>(pima_data!A670-AVERAGE(pima_data!$A$1:$A$768))/_xlfn.STDEV.P(pima_data!$A$1:$A$768)</f>
        <v>1.53084664832079</v>
      </c>
      <c r="B670" s="5">
        <f>(pima_data!B670-AVERAGE(pima_data!$B$1:$B$768))/_xlfn.STDEV.P(pima_data!$B$1:$B$768)</f>
        <v>1.03610666658963</v>
      </c>
      <c r="C670" s="5">
        <f>(pima_data!C670-AVERAGE(pima_data!$C$1:$C$768))/_xlfn.STDEV.P(pima_data!$C$1:$C$768)</f>
        <v>0.459827252003279</v>
      </c>
      <c r="D670" s="5">
        <f>(pima_data!D670-AVERAGE(pima_data!$D$1:$D$768))/_xlfn.STDEV.P(pima_data!$D$1:$D$768)</f>
        <v>0.593629619812703</v>
      </c>
      <c r="E670" s="5">
        <f>(pima_data!E670-AVERAGE(pima_data!$E$1:$E$768))/_xlfn.STDEV.P(pima_data!$E$1:$E$768)</f>
        <v>0.175399019981592</v>
      </c>
      <c r="F670" s="5">
        <f>(pima_data!F670-AVERAGE(pima_data!$F$1:$F$768))/_xlfn.STDEV.P(pima_data!$F$1:$F$768)</f>
        <v>-0.138669191119193</v>
      </c>
      <c r="G670" s="5">
        <f>(pima_data!G670-AVERAGE(pima_data!$G$1:$G$768))/_xlfn.STDEV.P(pima_data!$G$1:$G$768)</f>
        <v>-0.929822970237168</v>
      </c>
      <c r="H670" s="5">
        <f>(pima_data!H670-AVERAGE(pima_data!$H$1:$H$768))/_xlfn.STDEV.P(pima_data!$H$1:$H$768)</f>
        <v>1.00055663874934</v>
      </c>
    </row>
    <row r="671" spans="1:8">
      <c r="A671" s="5">
        <f>(pima_data!A671-AVERAGE(pima_data!$A$1:$A$768))/_xlfn.STDEV.P(pima_data!$A$1:$A$768)</f>
        <v>0.639947260159362</v>
      </c>
      <c r="B671" s="5">
        <f>(pima_data!B671-AVERAGE(pima_data!$B$1:$B$768))/_xlfn.STDEV.P(pima_data!$B$1:$B$768)</f>
        <v>1.38037526518743</v>
      </c>
      <c r="C671" s="5">
        <f>(pima_data!C671-AVERAGE(pima_data!$C$1:$C$768))/_xlfn.STDEV.P(pima_data!$C$1:$C$768)</f>
        <v>-0.0571502469551726</v>
      </c>
      <c r="D671" s="5">
        <f>(pima_data!D671-AVERAGE(pima_data!$D$1:$D$768))/_xlfn.STDEV.P(pima_data!$D$1:$D$768)</f>
        <v>0.342717375444978</v>
      </c>
      <c r="E671" s="5">
        <f>(pima_data!E671-AVERAGE(pima_data!$E$1:$E$768))/_xlfn.STDEV.P(pima_data!$E$1:$E$768)</f>
        <v>0.765835942729992</v>
      </c>
      <c r="F671" s="5">
        <f>(pima_data!F671-AVERAGE(pima_data!$F$1:$F$768))/_xlfn.STDEV.P(pima_data!$F$1:$F$768)</f>
        <v>0.204012771346264</v>
      </c>
      <c r="G671" s="5">
        <f>(pima_data!G671-AVERAGE(pima_data!$G$1:$G$768))/_xlfn.STDEV.P(pima_data!$G$1:$G$768)</f>
        <v>0.480572452088079</v>
      </c>
      <c r="H671" s="5">
        <f>(pima_data!H671-AVERAGE(pima_data!$H$1:$H$768))/_xlfn.STDEV.P(pima_data!$H$1:$H$768)</f>
        <v>1.34090765128814</v>
      </c>
    </row>
    <row r="672" spans="1:8">
      <c r="A672" s="5">
        <f>(pima_data!A672-AVERAGE(pima_data!$A$1:$A$768))/_xlfn.STDEV.P(pima_data!$A$1:$A$768)</f>
        <v>-0.844885053443025</v>
      </c>
      <c r="B672" s="5">
        <f>(pima_data!B672-AVERAGE(pima_data!$B$1:$B$768))/_xlfn.STDEV.P(pima_data!$B$1:$B$768)</f>
        <v>-0.685236326399393</v>
      </c>
      <c r="C672" s="5">
        <f>(pima_data!C672-AVERAGE(pima_data!$C$1:$C$768))/_xlfn.STDEV.P(pima_data!$C$1:$C$768)</f>
        <v>-0.574127745913624</v>
      </c>
      <c r="D672" s="5">
        <f>(pima_data!D672-AVERAGE(pima_data!$D$1:$D$768))/_xlfn.STDEV.P(pima_data!$D$1:$D$768)</f>
        <v>-0.660931602025921</v>
      </c>
      <c r="E672" s="5">
        <f>(pima_data!E672-AVERAGE(pima_data!$E$1:$E$768))/_xlfn.STDEV.P(pima_data!$E$1:$E$768)</f>
        <v>-0.692890572295466</v>
      </c>
      <c r="F672" s="5">
        <f>(pima_data!F672-AVERAGE(pima_data!$F$1:$F$768))/_xlfn.STDEV.P(pima_data!$F$1:$F$768)</f>
        <v>-0.836725040585864</v>
      </c>
      <c r="G672" s="5">
        <f>(pima_data!G672-AVERAGE(pima_data!$G$1:$G$768))/_xlfn.STDEV.P(pima_data!$G$1:$G$768)</f>
        <v>0.2389629578996</v>
      </c>
      <c r="H672" s="5">
        <f>(pima_data!H672-AVERAGE(pima_data!$H$1:$H$768))/_xlfn.STDEV.P(pima_data!$H$1:$H$768)</f>
        <v>-1.0415494364835</v>
      </c>
    </row>
    <row r="673" spans="1:8">
      <c r="A673" s="5">
        <f>(pima_data!A673-AVERAGE(pima_data!$A$1:$A$768))/_xlfn.STDEV.P(pima_data!$A$1:$A$768)</f>
        <v>1.82781311104127</v>
      </c>
      <c r="B673" s="5">
        <f>(pima_data!B673-AVERAGE(pima_data!$B$1:$B$768))/_xlfn.STDEV.P(pima_data!$B$1:$B$768)</f>
        <v>-1.65544783153866</v>
      </c>
      <c r="C673" s="5">
        <f>(pima_data!C673-AVERAGE(pima_data!$C$1:$C$768))/_xlfn.STDEV.P(pima_data!$C$1:$C$768)</f>
        <v>1.90736424908694</v>
      </c>
      <c r="D673" s="5">
        <f>(pima_data!D673-AVERAGE(pima_data!$D$1:$D$768))/_xlfn.STDEV.P(pima_data!$D$1:$D$768)</f>
        <v>0.154533192169185</v>
      </c>
      <c r="E673" s="5">
        <f>(pima_data!E673-AVERAGE(pima_data!$E$1:$E$768))/_xlfn.STDEV.P(pima_data!$E$1:$E$768)</f>
        <v>-0.267428672079708</v>
      </c>
      <c r="F673" s="5">
        <f>(pima_data!F673-AVERAGE(pima_data!$F$1:$F$768))/_xlfn.STDEV.P(pima_data!$F$1:$F$768)</f>
        <v>0.445159337525659</v>
      </c>
      <c r="G673" s="5">
        <f>(pima_data!G673-AVERAGE(pima_data!$G$1:$G$768))/_xlfn.STDEV.P(pima_data!$G$1:$G$768)</f>
        <v>-0.564388610277093</v>
      </c>
      <c r="H673" s="5">
        <f>(pima_data!H673-AVERAGE(pima_data!$H$1:$H$768))/_xlfn.STDEV.P(pima_data!$H$1:$H$768)</f>
        <v>1.17073214501874</v>
      </c>
    </row>
    <row r="674" spans="1:8">
      <c r="A674" s="5">
        <f>(pima_data!A674-AVERAGE(pima_data!$A$1:$A$768))/_xlfn.STDEV.P(pima_data!$A$1:$A$768)</f>
        <v>-0.25095212800207</v>
      </c>
      <c r="B674" s="5">
        <f>(pima_data!B674-AVERAGE(pima_data!$B$1:$B$768))/_xlfn.STDEV.P(pima_data!$B$1:$B$768)</f>
        <v>0.0658951614503609</v>
      </c>
      <c r="C674" s="5">
        <f>(pima_data!C674-AVERAGE(pima_data!$C$1:$C$768))/_xlfn.STDEV.P(pima_data!$C$1:$C$768)</f>
        <v>1.59717774971187</v>
      </c>
      <c r="D674" s="5">
        <f>(pima_data!D674-AVERAGE(pima_data!$D$1:$D$768))/_xlfn.STDEV.P(pima_data!$D$1:$D$768)</f>
        <v>0.907269925272359</v>
      </c>
      <c r="E674" s="5">
        <f>(pima_data!E674-AVERAGE(pima_data!$E$1:$E$768))/_xlfn.STDEV.P(pima_data!$E$1:$E$768)</f>
        <v>1.39100444916947</v>
      </c>
      <c r="F674" s="5">
        <f>(pima_data!F674-AVERAGE(pima_data!$F$1:$F$768))/_xlfn.STDEV.P(pima_data!$F$1:$F$768)</f>
        <v>3.21199888632083</v>
      </c>
      <c r="G674" s="5">
        <f>(pima_data!G674-AVERAGE(pima_data!$G$1:$G$768))/_xlfn.STDEV.P(pima_data!$G$1:$G$768)</f>
        <v>1.23258200274972</v>
      </c>
      <c r="H674" s="5">
        <f>(pima_data!H674-AVERAGE(pima_data!$H$1:$H$768))/_xlfn.STDEV.P(pima_data!$H$1:$H$768)</f>
        <v>-0.956461683348801</v>
      </c>
    </row>
    <row r="675" spans="1:8">
      <c r="A675" s="5">
        <f>(pima_data!A675-AVERAGE(pima_data!$A$1:$A$768))/_xlfn.STDEV.P(pima_data!$A$1:$A$768)</f>
        <v>1.23388018560032</v>
      </c>
      <c r="B675" s="5">
        <f>(pima_data!B675-AVERAGE(pima_data!$B$1:$B$768))/_xlfn.STDEV.P(pima_data!$B$1:$B$768)</f>
        <v>-0.935613489015978</v>
      </c>
      <c r="C675" s="5">
        <f>(pima_data!C675-AVERAGE(pima_data!$C$1:$C$768))/_xlfn.STDEV.P(pima_data!$C$1:$C$768)</f>
        <v>0.666618251586659</v>
      </c>
      <c r="D675" s="5">
        <f>(pima_data!D675-AVERAGE(pima_data!$D$1:$D$768))/_xlfn.STDEV.P(pima_data!$D$1:$D$768)</f>
        <v>-1.28821221294523</v>
      </c>
      <c r="E675" s="5">
        <f>(pima_data!E675-AVERAGE(pima_data!$E$1:$E$768))/_xlfn.STDEV.P(pima_data!$E$1:$E$768)</f>
        <v>-0.692890572295466</v>
      </c>
      <c r="F675" s="5">
        <f>(pima_data!F675-AVERAGE(pima_data!$F$1:$F$768))/_xlfn.STDEV.P(pima_data!$F$1:$F$768)</f>
        <v>0.457851262061417</v>
      </c>
      <c r="G675" s="5">
        <f>(pima_data!G675-AVERAGE(pima_data!$G$1:$G$768))/_xlfn.STDEV.P(pima_data!$G$1:$G$768)</f>
        <v>0.347687230284416</v>
      </c>
      <c r="H675" s="5">
        <f>(pima_data!H675-AVERAGE(pima_data!$H$1:$H$768))/_xlfn.STDEV.P(pima_data!$H$1:$H$768)</f>
        <v>2.95757496084747</v>
      </c>
    </row>
    <row r="676" spans="1:8">
      <c r="A676" s="5">
        <f>(pima_data!A676-AVERAGE(pima_data!$A$1:$A$768))/_xlfn.STDEV.P(pima_data!$A$1:$A$768)</f>
        <v>0.639947260159362</v>
      </c>
      <c r="B676" s="5">
        <f>(pima_data!B676-AVERAGE(pima_data!$B$1:$B$768))/_xlfn.STDEV.P(pima_data!$B$1:$B$768)</f>
        <v>2.31928962499962</v>
      </c>
      <c r="C676" s="5">
        <f>(pima_data!C676-AVERAGE(pima_data!$C$1:$C$768))/_xlfn.STDEV.P(pima_data!$C$1:$C$768)</f>
        <v>0.0462452528365177</v>
      </c>
      <c r="D676" s="5">
        <f>(pima_data!D676-AVERAGE(pima_data!$D$1:$D$768))/_xlfn.STDEV.P(pima_data!$D$1:$D$768)</f>
        <v>-1.28821221294523</v>
      </c>
      <c r="E676" s="5">
        <f>(pima_data!E676-AVERAGE(pima_data!$E$1:$E$768))/_xlfn.STDEV.P(pima_data!$E$1:$E$768)</f>
        <v>-0.692890572295466</v>
      </c>
      <c r="F676" s="5">
        <f>(pima_data!F676-AVERAGE(pima_data!$F$1:$F$768))/_xlfn.STDEV.P(pima_data!$F$1:$F$768)</f>
        <v>-0.138669191119193</v>
      </c>
      <c r="G676" s="5">
        <f>(pima_data!G676-AVERAGE(pima_data!$G$1:$G$768))/_xlfn.STDEV.P(pima_data!$G$1:$G$768)</f>
        <v>-0.434523507150785</v>
      </c>
      <c r="H676" s="5">
        <f>(pima_data!H676-AVERAGE(pima_data!$H$1:$H$768))/_xlfn.STDEV.P(pima_data!$H$1:$H$768)</f>
        <v>-0.190671905136486</v>
      </c>
    </row>
    <row r="677" spans="1:8">
      <c r="A677" s="5">
        <f>(pima_data!A677-AVERAGE(pima_data!$A$1:$A$768))/_xlfn.STDEV.P(pima_data!$A$1:$A$768)</f>
        <v>1.53084664832079</v>
      </c>
      <c r="B677" s="5">
        <f>(pima_data!B677-AVERAGE(pima_data!$B$1:$B$768))/_xlfn.STDEV.P(pima_data!$B$1:$B$768)</f>
        <v>1.09870095724377</v>
      </c>
      <c r="C677" s="5">
        <f>(pima_data!C677-AVERAGE(pima_data!$C$1:$C$768))/_xlfn.STDEV.P(pima_data!$C$1:$C$768)</f>
        <v>0.87340925117004</v>
      </c>
      <c r="D677" s="5">
        <f>(pima_data!D677-AVERAGE(pima_data!$D$1:$D$768))/_xlfn.STDEV.P(pima_data!$D$1:$D$768)</f>
        <v>-1.28821221294523</v>
      </c>
      <c r="E677" s="5">
        <f>(pima_data!E677-AVERAGE(pima_data!$E$1:$E$768))/_xlfn.STDEV.P(pima_data!$E$1:$E$768)</f>
        <v>-0.692890572295466</v>
      </c>
      <c r="F677" s="5">
        <f>(pima_data!F677-AVERAGE(pima_data!$F$1:$F$768))/_xlfn.STDEV.P(pima_data!$F$1:$F$768)</f>
        <v>-0.91287658780041</v>
      </c>
      <c r="G677" s="5">
        <f>(pima_data!G677-AVERAGE(pima_data!$G$1:$G$768))/_xlfn.STDEV.P(pima_data!$G$1:$G$768)</f>
        <v>-0.730495137531672</v>
      </c>
      <c r="H677" s="5">
        <f>(pima_data!H677-AVERAGE(pima_data!$H$1:$H$768))/_xlfn.STDEV.P(pima_data!$H$1:$H$768)</f>
        <v>1.68125866382695</v>
      </c>
    </row>
    <row r="678" spans="1:8">
      <c r="A678" s="5">
        <f>(pima_data!A678-AVERAGE(pima_data!$A$1:$A$768))/_xlfn.STDEV.P(pima_data!$A$1:$A$768)</f>
        <v>-1.1418515161635</v>
      </c>
      <c r="B678" s="5">
        <f>(pima_data!B678-AVERAGE(pima_data!$B$1:$B$768))/_xlfn.STDEV.P(pima_data!$B$1:$B$768)</f>
        <v>-0.873019198361832</v>
      </c>
      <c r="C678" s="5">
        <f>(pima_data!C678-AVERAGE(pima_data!$C$1:$C$768))/_xlfn.STDEV.P(pima_data!$C$1:$C$768)</f>
        <v>-0.470732246121934</v>
      </c>
      <c r="D678" s="5">
        <f>(pima_data!D678-AVERAGE(pima_data!$D$1:$D$768))/_xlfn.STDEV.P(pima_data!$D$1:$D$768)</f>
        <v>-1.28821221294523</v>
      </c>
      <c r="E678" s="5">
        <f>(pima_data!E678-AVERAGE(pima_data!$E$1:$E$768))/_xlfn.STDEV.P(pima_data!$E$1:$E$768)</f>
        <v>-0.692890572295466</v>
      </c>
      <c r="F678" s="5">
        <f>(pima_data!F678-AVERAGE(pima_data!$F$1:$F$768))/_xlfn.STDEV.P(pima_data!$F$1:$F$768)</f>
        <v>0.419775488454143</v>
      </c>
      <c r="G678" s="5">
        <f>(pima_data!G678-AVERAGE(pima_data!$G$1:$G$768))/_xlfn.STDEV.P(pima_data!$G$1:$G$768)</f>
        <v>-0.630831221178925</v>
      </c>
      <c r="H678" s="5">
        <f>(pima_data!H678-AVERAGE(pima_data!$H$1:$H$768))/_xlfn.STDEV.P(pima_data!$H$1:$H$768)</f>
        <v>-0.701198423944696</v>
      </c>
    </row>
    <row r="679" spans="1:8">
      <c r="A679" s="5">
        <f>(pima_data!A679-AVERAGE(pima_data!$A$1:$A$768))/_xlfn.STDEV.P(pima_data!$A$1:$A$768)</f>
        <v>-0.25095212800207</v>
      </c>
      <c r="B679" s="5">
        <f>(pima_data!B679-AVERAGE(pima_data!$B$1:$B$768))/_xlfn.STDEV.P(pima_data!$B$1:$B$768)</f>
        <v>0.00330087079621474</v>
      </c>
      <c r="C679" s="5">
        <f>(pima_data!C679-AVERAGE(pima_data!$C$1:$C$768))/_xlfn.STDEV.P(pima_data!$C$1:$C$768)</f>
        <v>-0.884314245288695</v>
      </c>
      <c r="D679" s="5">
        <f>(pima_data!D679-AVERAGE(pima_data!$D$1:$D$768))/_xlfn.STDEV.P(pima_data!$D$1:$D$768)</f>
        <v>-1.28821221294523</v>
      </c>
      <c r="E679" s="5">
        <f>(pima_data!E679-AVERAGE(pima_data!$E$1:$E$768))/_xlfn.STDEV.P(pima_data!$E$1:$E$768)</f>
        <v>-0.692890572295466</v>
      </c>
      <c r="F679" s="5">
        <f>(pima_data!F679-AVERAGE(pima_data!$F$1:$F$768))/_xlfn.STDEV.P(pima_data!$F$1:$F$768)</f>
        <v>0.508618960204447</v>
      </c>
      <c r="G679" s="5">
        <f>(pima_data!G679-AVERAGE(pima_data!$G$1:$G$768))/_xlfn.STDEV.P(pima_data!$G$1:$G$768)</f>
        <v>-1.04156736129934</v>
      </c>
      <c r="H679" s="5">
        <f>(pima_data!H679-AVERAGE(pima_data!$H$1:$H$768))/_xlfn.STDEV.P(pima_data!$H$1:$H$768)</f>
        <v>-0.701198423944696</v>
      </c>
    </row>
    <row r="680" spans="1:8">
      <c r="A680" s="5">
        <f>(pima_data!A680-AVERAGE(pima_data!$A$1:$A$768))/_xlfn.STDEV.P(pima_data!$A$1:$A$768)</f>
        <v>-0.547918590722547</v>
      </c>
      <c r="B680" s="5">
        <f>(pima_data!B680-AVERAGE(pima_data!$B$1:$B$768))/_xlfn.STDEV.P(pima_data!$B$1:$B$768)</f>
        <v>-0.622642035745247</v>
      </c>
      <c r="C680" s="5">
        <f>(pima_data!C680-AVERAGE(pima_data!$C$1:$C$768))/_xlfn.STDEV.P(pima_data!$C$1:$C$768)</f>
        <v>-0.574127745913624</v>
      </c>
      <c r="D680" s="5">
        <f>(pima_data!D680-AVERAGE(pima_data!$D$1:$D$768))/_xlfn.STDEV.P(pima_data!$D$1:$D$768)</f>
        <v>-0.221835174382402</v>
      </c>
      <c r="E680" s="5">
        <f>(pima_data!E680-AVERAGE(pima_data!$E$1:$E$768))/_xlfn.STDEV.P(pima_data!$E$1:$E$768)</f>
        <v>1.60807684723874</v>
      </c>
      <c r="F680" s="5">
        <f>(pima_data!F680-AVERAGE(pima_data!$F$1:$F$768))/_xlfn.STDEV.P(pima_data!$F$1:$F$768)</f>
        <v>-0.989028135014956</v>
      </c>
      <c r="G680" s="5">
        <f>(pima_data!G680-AVERAGE(pima_data!$G$1:$G$768))/_xlfn.STDEV.P(pima_data!$G$1:$G$768)</f>
        <v>0.429230434573027</v>
      </c>
      <c r="H680" s="5">
        <f>(pima_data!H680-AVERAGE(pima_data!$H$1:$H$768))/_xlfn.STDEV.P(pima_data!$H$1:$H$768)</f>
        <v>-0.871373930214099</v>
      </c>
    </row>
    <row r="681" spans="1:8">
      <c r="A681" s="5">
        <f>(pima_data!A681-AVERAGE(pima_data!$A$1:$A$768))/_xlfn.STDEV.P(pima_data!$A$1:$A$768)</f>
        <v>-0.547918590722547</v>
      </c>
      <c r="B681" s="5">
        <f>(pima_data!B681-AVERAGE(pima_data!$B$1:$B$768))/_xlfn.STDEV.P(pima_data!$B$1:$B$768)</f>
        <v>-2.03101357546354</v>
      </c>
      <c r="C681" s="5">
        <f>(pima_data!C681-AVERAGE(pima_data!$C$1:$C$768))/_xlfn.STDEV.P(pima_data!$C$1:$C$768)</f>
        <v>-0.677523245705314</v>
      </c>
      <c r="D681" s="5">
        <f>(pima_data!D681-AVERAGE(pima_data!$D$1:$D$768))/_xlfn.STDEV.P(pima_data!$D$1:$D$768)</f>
        <v>0.468173497628841</v>
      </c>
      <c r="E681" s="5">
        <f>(pima_data!E681-AVERAGE(pima_data!$E$1:$E$768))/_xlfn.STDEV.P(pima_data!$E$1:$E$768)</f>
        <v>-0.30216025577079</v>
      </c>
      <c r="F681" s="5">
        <f>(pima_data!F681-AVERAGE(pima_data!$F$1:$F$768))/_xlfn.STDEV.P(pima_data!$F$1:$F$768)</f>
        <v>-0.989028135014956</v>
      </c>
      <c r="G681" s="5">
        <f>(pima_data!G681-AVERAGE(pima_data!$G$1:$G$768))/_xlfn.STDEV.P(pima_data!$G$1:$G$768)</f>
        <v>-0.422443032441361</v>
      </c>
      <c r="H681" s="5">
        <f>(pima_data!H681-AVERAGE(pima_data!$H$1:$H$768))/_xlfn.STDEV.P(pima_data!$H$1:$H$768)</f>
        <v>-0.956461683348801</v>
      </c>
    </row>
    <row r="682" spans="1:8">
      <c r="A682" s="5">
        <f>(pima_data!A682-AVERAGE(pima_data!$A$1:$A$768))/_xlfn.STDEV.P(pima_data!$A$1:$A$768)</f>
        <v>-1.1418515161635</v>
      </c>
      <c r="B682" s="5">
        <f>(pima_data!B682-AVERAGE(pima_data!$B$1:$B$768))/_xlfn.STDEV.P(pima_data!$B$1:$B$768)</f>
        <v>1.28648382920621</v>
      </c>
      <c r="C682" s="5">
        <f>(pima_data!C682-AVERAGE(pima_data!$C$1:$C$768))/_xlfn.STDEV.P(pima_data!$C$1:$C$768)</f>
        <v>0.356431752211589</v>
      </c>
      <c r="D682" s="5">
        <f>(pima_data!D682-AVERAGE(pima_data!$D$1:$D$768))/_xlfn.STDEV.P(pima_data!$D$1:$D$768)</f>
        <v>0.96999798636429</v>
      </c>
      <c r="E682" s="5">
        <f>(pima_data!E682-AVERAGE(pima_data!$E$1:$E$768))/_xlfn.STDEV.P(pima_data!$E$1:$E$768)</f>
        <v>-0.692890572295466</v>
      </c>
      <c r="F682" s="5">
        <f>(pima_data!F682-AVERAGE(pima_data!$F$1:$F$768))/_xlfn.STDEV.P(pima_data!$F$1:$F$768)</f>
        <v>2.23472069706749</v>
      </c>
      <c r="G682" s="5">
        <f>(pima_data!G682-AVERAGE(pima_data!$G$1:$G$768))/_xlfn.STDEV.P(pima_data!$G$1:$G$768)</f>
        <v>-0.32579923476597</v>
      </c>
      <c r="H682" s="5">
        <f>(pima_data!H682-AVERAGE(pima_data!$H$1:$H$768))/_xlfn.STDEV.P(pima_data!$H$1:$H$768)</f>
        <v>-0.616110670809994</v>
      </c>
    </row>
    <row r="683" spans="1:8">
      <c r="A683" s="5">
        <f>(pima_data!A683-AVERAGE(pima_data!$A$1:$A$768))/_xlfn.STDEV.P(pima_data!$A$1:$A$768)</f>
        <v>-1.1418515161635</v>
      </c>
      <c r="B683" s="5">
        <f>(pima_data!B683-AVERAGE(pima_data!$B$1:$B$768))/_xlfn.STDEV.P(pima_data!$B$1:$B$768)</f>
        <v>-0.810424907707686</v>
      </c>
      <c r="C683" s="5">
        <f>(pima_data!C683-AVERAGE(pima_data!$C$1:$C$768))/_xlfn.STDEV.P(pima_data!$C$1:$C$768)</f>
        <v>-0.263941246538553</v>
      </c>
      <c r="D683" s="5">
        <f>(pima_data!D683-AVERAGE(pima_data!$D$1:$D$768))/_xlfn.STDEV.P(pima_data!$D$1:$D$768)</f>
        <v>1.15818216964008</v>
      </c>
      <c r="E683" s="5">
        <f>(pima_data!E683-AVERAGE(pima_data!$E$1:$E$768))/_xlfn.STDEV.P(pima_data!$E$1:$E$768)</f>
        <v>0.218813499595445</v>
      </c>
      <c r="F683" s="5">
        <f>(pima_data!F683-AVERAGE(pima_data!$F$1:$F$768))/_xlfn.STDEV.P(pima_data!$F$1:$F$768)</f>
        <v>1.60012447027961</v>
      </c>
      <c r="G683" s="5">
        <f>(pima_data!G683-AVERAGE(pima_data!$G$1:$G$768))/_xlfn.STDEV.P(pima_data!$G$1:$G$768)</f>
        <v>-0.319758997411258</v>
      </c>
      <c r="H683" s="5">
        <f>(pima_data!H683-AVERAGE(pima_data!$H$1:$H$768))/_xlfn.STDEV.P(pima_data!$H$1:$H$768)</f>
        <v>-0.956461683348801</v>
      </c>
    </row>
    <row r="684" spans="1:8">
      <c r="A684" s="5">
        <f>(pima_data!A684-AVERAGE(pima_data!$A$1:$A$768))/_xlfn.STDEV.P(pima_data!$A$1:$A$768)</f>
        <v>0.0460143347184072</v>
      </c>
      <c r="B684" s="5">
        <f>(pima_data!B684-AVERAGE(pima_data!$B$1:$B$768))/_xlfn.STDEV.P(pima_data!$B$1:$B$768)</f>
        <v>0.128489452104507</v>
      </c>
      <c r="C684" s="5">
        <f>(pima_data!C684-AVERAGE(pima_data!$C$1:$C$768))/_xlfn.STDEV.P(pima_data!$C$1:$C$768)</f>
        <v>0.563222751794969</v>
      </c>
      <c r="D684" s="5">
        <f>(pima_data!D684-AVERAGE(pima_data!$D$1:$D$768))/_xlfn.STDEV.P(pima_data!$D$1:$D$768)</f>
        <v>-1.28821221294523</v>
      </c>
      <c r="E684" s="5">
        <f>(pima_data!E684-AVERAGE(pima_data!$E$1:$E$768))/_xlfn.STDEV.P(pima_data!$E$1:$E$768)</f>
        <v>-0.692890572295466</v>
      </c>
      <c r="F684" s="5">
        <f>(pima_data!F684-AVERAGE(pima_data!$F$1:$F$768))/_xlfn.STDEV.P(pima_data!$F$1:$F$768)</f>
        <v>0.0390177523814138</v>
      </c>
      <c r="G684" s="5">
        <f>(pima_data!G684-AVERAGE(pima_data!$G$1:$G$768))/_xlfn.STDEV.P(pima_data!$G$1:$G$768)</f>
        <v>0.19366117773926</v>
      </c>
      <c r="H684" s="5">
        <f>(pima_data!H684-AVERAGE(pima_data!$H$1:$H$768))/_xlfn.STDEV.P(pima_data!$H$1:$H$768)</f>
        <v>-0.531022917675293</v>
      </c>
    </row>
    <row r="685" spans="1:8">
      <c r="A685" s="5">
        <f>(pima_data!A685-AVERAGE(pima_data!$A$1:$A$768))/_xlfn.STDEV.P(pima_data!$A$1:$A$768)</f>
        <v>0.342980797438884</v>
      </c>
      <c r="B685" s="5">
        <f>(pima_data!B685-AVERAGE(pima_data!$B$1:$B$768))/_xlfn.STDEV.P(pima_data!$B$1:$B$768)</f>
        <v>0.472758050702311</v>
      </c>
      <c r="C685" s="5">
        <f>(pima_data!C685-AVERAGE(pima_data!$C$1:$C$768))/_xlfn.STDEV.P(pima_data!$C$1:$C$768)</f>
        <v>0.666618251586659</v>
      </c>
      <c r="D685" s="5">
        <f>(pima_data!D685-AVERAGE(pima_data!$D$1:$D$768))/_xlfn.STDEV.P(pima_data!$D$1:$D$768)</f>
        <v>-1.28821221294523</v>
      </c>
      <c r="E685" s="5">
        <f>(pima_data!E685-AVERAGE(pima_data!$E$1:$E$768))/_xlfn.STDEV.P(pima_data!$E$1:$E$768)</f>
        <v>-0.692890572295466</v>
      </c>
      <c r="F685" s="5">
        <f>(pima_data!F685-AVERAGE(pima_data!$F$1:$F$768))/_xlfn.STDEV.P(pima_data!$F$1:$F$768)</f>
        <v>-4.06047387266831</v>
      </c>
      <c r="G685" s="5">
        <f>(pima_data!G685-AVERAGE(pima_data!$G$1:$G$768))/_xlfn.STDEV.P(pima_data!$G$1:$G$768)</f>
        <v>0.507753520184283</v>
      </c>
      <c r="H685" s="5">
        <f>(pima_data!H685-AVERAGE(pima_data!$H$1:$H$768))/_xlfn.STDEV.P(pima_data!$H$1:$H$768)</f>
        <v>3.04266271398218</v>
      </c>
    </row>
    <row r="686" spans="1:8">
      <c r="A686" s="5">
        <f>(pima_data!A686-AVERAGE(pima_data!$A$1:$A$768))/_xlfn.STDEV.P(pima_data!$A$1:$A$768)</f>
        <v>-0.547918590722547</v>
      </c>
      <c r="B686" s="5">
        <f>(pima_data!B686-AVERAGE(pima_data!$B$1:$B$768))/_xlfn.STDEV.P(pima_data!$B$1:$B$768)</f>
        <v>0.253678033412799</v>
      </c>
      <c r="C686" s="5">
        <f>(pima_data!C686-AVERAGE(pima_data!$C$1:$C$768))/_xlfn.STDEV.P(pima_data!$C$1:$C$768)</f>
        <v>0.253036252419898</v>
      </c>
      <c r="D686" s="5">
        <f>(pima_data!D686-AVERAGE(pima_data!$D$1:$D$768))/_xlfn.STDEV.P(pima_data!$D$1:$D$768)</f>
        <v>0.342717375444978</v>
      </c>
      <c r="E686" s="5">
        <f>(pima_data!E686-AVERAGE(pima_data!$E$1:$E$768))/_xlfn.STDEV.P(pima_data!$E$1:$E$768)</f>
        <v>1.0871030918725</v>
      </c>
      <c r="F686" s="5">
        <f>(pima_data!F686-AVERAGE(pima_data!$F$1:$F$768))/_xlfn.STDEV.P(pima_data!$F$1:$F$768)</f>
        <v>0.153245073203233</v>
      </c>
      <c r="G686" s="5">
        <f>(pima_data!G686-AVERAGE(pima_data!$G$1:$G$768))/_xlfn.STDEV.P(pima_data!$G$1:$G$768)</f>
        <v>0.35976770499384</v>
      </c>
      <c r="H686" s="5">
        <f>(pima_data!H686-AVERAGE(pima_data!$H$1:$H$768))/_xlfn.STDEV.P(pima_data!$H$1:$H$768)</f>
        <v>-0.701198423944696</v>
      </c>
    </row>
    <row r="687" spans="1:8">
      <c r="A687" s="5">
        <f>(pima_data!A687-AVERAGE(pima_data!$A$1:$A$768))/_xlfn.STDEV.P(pima_data!$A$1:$A$768)</f>
        <v>-0.25095212800207</v>
      </c>
      <c r="B687" s="5">
        <f>(pima_data!B687-AVERAGE(pima_data!$B$1:$B$768))/_xlfn.STDEV.P(pima_data!$B$1:$B$768)</f>
        <v>0.284975178739873</v>
      </c>
      <c r="C687" s="5">
        <f>(pima_data!C687-AVERAGE(pima_data!$C$1:$C$768))/_xlfn.STDEV.P(pima_data!$C$1:$C$768)</f>
        <v>-0.263941246538553</v>
      </c>
      <c r="D687" s="5">
        <f>(pima_data!D687-AVERAGE(pima_data!$D$1:$D$768))/_xlfn.STDEV.P(pima_data!$D$1:$D$768)</f>
        <v>-1.28821221294523</v>
      </c>
      <c r="E687" s="5">
        <f>(pima_data!E687-AVERAGE(pima_data!$E$1:$E$768))/_xlfn.STDEV.P(pima_data!$E$1:$E$768)</f>
        <v>-0.692890572295466</v>
      </c>
      <c r="F687" s="5">
        <f>(pima_data!F687-AVERAGE(pima_data!$F$1:$F$768))/_xlfn.STDEV.P(pima_data!$F$1:$F$768)</f>
        <v>-1.12863930490829</v>
      </c>
      <c r="G687" s="5">
        <f>(pima_data!G687-AVERAGE(pima_data!$G$1:$G$768))/_xlfn.STDEV.P(pima_data!$G$1:$G$768)</f>
        <v>-0.476805168633769</v>
      </c>
      <c r="H687" s="5">
        <f>(pima_data!H687-AVERAGE(pima_data!$H$1:$H$768))/_xlfn.STDEV.P(pima_data!$H$1:$H$768)</f>
        <v>-0.956461683348801</v>
      </c>
    </row>
    <row r="688" spans="1:8">
      <c r="A688" s="5">
        <f>(pima_data!A688-AVERAGE(pima_data!$A$1:$A$768))/_xlfn.STDEV.P(pima_data!$A$1:$A$768)</f>
        <v>-0.844885053443025</v>
      </c>
      <c r="B688" s="5">
        <f>(pima_data!B688-AVERAGE(pima_data!$B$1:$B$768))/_xlfn.STDEV.P(pima_data!$B$1:$B$768)</f>
        <v>-0.434859163782809</v>
      </c>
      <c r="C688" s="5">
        <f>(pima_data!C688-AVERAGE(pima_data!$C$1:$C$768))/_xlfn.STDEV.P(pima_data!$C$1:$C$768)</f>
        <v>-0.987709745080385</v>
      </c>
      <c r="D688" s="5">
        <f>(pima_data!D688-AVERAGE(pima_data!$D$1:$D$768))/_xlfn.STDEV.P(pima_data!$D$1:$D$768)</f>
        <v>-0.09637905219854</v>
      </c>
      <c r="E688" s="5">
        <f>(pima_data!E688-AVERAGE(pima_data!$E$1:$E$768))/_xlfn.STDEV.P(pima_data!$E$1:$E$768)</f>
        <v>-0.692890572295466</v>
      </c>
      <c r="F688" s="5">
        <f>(pima_data!F688-AVERAGE(pima_data!$F$1:$F$768))/_xlfn.STDEV.P(pima_data!$F$1:$F$768)</f>
        <v>-0.468659229048892</v>
      </c>
      <c r="G688" s="5">
        <f>(pima_data!G688-AVERAGE(pima_data!$G$1:$G$768))/_xlfn.STDEV.P(pima_data!$G$1:$G$768)</f>
        <v>-0.878480952722116</v>
      </c>
      <c r="H688" s="5">
        <f>(pima_data!H688-AVERAGE(pima_data!$H$1:$H$768))/_xlfn.STDEV.P(pima_data!$H$1:$H$768)</f>
        <v>-0.360847411405889</v>
      </c>
    </row>
    <row r="689" spans="1:8">
      <c r="A689" s="5">
        <f>(pima_data!A689-AVERAGE(pima_data!$A$1:$A$768))/_xlfn.STDEV.P(pima_data!$A$1:$A$768)</f>
        <v>-0.844885053443025</v>
      </c>
      <c r="B689" s="5">
        <f>(pima_data!B689-AVERAGE(pima_data!$B$1:$B$768))/_xlfn.STDEV.P(pima_data!$B$1:$B$768)</f>
        <v>0.597946632010604</v>
      </c>
      <c r="C689" s="5">
        <f>(pima_data!C689-AVERAGE(pima_data!$C$1:$C$768))/_xlfn.STDEV.P(pima_data!$C$1:$C$768)</f>
        <v>0.253036252419898</v>
      </c>
      <c r="D689" s="5">
        <f>(pima_data!D689-AVERAGE(pima_data!$D$1:$D$768))/_xlfn.STDEV.P(pima_data!$D$1:$D$768)</f>
        <v>0.342717375444978</v>
      </c>
      <c r="E689" s="5">
        <f>(pima_data!E689-AVERAGE(pima_data!$E$1:$E$768))/_xlfn.STDEV.P(pima_data!$E$1:$E$768)</f>
        <v>0.870030693803239</v>
      </c>
      <c r="F689" s="5">
        <f>(pima_data!F689-AVERAGE(pima_data!$F$1:$F$768))/_xlfn.STDEV.P(pima_data!$F$1:$F$768)</f>
        <v>-1.00172005955071</v>
      </c>
      <c r="G689" s="5">
        <f>(pima_data!G689-AVERAGE(pima_data!$G$1:$G$768))/_xlfn.STDEV.P(pima_data!$G$1:$G$768)</f>
        <v>1.07553583152721</v>
      </c>
      <c r="H689" s="5">
        <f>(pima_data!H689-AVERAGE(pima_data!$H$1:$H$768))/_xlfn.STDEV.P(pima_data!$H$1:$H$768)</f>
        <v>-0.871373930214099</v>
      </c>
    </row>
    <row r="690" spans="1:8">
      <c r="A690" s="5">
        <f>(pima_data!A690-AVERAGE(pima_data!$A$1:$A$768))/_xlfn.STDEV.P(pima_data!$A$1:$A$768)</f>
        <v>-0.844885053443025</v>
      </c>
      <c r="B690" s="5">
        <f>(pima_data!B690-AVERAGE(pima_data!$B$1:$B$768))/_xlfn.STDEV.P(pima_data!$B$1:$B$768)</f>
        <v>0.723135213318896</v>
      </c>
      <c r="C690" s="5">
        <f>(pima_data!C690-AVERAGE(pima_data!$C$1:$C$768))/_xlfn.STDEV.P(pima_data!$C$1:$C$768)</f>
        <v>0.666618251586659</v>
      </c>
      <c r="D690" s="5">
        <f>(pima_data!D690-AVERAGE(pima_data!$D$1:$D$768))/_xlfn.STDEV.P(pima_data!$D$1:$D$768)</f>
        <v>1.5972785972836</v>
      </c>
      <c r="E690" s="5">
        <f>(pima_data!E690-AVERAGE(pima_data!$E$1:$E$768))/_xlfn.STDEV.P(pima_data!$E$1:$E$768)</f>
        <v>0.870030693803239</v>
      </c>
      <c r="F690" s="5">
        <f>(pima_data!F690-AVERAGE(pima_data!$F$1:$F$768))/_xlfn.STDEV.P(pima_data!$F$1:$F$768)</f>
        <v>1.79050333831597</v>
      </c>
      <c r="G690" s="5">
        <f>(pima_data!G690-AVERAGE(pima_data!$G$1:$G$768))/_xlfn.STDEV.P(pima_data!$G$1:$G$768)</f>
        <v>-0.413382676409293</v>
      </c>
      <c r="H690" s="5">
        <f>(pima_data!H690-AVERAGE(pima_data!$H$1:$H$768))/_xlfn.STDEV.P(pima_data!$H$1:$H$768)</f>
        <v>1.08564439188404</v>
      </c>
    </row>
    <row r="691" spans="1:8">
      <c r="A691" s="5">
        <f>(pima_data!A691-AVERAGE(pima_data!$A$1:$A$768))/_xlfn.STDEV.P(pima_data!$A$1:$A$768)</f>
        <v>1.23388018560032</v>
      </c>
      <c r="B691" s="5">
        <f>(pima_data!B691-AVERAGE(pima_data!$B$1:$B$768))/_xlfn.STDEV.P(pima_data!$B$1:$B$768)</f>
        <v>-0.434859163782809</v>
      </c>
      <c r="C691" s="5">
        <f>(pima_data!C691-AVERAGE(pima_data!$C$1:$C$768))/_xlfn.STDEV.P(pima_data!$C$1:$C$768)</f>
        <v>0.563222751794969</v>
      </c>
      <c r="D691" s="5">
        <f>(pima_data!D691-AVERAGE(pima_data!$D$1:$D$768))/_xlfn.STDEV.P(pima_data!$D$1:$D$768)</f>
        <v>-1.28821221294523</v>
      </c>
      <c r="E691" s="5">
        <f>(pima_data!E691-AVERAGE(pima_data!$E$1:$E$768))/_xlfn.STDEV.P(pima_data!$E$1:$E$768)</f>
        <v>-0.692890572295466</v>
      </c>
      <c r="F691" s="5">
        <f>(pima_data!F691-AVERAGE(pima_data!$F$1:$F$768))/_xlfn.STDEV.P(pima_data!$F$1:$F$768)</f>
        <v>-0.938260436871925</v>
      </c>
      <c r="G691" s="5">
        <f>(pima_data!G691-AVERAGE(pima_data!$G$1:$G$768))/_xlfn.STDEV.P(pima_data!$G$1:$G$768)</f>
        <v>1.16009915449318</v>
      </c>
      <c r="H691" s="5">
        <f>(pima_data!H691-AVERAGE(pima_data!$H$1:$H$768))/_xlfn.STDEV.P(pima_data!$H$1:$H$768)</f>
        <v>0.0645913542676188</v>
      </c>
    </row>
    <row r="692" spans="1:8">
      <c r="A692" s="5">
        <f>(pima_data!A692-AVERAGE(pima_data!$A$1:$A$768))/_xlfn.STDEV.P(pima_data!$A$1:$A$768)</f>
        <v>2.7187124992027</v>
      </c>
      <c r="B692" s="5">
        <f>(pima_data!B692-AVERAGE(pima_data!$B$1:$B$768))/_xlfn.STDEV.P(pima_data!$B$1:$B$768)</f>
        <v>1.16129524789792</v>
      </c>
      <c r="C692" s="5">
        <f>(pima_data!C692-AVERAGE(pima_data!$C$1:$C$768))/_xlfn.STDEV.P(pima_data!$C$1:$C$768)</f>
        <v>2.3209462482537</v>
      </c>
      <c r="D692" s="5">
        <f>(pima_data!D692-AVERAGE(pima_data!$D$1:$D$768))/_xlfn.STDEV.P(pima_data!$D$1:$D$768)</f>
        <v>-1.28821221294523</v>
      </c>
      <c r="E692" s="5">
        <f>(pima_data!E692-AVERAGE(pima_data!$E$1:$E$768))/_xlfn.STDEV.P(pima_data!$E$1:$E$768)</f>
        <v>-0.692890572295466</v>
      </c>
      <c r="F692" s="5">
        <f>(pima_data!F692-AVERAGE(pima_data!$F$1:$F$768))/_xlfn.STDEV.P(pima_data!$F$1:$F$768)</f>
        <v>1.30821020595718</v>
      </c>
      <c r="G692" s="5">
        <f>(pima_data!G692-AVERAGE(pima_data!$G$1:$G$768))/_xlfn.STDEV.P(pima_data!$G$1:$G$768)</f>
        <v>-0.648951933243061</v>
      </c>
      <c r="H692" s="5">
        <f>(pima_data!H692-AVERAGE(pima_data!$H$1:$H$768))/_xlfn.STDEV.P(pima_data!$H$1:$H$768)</f>
        <v>0.915468885614635</v>
      </c>
    </row>
    <row r="693" spans="1:8">
      <c r="A693" s="5">
        <f>(pima_data!A693-AVERAGE(pima_data!$A$1:$A$768))/_xlfn.STDEV.P(pima_data!$A$1:$A$768)</f>
        <v>-0.547918590722547</v>
      </c>
      <c r="B693" s="5">
        <f>(pima_data!B693-AVERAGE(pima_data!$B$1:$B$768))/_xlfn.STDEV.P(pima_data!$B$1:$B$768)</f>
        <v>0.00330087079621474</v>
      </c>
      <c r="C693" s="5">
        <f>(pima_data!C693-AVERAGE(pima_data!$C$1:$C$768))/_xlfn.STDEV.P(pima_data!$C$1:$C$768)</f>
        <v>0.0462452528365177</v>
      </c>
      <c r="D693" s="5">
        <f>(pima_data!D693-AVERAGE(pima_data!$D$1:$D$768))/_xlfn.STDEV.P(pima_data!$D$1:$D$768)</f>
        <v>0.719085741996565</v>
      </c>
      <c r="E693" s="5">
        <f>(pima_data!E693-AVERAGE(pima_data!$E$1:$E$768))/_xlfn.STDEV.P(pima_data!$E$1:$E$768)</f>
        <v>0.131984540367739</v>
      </c>
      <c r="F693" s="5">
        <f>(pima_data!F693-AVERAGE(pima_data!$F$1:$F$768))/_xlfn.STDEV.P(pima_data!$F$1:$F$768)</f>
        <v>0.902068620812935</v>
      </c>
      <c r="G693" s="5">
        <f>(pima_data!G693-AVERAGE(pima_data!$G$1:$G$768))/_xlfn.STDEV.P(pima_data!$G$1:$G$768)</f>
        <v>1.25070271481386</v>
      </c>
      <c r="H693" s="5">
        <f>(pima_data!H693-AVERAGE(pima_data!$H$1:$H$768))/_xlfn.STDEV.P(pima_data!$H$1:$H$768)</f>
        <v>-0.871373930214099</v>
      </c>
    </row>
    <row r="694" spans="1:8">
      <c r="A694" s="5">
        <f>(pima_data!A694-AVERAGE(pima_data!$A$1:$A$768))/_xlfn.STDEV.P(pima_data!$A$1:$A$768)</f>
        <v>0.936913722879839</v>
      </c>
      <c r="B694" s="5">
        <f>(pima_data!B694-AVERAGE(pima_data!$B$1:$B$768))/_xlfn.STDEV.P(pima_data!$B$1:$B$768)</f>
        <v>0.253678033412799</v>
      </c>
      <c r="C694" s="5">
        <f>(pima_data!C694-AVERAGE(pima_data!$C$1:$C$768))/_xlfn.STDEV.P(pima_data!$C$1:$C$768)</f>
        <v>-0.0571502469551726</v>
      </c>
      <c r="D694" s="5">
        <f>(pima_data!D694-AVERAGE(pima_data!$D$1:$D$768))/_xlfn.STDEV.P(pima_data!$D$1:$D$768)</f>
        <v>1.7854627805594</v>
      </c>
      <c r="E694" s="5">
        <f>(pima_data!E694-AVERAGE(pima_data!$E$1:$E$768))/_xlfn.STDEV.P(pima_data!$E$1:$E$768)</f>
        <v>0.392471418050857</v>
      </c>
      <c r="F694" s="5">
        <f>(pima_data!F694-AVERAGE(pima_data!$F$1:$F$768))/_xlfn.STDEV.P(pima_data!$F$1:$F$768)</f>
        <v>0.825917073598389</v>
      </c>
      <c r="G694" s="5">
        <f>(pima_data!G694-AVERAGE(pima_data!$G$1:$G$768))/_xlfn.STDEV.P(pima_data!$G$1:$G$768)</f>
        <v>-0.0992903339642707</v>
      </c>
      <c r="H694" s="5">
        <f>(pima_data!H694-AVERAGE(pima_data!$H$1:$H$768))/_xlfn.STDEV.P(pima_data!$H$1:$H$768)</f>
        <v>0.830381132479934</v>
      </c>
    </row>
    <row r="695" spans="1:8">
      <c r="A695" s="5">
        <f>(pima_data!A695-AVERAGE(pima_data!$A$1:$A$768))/_xlfn.STDEV.P(pima_data!$A$1:$A$768)</f>
        <v>-0.547918590722547</v>
      </c>
      <c r="B695" s="5">
        <f>(pima_data!B695-AVERAGE(pima_data!$B$1:$B$768))/_xlfn.STDEV.P(pima_data!$B$1:$B$768)</f>
        <v>-0.966910634343051</v>
      </c>
      <c r="C695" s="5">
        <f>(pima_data!C695-AVERAGE(pima_data!$C$1:$C$768))/_xlfn.STDEV.P(pima_data!$C$1:$C$768)</f>
        <v>-0.470732246121934</v>
      </c>
      <c r="D695" s="5">
        <f>(pima_data!D695-AVERAGE(pima_data!$D$1:$D$768))/_xlfn.STDEV.P(pima_data!$D$1:$D$768)</f>
        <v>-1.28821221294523</v>
      </c>
      <c r="E695" s="5">
        <f>(pima_data!E695-AVERAGE(pima_data!$E$1:$E$768))/_xlfn.STDEV.P(pima_data!$E$1:$E$768)</f>
        <v>-0.692890572295466</v>
      </c>
      <c r="F695" s="5">
        <f>(pima_data!F695-AVERAGE(pima_data!$F$1:$F$768))/_xlfn.STDEV.P(pima_data!$F$1:$F$768)</f>
        <v>-1.07787160676526</v>
      </c>
      <c r="G695" s="5">
        <f>(pima_data!G695-AVERAGE(pima_data!$G$1:$G$768))/_xlfn.STDEV.P(pima_data!$G$1:$G$768)</f>
        <v>-0.848279765948556</v>
      </c>
      <c r="H695" s="5">
        <f>(pima_data!H695-AVERAGE(pima_data!$H$1:$H$768))/_xlfn.STDEV.P(pima_data!$H$1:$H$768)</f>
        <v>-0.701198423944696</v>
      </c>
    </row>
    <row r="696" spans="1:8">
      <c r="A696" s="5">
        <f>(pima_data!A696-AVERAGE(pima_data!$A$1:$A$768))/_xlfn.STDEV.P(pima_data!$A$1:$A$768)</f>
        <v>0.936913722879839</v>
      </c>
      <c r="B696" s="5">
        <f>(pima_data!B696-AVERAGE(pima_data!$B$1:$B$768))/_xlfn.STDEV.P(pima_data!$B$1:$B$768)</f>
        <v>0.66054092266475</v>
      </c>
      <c r="C696" s="5">
        <f>(pima_data!C696-AVERAGE(pima_data!$C$1:$C$768))/_xlfn.STDEV.P(pima_data!$C$1:$C$768)</f>
        <v>1.08020025075342</v>
      </c>
      <c r="D696" s="5">
        <f>(pima_data!D696-AVERAGE(pima_data!$D$1:$D$768))/_xlfn.STDEV.P(pima_data!$D$1:$D$768)</f>
        <v>0.217261253261116</v>
      </c>
      <c r="E696" s="5">
        <f>(pima_data!E696-AVERAGE(pima_data!$E$1:$E$768))/_xlfn.STDEV.P(pima_data!$E$1:$E$768)</f>
        <v>3.47489947063441</v>
      </c>
      <c r="F696" s="5">
        <f>(pima_data!F696-AVERAGE(pima_data!$F$1:$F$768))/_xlfn.STDEV.P(pima_data!$F$1:$F$768)</f>
        <v>-0.202128813797981</v>
      </c>
      <c r="G696" s="5">
        <f>(pima_data!G696-AVERAGE(pima_data!$G$1:$G$768))/_xlfn.STDEV.P(pima_data!$G$1:$G$768)</f>
        <v>-1.03854724262198</v>
      </c>
      <c r="H696" s="5">
        <f>(pima_data!H696-AVERAGE(pima_data!$H$1:$H$768))/_xlfn.STDEV.P(pima_data!$H$1:$H$768)</f>
        <v>0.830381132479934</v>
      </c>
    </row>
    <row r="697" spans="1:8">
      <c r="A697" s="5">
        <f>(pima_data!A697-AVERAGE(pima_data!$A$1:$A$768))/_xlfn.STDEV.P(pima_data!$A$1:$A$768)</f>
        <v>-0.25095212800207</v>
      </c>
      <c r="B697" s="5">
        <f>(pima_data!B697-AVERAGE(pima_data!$B$1:$B$768))/_xlfn.STDEV.P(pima_data!$B$1:$B$768)</f>
        <v>1.50556384649572</v>
      </c>
      <c r="C697" s="5">
        <f>(pima_data!C697-AVERAGE(pima_data!$C$1:$C$768))/_xlfn.STDEV.P(pima_data!$C$1:$C$768)</f>
        <v>0.253036252419898</v>
      </c>
      <c r="D697" s="5">
        <f>(pima_data!D697-AVERAGE(pima_data!$D$1:$D$768))/_xlfn.STDEV.P(pima_data!$D$1:$D$768)</f>
        <v>-0.09637905219854</v>
      </c>
      <c r="E697" s="5">
        <f>(pima_data!E697-AVERAGE(pima_data!$E$1:$E$768))/_xlfn.STDEV.P(pima_data!$E$1:$E$768)</f>
        <v>0.392471418050857</v>
      </c>
      <c r="F697" s="5">
        <f>(pima_data!F697-AVERAGE(pima_data!$F$1:$F$768))/_xlfn.STDEV.P(pima_data!$F$1:$F$768)</f>
        <v>-0.26558843647677</v>
      </c>
      <c r="G697" s="5">
        <f>(pima_data!G697-AVERAGE(pima_data!$G$1:$G$768))/_xlfn.STDEV.P(pima_data!$G$1:$G$768)</f>
        <v>-0.615730627792145</v>
      </c>
      <c r="H697" s="5">
        <f>(pima_data!H697-AVERAGE(pima_data!$H$1:$H$768))/_xlfn.STDEV.P(pima_data!$H$1:$H$768)</f>
        <v>-0.190671905136486</v>
      </c>
    </row>
    <row r="698" spans="1:8">
      <c r="A698" s="5">
        <f>(pima_data!A698-AVERAGE(pima_data!$A$1:$A$768))/_xlfn.STDEV.P(pima_data!$A$1:$A$768)</f>
        <v>-1.1418515161635</v>
      </c>
      <c r="B698" s="5">
        <f>(pima_data!B698-AVERAGE(pima_data!$B$1:$B$768))/_xlfn.STDEV.P(pima_data!$B$1:$B$768)</f>
        <v>-0.685236326399393</v>
      </c>
      <c r="C698" s="5">
        <f>(pima_data!C698-AVERAGE(pima_data!$C$1:$C$768))/_xlfn.STDEV.P(pima_data!$C$1:$C$768)</f>
        <v>-3.57259723987264</v>
      </c>
      <c r="D698" s="5">
        <f>(pima_data!D698-AVERAGE(pima_data!$D$1:$D$768))/_xlfn.STDEV.P(pima_data!$D$1:$D$768)</f>
        <v>-1.28821221294523</v>
      </c>
      <c r="E698" s="5">
        <f>(pima_data!E698-AVERAGE(pima_data!$E$1:$E$768))/_xlfn.STDEV.P(pima_data!$E$1:$E$768)</f>
        <v>-0.692890572295466</v>
      </c>
      <c r="F698" s="5">
        <f>(pima_data!F698-AVERAGE(pima_data!$F$1:$F$768))/_xlfn.STDEV.P(pima_data!$F$1:$F$768)</f>
        <v>-0.887492738728894</v>
      </c>
      <c r="G698" s="5">
        <f>(pima_data!G698-AVERAGE(pima_data!$G$1:$G$768))/_xlfn.STDEV.P(pima_data!$G$1:$G$768)</f>
        <v>-0.661032407952485</v>
      </c>
      <c r="H698" s="5">
        <f>(pima_data!H698-AVERAGE(pima_data!$H$1:$H$768))/_xlfn.STDEV.P(pima_data!$H$1:$H$768)</f>
        <v>-0.956461683348801</v>
      </c>
    </row>
    <row r="699" spans="1:8">
      <c r="A699" s="5">
        <f>(pima_data!A699-AVERAGE(pima_data!$A$1:$A$768))/_xlfn.STDEV.P(pima_data!$A$1:$A$768)</f>
        <v>0.0460143347184072</v>
      </c>
      <c r="B699" s="5">
        <f>(pima_data!B699-AVERAGE(pima_data!$B$1:$B$768))/_xlfn.STDEV.P(pima_data!$B$1:$B$768)</f>
        <v>0.191083742758653</v>
      </c>
      <c r="C699" s="5">
        <f>(pima_data!C699-AVERAGE(pima_data!$C$1:$C$768))/_xlfn.STDEV.P(pima_data!$C$1:$C$768)</f>
        <v>0.97680475096173</v>
      </c>
      <c r="D699" s="5">
        <f>(pima_data!D699-AVERAGE(pima_data!$D$1:$D$768))/_xlfn.STDEV.P(pima_data!$D$1:$D$768)</f>
        <v>-0.59820354093399</v>
      </c>
      <c r="E699" s="5">
        <f>(pima_data!E699-AVERAGE(pima_data!$E$1:$E$768))/_xlfn.STDEV.P(pima_data!$E$1:$E$768)</f>
        <v>0.652958295733974</v>
      </c>
      <c r="F699" s="5">
        <f>(pima_data!F699-AVERAGE(pima_data!$F$1:$F$768))/_xlfn.STDEV.P(pima_data!$F$1:$F$768)</f>
        <v>0.318240092168083</v>
      </c>
      <c r="G699" s="5">
        <f>(pima_data!G699-AVERAGE(pima_data!$G$1:$G$768))/_xlfn.STDEV.P(pima_data!$G$1:$G$768)</f>
        <v>0.380908535735332</v>
      </c>
      <c r="H699" s="5">
        <f>(pima_data!H699-AVERAGE(pima_data!$H$1:$H$768))/_xlfn.STDEV.P(pima_data!$H$1:$H$768)</f>
        <v>-0.445935164540591</v>
      </c>
    </row>
    <row r="700" spans="1:8">
      <c r="A700" s="5">
        <f>(pima_data!A700-AVERAGE(pima_data!$A$1:$A$768))/_xlfn.STDEV.P(pima_data!$A$1:$A$768)</f>
        <v>0.0460143347184072</v>
      </c>
      <c r="B700" s="5">
        <f>(pima_data!B700-AVERAGE(pima_data!$B$1:$B$768))/_xlfn.STDEV.P(pima_data!$B$1:$B$768)</f>
        <v>-0.0905905651850046</v>
      </c>
      <c r="C700" s="5">
        <f>(pima_data!C700-AVERAGE(pima_data!$C$1:$C$768))/_xlfn.STDEV.P(pima_data!$C$1:$C$768)</f>
        <v>0.0462452528365177</v>
      </c>
      <c r="D700" s="5">
        <f>(pima_data!D700-AVERAGE(pima_data!$D$1:$D$768))/_xlfn.STDEV.P(pima_data!$D$1:$D$768)</f>
        <v>-1.28821221294523</v>
      </c>
      <c r="E700" s="5">
        <f>(pima_data!E700-AVERAGE(pima_data!$E$1:$E$768))/_xlfn.STDEV.P(pima_data!$E$1:$E$768)</f>
        <v>-0.692890572295466</v>
      </c>
      <c r="F700" s="5">
        <f>(pima_data!F700-AVERAGE(pima_data!$F$1:$F$768))/_xlfn.STDEV.P(pima_data!$F$1:$F$768)</f>
        <v>1.58743254574385</v>
      </c>
      <c r="G700" s="5">
        <f>(pima_data!G700-AVERAGE(pima_data!$G$1:$G$768))/_xlfn.STDEV.P(pima_data!$G$1:$G$768)</f>
        <v>1.30506485100626</v>
      </c>
      <c r="H700" s="5">
        <f>(pima_data!H700-AVERAGE(pima_data!$H$1:$H$768))/_xlfn.STDEV.P(pima_data!$H$1:$H$768)</f>
        <v>-0.616110670809994</v>
      </c>
    </row>
    <row r="701" spans="1:8">
      <c r="A701" s="5">
        <f>(pima_data!A701-AVERAGE(pima_data!$A$1:$A$768))/_xlfn.STDEV.P(pima_data!$A$1:$A$768)</f>
        <v>-0.547918590722547</v>
      </c>
      <c r="B701" s="5">
        <f>(pima_data!B701-AVERAGE(pima_data!$B$1:$B$768))/_xlfn.STDEV.P(pima_data!$B$1:$B$768)</f>
        <v>0.0345980161232878</v>
      </c>
      <c r="C701" s="5">
        <f>(pima_data!C701-AVERAGE(pima_data!$C$1:$C$768))/_xlfn.STDEV.P(pima_data!$C$1:$C$768)</f>
        <v>0.356431752211589</v>
      </c>
      <c r="D701" s="5">
        <f>(pima_data!D701-AVERAGE(pima_data!$D$1:$D$768))/_xlfn.STDEV.P(pima_data!$D$1:$D$768)</f>
        <v>0.40544543653691</v>
      </c>
      <c r="E701" s="5">
        <f>(pima_data!E701-AVERAGE(pima_data!$E$1:$E$768))/_xlfn.STDEV.P(pima_data!$E$1:$E$768)</f>
        <v>1.04368861225865</v>
      </c>
      <c r="F701" s="5">
        <f>(pima_data!F701-AVERAGE(pima_data!$F$1:$F$768))/_xlfn.STDEV.P(pima_data!$F$1:$F$768)</f>
        <v>0.49592703566869</v>
      </c>
      <c r="G701" s="5">
        <f>(pima_data!G701-AVERAGE(pima_data!$G$1:$G$768))/_xlfn.STDEV.P(pima_data!$G$1:$G$768)</f>
        <v>0.0335948878393928</v>
      </c>
      <c r="H701" s="5">
        <f>(pima_data!H701-AVERAGE(pima_data!$H$1:$H$768))/_xlfn.STDEV.P(pima_data!$H$1:$H$768)</f>
        <v>-0.616110670809994</v>
      </c>
    </row>
    <row r="702" spans="1:8">
      <c r="A702" s="5">
        <f>(pima_data!A702-AVERAGE(pima_data!$A$1:$A$768))/_xlfn.STDEV.P(pima_data!$A$1:$A$768)</f>
        <v>0.639947260159362</v>
      </c>
      <c r="B702" s="5">
        <f>(pima_data!B702-AVERAGE(pima_data!$B$1:$B$768))/_xlfn.STDEV.P(pima_data!$B$1:$B$768)</f>
        <v>0.128489452104507</v>
      </c>
      <c r="C702" s="5">
        <f>(pima_data!C702-AVERAGE(pima_data!$C$1:$C$768))/_xlfn.STDEV.P(pima_data!$C$1:$C$768)</f>
        <v>0.459827252003279</v>
      </c>
      <c r="D702" s="5">
        <f>(pima_data!D702-AVERAGE(pima_data!$D$1:$D$768))/_xlfn.STDEV.P(pima_data!$D$1:$D$768)</f>
        <v>0.656357680904634</v>
      </c>
      <c r="E702" s="5">
        <f>(pima_data!E702-AVERAGE(pima_data!$E$1:$E$768))/_xlfn.STDEV.P(pima_data!$E$1:$E$768)</f>
        <v>-0.692890572295466</v>
      </c>
      <c r="F702" s="5">
        <f>(pima_data!F702-AVERAGE(pima_data!$F$1:$F$768))/_xlfn.STDEV.P(pima_data!$F$1:$F$768)</f>
        <v>-0.557502700799195</v>
      </c>
      <c r="G702" s="5">
        <f>(pima_data!G702-AVERAGE(pima_data!$G$1:$G$768))/_xlfn.STDEV.P(pima_data!$G$1:$G$768)</f>
        <v>0.281244619382584</v>
      </c>
      <c r="H702" s="5">
        <f>(pima_data!H702-AVERAGE(pima_data!$H$1:$H$768))/_xlfn.STDEV.P(pima_data!$H$1:$H$768)</f>
        <v>1.34090765128814</v>
      </c>
    </row>
    <row r="703" spans="1:8">
      <c r="A703" s="5">
        <f>(pima_data!A703-AVERAGE(pima_data!$A$1:$A$768))/_xlfn.STDEV.P(pima_data!$A$1:$A$768)</f>
        <v>-0.844885053443025</v>
      </c>
      <c r="B703" s="5">
        <f>(pima_data!B703-AVERAGE(pima_data!$B$1:$B$768))/_xlfn.STDEV.P(pima_data!$B$1:$B$768)</f>
        <v>1.47426670116865</v>
      </c>
      <c r="C703" s="5">
        <f>(pima_data!C703-AVERAGE(pima_data!$C$1:$C$768))/_xlfn.STDEV.P(pima_data!$C$1:$C$768)</f>
        <v>0.97680475096173</v>
      </c>
      <c r="D703" s="5">
        <f>(pima_data!D703-AVERAGE(pima_data!$D$1:$D$768))/_xlfn.STDEV.P(pima_data!$D$1:$D$768)</f>
        <v>0.530901558720772</v>
      </c>
      <c r="E703" s="5">
        <f>(pima_data!E703-AVERAGE(pima_data!$E$1:$E$768))/_xlfn.STDEV.P(pima_data!$E$1:$E$768)</f>
        <v>-0.692890572295466</v>
      </c>
      <c r="F703" s="5">
        <f>(pima_data!F703-AVERAGE(pima_data!$F$1:$F$768))/_xlfn.STDEV.P(pima_data!$F$1:$F$768)</f>
        <v>0.381699714846871</v>
      </c>
      <c r="G703" s="5">
        <f>(pima_data!G703-AVERAGE(pima_data!$G$1:$G$768))/_xlfn.STDEV.P(pima_data!$G$1:$G$768)</f>
        <v>1.30808496968362</v>
      </c>
      <c r="H703" s="5">
        <f>(pima_data!H703-AVERAGE(pima_data!$H$1:$H$768))/_xlfn.STDEV.P(pima_data!$H$1:$H$768)</f>
        <v>1.59617091069225</v>
      </c>
    </row>
    <row r="704" spans="1:8">
      <c r="A704" s="5">
        <f>(pima_data!A704-AVERAGE(pima_data!$A$1:$A$768))/_xlfn.STDEV.P(pima_data!$A$1:$A$768)</f>
        <v>-0.547918590722547</v>
      </c>
      <c r="B704" s="5">
        <f>(pima_data!B704-AVERAGE(pima_data!$B$1:$B$768))/_xlfn.STDEV.P(pima_data!$B$1:$B$768)</f>
        <v>0.253678033412799</v>
      </c>
      <c r="C704" s="5">
        <f>(pima_data!C704-AVERAGE(pima_data!$C$1:$C$768))/_xlfn.STDEV.P(pima_data!$C$1:$C$768)</f>
        <v>-3.57259723987264</v>
      </c>
      <c r="D704" s="5">
        <f>(pima_data!D704-AVERAGE(pima_data!$D$1:$D$768))/_xlfn.STDEV.P(pima_data!$D$1:$D$768)</f>
        <v>-1.28821221294523</v>
      </c>
      <c r="E704" s="5">
        <f>(pima_data!E704-AVERAGE(pima_data!$E$1:$E$768))/_xlfn.STDEV.P(pima_data!$E$1:$E$768)</f>
        <v>-0.692890572295466</v>
      </c>
      <c r="F704" s="5">
        <f>(pima_data!F704-AVERAGE(pima_data!$F$1:$F$768))/_xlfn.STDEV.P(pima_data!$F$1:$F$768)</f>
        <v>0.825917073598389</v>
      </c>
      <c r="G704" s="5">
        <f>(pima_data!G704-AVERAGE(pima_data!$G$1:$G$768))/_xlfn.STDEV.P(pima_data!$G$1:$G$768)</f>
        <v>-0.507006355407329</v>
      </c>
      <c r="H704" s="5">
        <f>(pima_data!H704-AVERAGE(pima_data!$H$1:$H$768))/_xlfn.STDEV.P(pima_data!$H$1:$H$768)</f>
        <v>0.66020562621053</v>
      </c>
    </row>
    <row r="705" spans="1:8">
      <c r="A705" s="5">
        <f>(pima_data!A705-AVERAGE(pima_data!$A$1:$A$768))/_xlfn.STDEV.P(pima_data!$A$1:$A$768)</f>
        <v>0.0460143347184072</v>
      </c>
      <c r="B705" s="5">
        <f>(pima_data!B705-AVERAGE(pima_data!$B$1:$B$768))/_xlfn.STDEV.P(pima_data!$B$1:$B$768)</f>
        <v>-0.340967727801589</v>
      </c>
      <c r="C705" s="5">
        <f>(pima_data!C705-AVERAGE(pima_data!$C$1:$C$768))/_xlfn.STDEV.P(pima_data!$C$1:$C$768)</f>
        <v>0.356431752211589</v>
      </c>
      <c r="D705" s="5">
        <f>(pima_data!D705-AVERAGE(pima_data!$D$1:$D$768))/_xlfn.STDEV.P(pima_data!$D$1:$D$768)</f>
        <v>-0.0336509911066088</v>
      </c>
      <c r="E705" s="5">
        <f>(pima_data!E705-AVERAGE(pima_data!$E$1:$E$768))/_xlfn.STDEV.P(pima_data!$E$1:$E$768)</f>
        <v>0.175399019981592</v>
      </c>
      <c r="F705" s="5">
        <f>(pima_data!F705-AVERAGE(pima_data!$F$1:$F$768))/_xlfn.STDEV.P(pima_data!$F$1:$F$768)</f>
        <v>-0.455967304513134</v>
      </c>
      <c r="G705" s="5">
        <f>(pima_data!G705-AVERAGE(pima_data!$G$1:$G$768))/_xlfn.STDEV.P(pima_data!$G$1:$G$768)</f>
        <v>-1.06874842939554</v>
      </c>
      <c r="H705" s="5">
        <f>(pima_data!H705-AVERAGE(pima_data!$H$1:$H$768))/_xlfn.STDEV.P(pima_data!$H$1:$H$768)</f>
        <v>-0.531022917675293</v>
      </c>
    </row>
    <row r="706" spans="1:8">
      <c r="A706" s="5">
        <f>(pima_data!A706-AVERAGE(pima_data!$A$1:$A$768))/_xlfn.STDEV.P(pima_data!$A$1:$A$768)</f>
        <v>0.639947260159362</v>
      </c>
      <c r="B706" s="5">
        <f>(pima_data!B706-AVERAGE(pima_data!$B$1:$B$768))/_xlfn.STDEV.P(pima_data!$B$1:$B$768)</f>
        <v>-1.27988208761378</v>
      </c>
      <c r="C706" s="5">
        <f>(pima_data!C706-AVERAGE(pima_data!$C$1:$C$768))/_xlfn.STDEV.P(pima_data!$C$1:$C$768)</f>
        <v>0.563222751794969</v>
      </c>
      <c r="D706" s="5">
        <f>(pima_data!D706-AVERAGE(pima_data!$D$1:$D$768))/_xlfn.STDEV.P(pima_data!$D$1:$D$768)</f>
        <v>0.96999798636429</v>
      </c>
      <c r="E706" s="5">
        <f>(pima_data!E706-AVERAGE(pima_data!$E$1:$E$768))/_xlfn.STDEV.P(pima_data!$E$1:$E$768)</f>
        <v>-0.692890572295466</v>
      </c>
      <c r="F706" s="5">
        <f>(pima_data!F706-AVERAGE(pima_data!$F$1:$F$768))/_xlfn.STDEV.P(pima_data!$F$1:$F$768)</f>
        <v>0.990912092563238</v>
      </c>
      <c r="G706" s="5">
        <f>(pima_data!G706-AVERAGE(pima_data!$G$1:$G$768))/_xlfn.STDEV.P(pima_data!$G$1:$G$768)</f>
        <v>-0.89056142743154</v>
      </c>
      <c r="H706" s="5">
        <f>(pima_data!H706-AVERAGE(pima_data!$H$1:$H$768))/_xlfn.STDEV.P(pima_data!$H$1:$H$768)</f>
        <v>-0.445935164540591</v>
      </c>
    </row>
    <row r="707" spans="1:8">
      <c r="A707" s="5">
        <f>(pima_data!A707-AVERAGE(pima_data!$A$1:$A$768))/_xlfn.STDEV.P(pima_data!$A$1:$A$768)</f>
        <v>1.82781311104127</v>
      </c>
      <c r="B707" s="5">
        <f>(pima_data!B707-AVERAGE(pima_data!$B$1:$B$768))/_xlfn.STDEV.P(pima_data!$B$1:$B$768)</f>
        <v>-0.184482001166224</v>
      </c>
      <c r="C707" s="5">
        <f>(pima_data!C707-AVERAGE(pima_data!$C$1:$C$768))/_xlfn.STDEV.P(pima_data!$C$1:$C$768)</f>
        <v>-3.57259723987264</v>
      </c>
      <c r="D707" s="5">
        <f>(pima_data!D707-AVERAGE(pima_data!$D$1:$D$768))/_xlfn.STDEV.P(pima_data!$D$1:$D$768)</f>
        <v>-1.28821221294523</v>
      </c>
      <c r="E707" s="5">
        <f>(pima_data!E707-AVERAGE(pima_data!$E$1:$E$768))/_xlfn.STDEV.P(pima_data!$E$1:$E$768)</f>
        <v>-0.692890572295466</v>
      </c>
      <c r="F707" s="5">
        <f>(pima_data!F707-AVERAGE(pima_data!$F$1:$F$768))/_xlfn.STDEV.P(pima_data!$F$1:$F$768)</f>
        <v>-4.06047387266831</v>
      </c>
      <c r="G707" s="5">
        <f>(pima_data!G707-AVERAGE(pima_data!$G$1:$G$768))/_xlfn.STDEV.P(pima_data!$G$1:$G$768)</f>
        <v>-0.636871458533637</v>
      </c>
      <c r="H707" s="5">
        <f>(pima_data!H707-AVERAGE(pima_data!$H$1:$H$768))/_xlfn.STDEV.P(pima_data!$H$1:$H$768)</f>
        <v>-0.275759658271188</v>
      </c>
    </row>
    <row r="708" spans="1:8">
      <c r="A708" s="5">
        <f>(pima_data!A708-AVERAGE(pima_data!$A$1:$A$768))/_xlfn.STDEV.P(pima_data!$A$1:$A$768)</f>
        <v>-0.547918590722547</v>
      </c>
      <c r="B708" s="5">
        <f>(pima_data!B708-AVERAGE(pima_data!$B$1:$B$768))/_xlfn.STDEV.P(pima_data!$B$1:$B$768)</f>
        <v>0.191083742758653</v>
      </c>
      <c r="C708" s="5">
        <f>(pima_data!C708-AVERAGE(pima_data!$C$1:$C$768))/_xlfn.STDEV.P(pima_data!$C$1:$C$768)</f>
        <v>-1.19450074466377</v>
      </c>
      <c r="D708" s="5">
        <f>(pima_data!D708-AVERAGE(pima_data!$D$1:$D$768))/_xlfn.STDEV.P(pima_data!$D$1:$D$768)</f>
        <v>0.0290770699853223</v>
      </c>
      <c r="E708" s="5">
        <f>(pima_data!E708-AVERAGE(pima_data!$E$1:$E$768))/_xlfn.STDEV.P(pima_data!$E$1:$E$768)</f>
        <v>2.21587956183268</v>
      </c>
      <c r="F708" s="5">
        <f>(pima_data!F708-AVERAGE(pima_data!$F$1:$F$768))/_xlfn.STDEV.P(pima_data!$F$1:$F$768)</f>
        <v>0.305548167632325</v>
      </c>
      <c r="G708" s="5">
        <f>(pima_data!G708-AVERAGE(pima_data!$G$1:$G$768))/_xlfn.STDEV.P(pima_data!$G$1:$G$768)</f>
        <v>-0.893581546108896</v>
      </c>
      <c r="H708" s="5">
        <f>(pima_data!H708-AVERAGE(pima_data!$H$1:$H$768))/_xlfn.STDEV.P(pima_data!$H$1:$H$768)</f>
        <v>-0.956461683348801</v>
      </c>
    </row>
    <row r="709" spans="1:8">
      <c r="A709" s="5">
        <f>(pima_data!A709-AVERAGE(pima_data!$A$1:$A$768))/_xlfn.STDEV.P(pima_data!$A$1:$A$768)</f>
        <v>1.53084664832079</v>
      </c>
      <c r="B709" s="5">
        <f>(pima_data!B709-AVERAGE(pima_data!$B$1:$B$768))/_xlfn.STDEV.P(pima_data!$B$1:$B$768)</f>
        <v>1.34907811986036</v>
      </c>
      <c r="C709" s="5">
        <f>(pima_data!C709-AVERAGE(pima_data!$C$1:$C$768))/_xlfn.STDEV.P(pima_data!$C$1:$C$768)</f>
        <v>0.459827252003279</v>
      </c>
      <c r="D709" s="5">
        <f>(pima_data!D709-AVERAGE(pima_data!$D$1:$D$768))/_xlfn.STDEV.P(pima_data!$D$1:$D$768)</f>
        <v>-1.28821221294523</v>
      </c>
      <c r="E709" s="5">
        <f>(pima_data!E709-AVERAGE(pima_data!$E$1:$E$768))/_xlfn.STDEV.P(pima_data!$E$1:$E$768)</f>
        <v>-0.692890572295466</v>
      </c>
      <c r="F709" s="5">
        <f>(pima_data!F709-AVERAGE(pima_data!$F$1:$F$768))/_xlfn.STDEV.P(pima_data!$F$1:$F$768)</f>
        <v>0.102477375060202</v>
      </c>
      <c r="G709" s="5">
        <f>(pima_data!G709-AVERAGE(pima_data!$G$1:$G$768))/_xlfn.STDEV.P(pima_data!$G$1:$G$768)</f>
        <v>-0.978144869074864</v>
      </c>
      <c r="H709" s="5">
        <f>(pima_data!H709-AVERAGE(pima_data!$H$1:$H$768))/_xlfn.STDEV.P(pima_data!$H$1:$H$768)</f>
        <v>1.00055663874934</v>
      </c>
    </row>
    <row r="710" spans="1:8">
      <c r="A710" s="5">
        <f>(pima_data!A710-AVERAGE(pima_data!$A$1:$A$768))/_xlfn.STDEV.P(pima_data!$A$1:$A$768)</f>
        <v>-0.547918590722547</v>
      </c>
      <c r="B710" s="5">
        <f>(pima_data!B710-AVERAGE(pima_data!$B$1:$B$768))/_xlfn.STDEV.P(pima_data!$B$1:$B$768)</f>
        <v>-0.873019198361832</v>
      </c>
      <c r="C710" s="5">
        <f>(pima_data!C710-AVERAGE(pima_data!$C$1:$C$768))/_xlfn.STDEV.P(pima_data!$C$1:$C$768)</f>
        <v>-0.263941246538553</v>
      </c>
      <c r="D710" s="5">
        <f>(pima_data!D710-AVERAGE(pima_data!$D$1:$D$768))/_xlfn.STDEV.P(pima_data!$D$1:$D$768)</f>
        <v>0.719085741996565</v>
      </c>
      <c r="E710" s="5">
        <f>(pima_data!E710-AVERAGE(pima_data!$E$1:$E$768))/_xlfn.STDEV.P(pima_data!$E$1:$E$768)</f>
        <v>0.696372775347827</v>
      </c>
      <c r="F710" s="5">
        <f>(pima_data!F710-AVERAGE(pima_data!$F$1:$F$768))/_xlfn.STDEV.P(pima_data!$F$1:$F$768)</f>
        <v>0.7624574509196</v>
      </c>
      <c r="G710" s="5">
        <f>(pima_data!G710-AVERAGE(pima_data!$G$1:$G$768))/_xlfn.STDEV.P(pima_data!$G$1:$G$768)</f>
        <v>0.610437555214387</v>
      </c>
      <c r="H710" s="5">
        <f>(pima_data!H710-AVERAGE(pima_data!$H$1:$H$768))/_xlfn.STDEV.P(pima_data!$H$1:$H$768)</f>
        <v>-0.871373930214099</v>
      </c>
    </row>
    <row r="711" spans="1:8">
      <c r="A711" s="5">
        <f>(pima_data!A711-AVERAGE(pima_data!$A$1:$A$768))/_xlfn.STDEV.P(pima_data!$A$1:$A$768)</f>
        <v>-0.25095212800207</v>
      </c>
      <c r="B711" s="5">
        <f>(pima_data!B711-AVERAGE(pima_data!$B$1:$B$768))/_xlfn.STDEV.P(pima_data!$B$1:$B$768)</f>
        <v>1.16129524789792</v>
      </c>
      <c r="C711" s="5">
        <f>(pima_data!C711-AVERAGE(pima_data!$C$1:$C$768))/_xlfn.STDEV.P(pima_data!$C$1:$C$768)</f>
        <v>-0.263941246538553</v>
      </c>
      <c r="D711" s="5">
        <f>(pima_data!D711-AVERAGE(pima_data!$D$1:$D$768))/_xlfn.STDEV.P(pima_data!$D$1:$D$768)</f>
        <v>-0.472747418750127</v>
      </c>
      <c r="E711" s="5">
        <f>(pima_data!E711-AVERAGE(pima_data!$E$1:$E$768))/_xlfn.STDEV.P(pima_data!$E$1:$E$768)</f>
        <v>2.66739014981675</v>
      </c>
      <c r="F711" s="5">
        <f>(pima_data!F711-AVERAGE(pima_data!$F$1:$F$768))/_xlfn.STDEV.P(pima_data!$F$1:$F$768)</f>
        <v>-0.10059341751192</v>
      </c>
      <c r="G711" s="5">
        <f>(pima_data!G711-AVERAGE(pima_data!$G$1:$G$768))/_xlfn.STDEV.P(pima_data!$G$1:$G$768)</f>
        <v>-0.534187423503533</v>
      </c>
      <c r="H711" s="5">
        <f>(pima_data!H711-AVERAGE(pima_data!$H$1:$H$768))/_xlfn.STDEV.P(pima_data!$H$1:$H$768)</f>
        <v>-0.786286177079398</v>
      </c>
    </row>
    <row r="712" spans="1:8">
      <c r="A712" s="5">
        <f>(pima_data!A712-AVERAGE(pima_data!$A$1:$A$768))/_xlfn.STDEV.P(pima_data!$A$1:$A$768)</f>
        <v>0.342980797438884</v>
      </c>
      <c r="B712" s="5">
        <f>(pima_data!B712-AVERAGE(pima_data!$B$1:$B$768))/_xlfn.STDEV.P(pima_data!$B$1:$B$768)</f>
        <v>0.15978659743158</v>
      </c>
      <c r="C712" s="5">
        <f>(pima_data!C712-AVERAGE(pima_data!$C$1:$C$768))/_xlfn.STDEV.P(pima_data!$C$1:$C$768)</f>
        <v>0.459827252003279</v>
      </c>
      <c r="D712" s="5">
        <f>(pima_data!D712-AVERAGE(pima_data!$D$1:$D$768))/_xlfn.STDEV.P(pima_data!$D$1:$D$768)</f>
        <v>0.40544543653691</v>
      </c>
      <c r="E712" s="5">
        <f>(pima_data!E712-AVERAGE(pima_data!$E$1:$E$768))/_xlfn.STDEV.P(pima_data!$E$1:$E$768)</f>
        <v>-0.501866861994513</v>
      </c>
      <c r="F712" s="5">
        <f>(pima_data!F712-AVERAGE(pima_data!$F$1:$F$768))/_xlfn.STDEV.P(pima_data!$F$1:$F$768)</f>
        <v>-0.303664210084042</v>
      </c>
      <c r="G712" s="5">
        <f>(pima_data!G712-AVERAGE(pima_data!$G$1:$G$768))/_xlfn.STDEV.P(pima_data!$G$1:$G$768)</f>
        <v>-0.0992903339642707</v>
      </c>
      <c r="H712" s="5">
        <f>(pima_data!H712-AVERAGE(pima_data!$H$1:$H$768))/_xlfn.STDEV.P(pima_data!$H$1:$H$768)</f>
        <v>0.575117873075829</v>
      </c>
    </row>
    <row r="713" spans="1:8">
      <c r="A713" s="5">
        <f>(pima_data!A713-AVERAGE(pima_data!$A$1:$A$768))/_xlfn.STDEV.P(pima_data!$A$1:$A$768)</f>
        <v>1.82781311104127</v>
      </c>
      <c r="B713" s="5">
        <f>(pima_data!B713-AVERAGE(pima_data!$B$1:$B$768))/_xlfn.STDEV.P(pima_data!$B$1:$B$768)</f>
        <v>0.253678033412799</v>
      </c>
      <c r="C713" s="5">
        <f>(pima_data!C713-AVERAGE(pima_data!$C$1:$C$768))/_xlfn.STDEV.P(pima_data!$C$1:$C$768)</f>
        <v>-0.367336746330243</v>
      </c>
      <c r="D713" s="5">
        <f>(pima_data!D713-AVERAGE(pima_data!$D$1:$D$768))/_xlfn.STDEV.P(pima_data!$D$1:$D$768)</f>
        <v>0.96999798636429</v>
      </c>
      <c r="E713" s="5">
        <f>(pima_data!E713-AVERAGE(pima_data!$E$1:$E$768))/_xlfn.STDEV.P(pima_data!$E$1:$E$768)</f>
        <v>-0.692890572295466</v>
      </c>
      <c r="F713" s="5">
        <f>(pima_data!F713-AVERAGE(pima_data!$F$1:$F$768))/_xlfn.STDEV.P(pima_data!$F$1:$F$768)</f>
        <v>1.16859903606385</v>
      </c>
      <c r="G713" s="5">
        <f>(pima_data!G713-AVERAGE(pima_data!$G$1:$G$768))/_xlfn.STDEV.P(pima_data!$G$1:$G$768)</f>
        <v>-0.0932500966095587</v>
      </c>
      <c r="H713" s="5">
        <f>(pima_data!H713-AVERAGE(pima_data!$H$1:$H$768))/_xlfn.STDEV.P(pima_data!$H$1:$H$768)</f>
        <v>0.404942366806425</v>
      </c>
    </row>
    <row r="714" spans="1:8">
      <c r="A714" s="5">
        <f>(pima_data!A714-AVERAGE(pima_data!$A$1:$A$768))/_xlfn.STDEV.P(pima_data!$A$1:$A$768)</f>
        <v>-1.1418515161635</v>
      </c>
      <c r="B714" s="5">
        <f>(pima_data!B714-AVERAGE(pima_data!$B$1:$B$768))/_xlfn.STDEV.P(pima_data!$B$1:$B$768)</f>
        <v>0.410163760048165</v>
      </c>
      <c r="C714" s="5">
        <f>(pima_data!C714-AVERAGE(pima_data!$C$1:$C$768))/_xlfn.STDEV.P(pima_data!$C$1:$C$768)</f>
        <v>-0.574127745913624</v>
      </c>
      <c r="D714" s="5">
        <f>(pima_data!D714-AVERAGE(pima_data!$D$1:$D$768))/_xlfn.STDEV.P(pima_data!$D$1:$D$768)</f>
        <v>-0.0336509911066088</v>
      </c>
      <c r="E714" s="5">
        <f>(pima_data!E714-AVERAGE(pima_data!$E$1:$E$768))/_xlfn.STDEV.P(pima_data!$E$1:$E$768)</f>
        <v>1.83383214123077</v>
      </c>
      <c r="F714" s="5">
        <f>(pima_data!F714-AVERAGE(pima_data!$F$1:$F$768))/_xlfn.STDEV.P(pima_data!$F$1:$F$768)</f>
        <v>-0.709805795228287</v>
      </c>
      <c r="G714" s="5">
        <f>(pima_data!G714-AVERAGE(pima_data!$G$1:$G$768))/_xlfn.STDEV.P(pima_data!$G$1:$G$768)</f>
        <v>-0.362040658894242</v>
      </c>
      <c r="H714" s="5">
        <f>(pima_data!H714-AVERAGE(pima_data!$H$1:$H$768))/_xlfn.STDEV.P(pima_data!$H$1:$H$768)</f>
        <v>-1.0415494364835</v>
      </c>
    </row>
    <row r="715" spans="1:8">
      <c r="A715" s="5">
        <f>(pima_data!A715-AVERAGE(pima_data!$A$1:$A$768))/_xlfn.STDEV.P(pima_data!$A$1:$A$768)</f>
        <v>-0.25095212800207</v>
      </c>
      <c r="B715" s="5">
        <f>(pima_data!B715-AVERAGE(pima_data!$B$1:$B$768))/_xlfn.STDEV.P(pima_data!$B$1:$B$768)</f>
        <v>-0.591344890418174</v>
      </c>
      <c r="C715" s="5">
        <f>(pima_data!C715-AVERAGE(pima_data!$C$1:$C$768))/_xlfn.STDEV.P(pima_data!$C$1:$C$768)</f>
        <v>0.253036252419898</v>
      </c>
      <c r="D715" s="5">
        <f>(pima_data!D715-AVERAGE(pima_data!$D$1:$D$768))/_xlfn.STDEV.P(pima_data!$D$1:$D$768)</f>
        <v>-1.28821221294523</v>
      </c>
      <c r="E715" s="5">
        <f>(pima_data!E715-AVERAGE(pima_data!$E$1:$E$768))/_xlfn.STDEV.P(pima_data!$E$1:$E$768)</f>
        <v>-0.692890572295466</v>
      </c>
      <c r="F715" s="5">
        <f>(pima_data!F715-AVERAGE(pima_data!$F$1:$F$768))/_xlfn.STDEV.P(pima_data!$F$1:$F$768)</f>
        <v>-0.3163561346198</v>
      </c>
      <c r="G715" s="5">
        <f>(pima_data!G715-AVERAGE(pima_data!$G$1:$G$768))/_xlfn.STDEV.P(pima_data!$G$1:$G$768)</f>
        <v>-1.05968807336348</v>
      </c>
      <c r="H715" s="5">
        <f>(pima_data!H715-AVERAGE(pima_data!$H$1:$H$768))/_xlfn.STDEV.P(pima_data!$H$1:$H$768)</f>
        <v>-0.105584152001785</v>
      </c>
    </row>
    <row r="716" spans="1:8">
      <c r="A716" s="5">
        <f>(pima_data!A716-AVERAGE(pima_data!$A$1:$A$768))/_xlfn.STDEV.P(pima_data!$A$1:$A$768)</f>
        <v>0.936913722879839</v>
      </c>
      <c r="B716" s="5">
        <f>(pima_data!B716-AVERAGE(pima_data!$B$1:$B$768))/_xlfn.STDEV.P(pima_data!$B$1:$B$768)</f>
        <v>2.06891246238304</v>
      </c>
      <c r="C716" s="5">
        <f>(pima_data!C716-AVERAGE(pima_data!$C$1:$C$768))/_xlfn.STDEV.P(pima_data!$C$1:$C$768)</f>
        <v>-0.987709745080385</v>
      </c>
      <c r="D716" s="5">
        <f>(pima_data!D716-AVERAGE(pima_data!$D$1:$D$768))/_xlfn.STDEV.P(pima_data!$D$1:$D$768)</f>
        <v>0.781813803088497</v>
      </c>
      <c r="E716" s="5">
        <f>(pima_data!E716-AVERAGE(pima_data!$E$1:$E$768))/_xlfn.STDEV.P(pima_data!$E$1:$E$768)</f>
        <v>2.7108046294306</v>
      </c>
      <c r="F716" s="5">
        <f>(pima_data!F716-AVERAGE(pima_data!$F$1:$F$768))/_xlfn.STDEV.P(pima_data!$F$1:$F$768)</f>
        <v>0.242088544953536</v>
      </c>
      <c r="G716" s="5">
        <f>(pima_data!G716-AVERAGE(pima_data!$G$1:$G$768))/_xlfn.STDEV.P(pima_data!$G$1:$G$768)</f>
        <v>1.0694955941725</v>
      </c>
      <c r="H716" s="5">
        <f>(pima_data!H716-AVERAGE(pima_data!$H$1:$H$768))/_xlfn.STDEV.P(pima_data!$H$1:$H$768)</f>
        <v>0.0645913542676188</v>
      </c>
    </row>
    <row r="717" spans="1:8">
      <c r="A717" s="5">
        <f>(pima_data!A717-AVERAGE(pima_data!$A$1:$A$768))/_xlfn.STDEV.P(pima_data!$A$1:$A$768)</f>
        <v>-0.25095212800207</v>
      </c>
      <c r="B717" s="5">
        <f>(pima_data!B717-AVERAGE(pima_data!$B$1:$B$768))/_xlfn.STDEV.P(pima_data!$B$1:$B$768)</f>
        <v>1.63075242780402</v>
      </c>
      <c r="C717" s="5">
        <f>(pima_data!C717-AVERAGE(pima_data!$C$1:$C$768))/_xlfn.STDEV.P(pima_data!$C$1:$C$768)</f>
        <v>0.459827252003279</v>
      </c>
      <c r="D717" s="5">
        <f>(pima_data!D717-AVERAGE(pima_data!$D$1:$D$768))/_xlfn.STDEV.P(pima_data!$D$1:$D$768)</f>
        <v>1.15818216964008</v>
      </c>
      <c r="E717" s="5">
        <f>(pima_data!E717-AVERAGE(pima_data!$E$1:$E$768))/_xlfn.STDEV.P(pima_data!$E$1:$E$768)</f>
        <v>0.913445173417092</v>
      </c>
      <c r="F717" s="5">
        <f>(pima_data!F717-AVERAGE(pima_data!$F$1:$F$768))/_xlfn.STDEV.P(pima_data!$F$1:$F$768)</f>
        <v>0.229396620417779</v>
      </c>
      <c r="G717" s="5">
        <f>(pima_data!G717-AVERAGE(pima_data!$G$1:$G$768))/_xlfn.STDEV.P(pima_data!$G$1:$G$768)</f>
        <v>1.50439268371176</v>
      </c>
      <c r="H717" s="5">
        <f>(pima_data!H717-AVERAGE(pima_data!$H$1:$H$768))/_xlfn.STDEV.P(pima_data!$H$1:$H$768)</f>
        <v>-0.190671905136486</v>
      </c>
    </row>
    <row r="718" spans="1:8">
      <c r="A718" s="5">
        <f>(pima_data!A718-AVERAGE(pima_data!$A$1:$A$768))/_xlfn.STDEV.P(pima_data!$A$1:$A$768)</f>
        <v>1.82781311104127</v>
      </c>
      <c r="B718" s="5">
        <f>(pima_data!B718-AVERAGE(pima_data!$B$1:$B$768))/_xlfn.STDEV.P(pima_data!$B$1:$B$768)</f>
        <v>-0.841722053034759</v>
      </c>
      <c r="C718" s="5">
        <f>(pima_data!C718-AVERAGE(pima_data!$C$1:$C$768))/_xlfn.STDEV.P(pima_data!$C$1:$C$768)</f>
        <v>0.149640752628208</v>
      </c>
      <c r="D718" s="5">
        <f>(pima_data!D718-AVERAGE(pima_data!$D$1:$D$768))/_xlfn.STDEV.P(pima_data!$D$1:$D$768)</f>
        <v>-0.159107113290471</v>
      </c>
      <c r="E718" s="5">
        <f>(pima_data!E718-AVERAGE(pima_data!$E$1:$E$768))/_xlfn.STDEV.P(pima_data!$E$1:$E$768)</f>
        <v>-0.692890572295466</v>
      </c>
      <c r="F718" s="5">
        <f>(pima_data!F718-AVERAGE(pima_data!$F$1:$F$768))/_xlfn.STDEV.P(pima_data!$F$1:$F$768)</f>
        <v>-1.12863930490829</v>
      </c>
      <c r="G718" s="5">
        <f>(pima_data!G718-AVERAGE(pima_data!$G$1:$G$768))/_xlfn.STDEV.P(pima_data!$G$1:$G$768)</f>
        <v>0.371848179703264</v>
      </c>
      <c r="H718" s="5">
        <f>(pima_data!H718-AVERAGE(pima_data!$H$1:$H$768))/_xlfn.STDEV.P(pima_data!$H$1:$H$768)</f>
        <v>1.93652192323106</v>
      </c>
    </row>
    <row r="719" spans="1:8">
      <c r="A719" s="5">
        <f>(pima_data!A719-AVERAGE(pima_data!$A$1:$A$768))/_xlfn.STDEV.P(pima_data!$A$1:$A$768)</f>
        <v>-0.844885053443025</v>
      </c>
      <c r="B719" s="5">
        <f>(pima_data!B719-AVERAGE(pima_data!$B$1:$B$768))/_xlfn.STDEV.P(pima_data!$B$1:$B$768)</f>
        <v>-0.403562018455736</v>
      </c>
      <c r="C719" s="5">
        <f>(pima_data!C719-AVERAGE(pima_data!$C$1:$C$768))/_xlfn.STDEV.P(pima_data!$C$1:$C$768)</f>
        <v>-0.470732246121934</v>
      </c>
      <c r="D719" s="5">
        <f>(pima_data!D719-AVERAGE(pima_data!$D$1:$D$768))/_xlfn.STDEV.P(pima_data!$D$1:$D$768)</f>
        <v>1.5972785972836</v>
      </c>
      <c r="E719" s="5">
        <f>(pima_data!E719-AVERAGE(pima_data!$E$1:$E$768))/_xlfn.STDEV.P(pima_data!$E$1:$E$768)</f>
        <v>0.852664901957698</v>
      </c>
      <c r="F719" s="5">
        <f>(pima_data!F719-AVERAGE(pima_data!$F$1:$F$768))/_xlfn.STDEV.P(pima_data!$F$1:$F$768)</f>
        <v>0.445159337525659</v>
      </c>
      <c r="G719" s="5">
        <f>(pima_data!G719-AVERAGE(pima_data!$G$1:$G$768))/_xlfn.STDEV.P(pima_data!$G$1:$G$768)</f>
        <v>-0.171773182220815</v>
      </c>
      <c r="H719" s="5">
        <f>(pima_data!H719-AVERAGE(pima_data!$H$1:$H$768))/_xlfn.STDEV.P(pima_data!$H$1:$H$768)</f>
        <v>-0.786286177079398</v>
      </c>
    </row>
    <row r="720" spans="1:8">
      <c r="A720" s="5">
        <f>(pima_data!A720-AVERAGE(pima_data!$A$1:$A$768))/_xlfn.STDEV.P(pima_data!$A$1:$A$768)</f>
        <v>0.342980797438884</v>
      </c>
      <c r="B720" s="5">
        <f>(pima_data!B720-AVERAGE(pima_data!$B$1:$B$768))/_xlfn.STDEV.P(pima_data!$B$1:$B$768)</f>
        <v>-0.74783061705354</v>
      </c>
      <c r="C720" s="5">
        <f>(pima_data!C720-AVERAGE(pima_data!$C$1:$C$768))/_xlfn.STDEV.P(pima_data!$C$1:$C$768)</f>
        <v>0.356431752211589</v>
      </c>
      <c r="D720" s="5">
        <f>(pima_data!D720-AVERAGE(pima_data!$D$1:$D$768))/_xlfn.STDEV.P(pima_data!$D$1:$D$768)</f>
        <v>0.40544543653691</v>
      </c>
      <c r="E720" s="5">
        <f>(pima_data!E720-AVERAGE(pima_data!$E$1:$E$768))/_xlfn.STDEV.P(pima_data!$E$1:$E$768)</f>
        <v>-0.692890572295466</v>
      </c>
      <c r="F720" s="5">
        <f>(pima_data!F720-AVERAGE(pima_data!$F$1:$F$768))/_xlfn.STDEV.P(pima_data!$F$1:$F$768)</f>
        <v>0.457851262061417</v>
      </c>
      <c r="G720" s="5">
        <f>(pima_data!G720-AVERAGE(pima_data!$G$1:$G$768))/_xlfn.STDEV.P(pima_data!$G$1:$G$768)</f>
        <v>-0.283517573282986</v>
      </c>
      <c r="H720" s="5">
        <f>(pima_data!H720-AVERAGE(pima_data!$H$1:$H$768))/_xlfn.STDEV.P(pima_data!$H$1:$H$768)</f>
        <v>1.59617091069225</v>
      </c>
    </row>
    <row r="721" spans="1:8">
      <c r="A721" s="5">
        <f>(pima_data!A721-AVERAGE(pima_data!$A$1:$A$768))/_xlfn.STDEV.P(pima_data!$A$1:$A$768)</f>
        <v>0.0460143347184072</v>
      </c>
      <c r="B721" s="5">
        <f>(pima_data!B721-AVERAGE(pima_data!$B$1:$B$768))/_xlfn.STDEV.P(pima_data!$B$1:$B$768)</f>
        <v>-1.18599065163256</v>
      </c>
      <c r="C721" s="5">
        <f>(pima_data!C721-AVERAGE(pima_data!$C$1:$C$768))/_xlfn.STDEV.P(pima_data!$C$1:$C$768)</f>
        <v>0.87340925117004</v>
      </c>
      <c r="D721" s="5">
        <f>(pima_data!D721-AVERAGE(pima_data!$D$1:$D$768))/_xlfn.STDEV.P(pima_data!$D$1:$D$768)</f>
        <v>-0.09637905219854</v>
      </c>
      <c r="E721" s="5">
        <f>(pima_data!E721-AVERAGE(pima_data!$E$1:$E$768))/_xlfn.STDEV.P(pima_data!$E$1:$E$768)</f>
        <v>-0.692890572295466</v>
      </c>
      <c r="F721" s="5">
        <f>(pima_data!F721-AVERAGE(pima_data!$F$1:$F$768))/_xlfn.STDEV.P(pima_data!$F$1:$F$768)</f>
        <v>-0.341739983691315</v>
      </c>
      <c r="G721" s="5">
        <f>(pima_data!G721-AVERAGE(pima_data!$G$1:$G$768))/_xlfn.STDEV.P(pima_data!$G$1:$G$768)</f>
        <v>-0.467744812601701</v>
      </c>
      <c r="H721" s="5">
        <f>(pima_data!H721-AVERAGE(pima_data!$H$1:$H$768))/_xlfn.STDEV.P(pima_data!$H$1:$H$768)</f>
        <v>0.0645913542676188</v>
      </c>
    </row>
    <row r="722" spans="1:8">
      <c r="A722" s="5">
        <f>(pima_data!A722-AVERAGE(pima_data!$A$1:$A$768))/_xlfn.STDEV.P(pima_data!$A$1:$A$768)</f>
        <v>-0.844885053443025</v>
      </c>
      <c r="B722" s="5">
        <f>(pima_data!B722-AVERAGE(pima_data!$B$1:$B$768))/_xlfn.STDEV.P(pima_data!$B$1:$B$768)</f>
        <v>-0.215779146493297</v>
      </c>
      <c r="C722" s="5">
        <f>(pima_data!C722-AVERAGE(pima_data!$C$1:$C$768))/_xlfn.STDEV.P(pima_data!$C$1:$C$768)</f>
        <v>-0.160545746746863</v>
      </c>
      <c r="D722" s="5">
        <f>(pima_data!D722-AVERAGE(pima_data!$D$1:$D$768))/_xlfn.STDEV.P(pima_data!$D$1:$D$768)</f>
        <v>0.96999798636429</v>
      </c>
      <c r="E722" s="5">
        <f>(pima_data!E722-AVERAGE(pima_data!$E$1:$E$768))/_xlfn.STDEV.P(pima_data!$E$1:$E$768)</f>
        <v>1.04368861225865</v>
      </c>
      <c r="F722" s="5">
        <f>(pima_data!F722-AVERAGE(pima_data!$F$1:$F$768))/_xlfn.STDEV.P(pima_data!$F$1:$F$768)</f>
        <v>0.775149375455358</v>
      </c>
      <c r="G722" s="5">
        <f>(pima_data!G722-AVERAGE(pima_data!$G$1:$G$768))/_xlfn.STDEV.P(pima_data!$G$1:$G$768)</f>
        <v>-0.552308135567669</v>
      </c>
      <c r="H722" s="5">
        <f>(pima_data!H722-AVERAGE(pima_data!$H$1:$H$768))/_xlfn.STDEV.P(pima_data!$H$1:$H$768)</f>
        <v>-1.0415494364835</v>
      </c>
    </row>
    <row r="723" spans="1:8">
      <c r="A723" s="5">
        <f>(pima_data!A723-AVERAGE(pima_data!$A$1:$A$768))/_xlfn.STDEV.P(pima_data!$A$1:$A$768)</f>
        <v>-0.844885053443025</v>
      </c>
      <c r="B723" s="5">
        <f>(pima_data!B723-AVERAGE(pima_data!$B$1:$B$768))/_xlfn.STDEV.P(pima_data!$B$1:$B$768)</f>
        <v>0.879620939954261</v>
      </c>
      <c r="C723" s="5">
        <f>(pima_data!C723-AVERAGE(pima_data!$C$1:$C$768))/_xlfn.STDEV.P(pima_data!$C$1:$C$768)</f>
        <v>-0.0571502469551726</v>
      </c>
      <c r="D723" s="5">
        <f>(pima_data!D723-AVERAGE(pima_data!$D$1:$D$768))/_xlfn.STDEV.P(pima_data!$D$1:$D$768)</f>
        <v>0.530901558720772</v>
      </c>
      <c r="E723" s="5">
        <f>(pima_data!E723-AVERAGE(pima_data!$E$1:$E$768))/_xlfn.STDEV.P(pima_data!$E$1:$E$768)</f>
        <v>0.409837209896398</v>
      </c>
      <c r="F723" s="5">
        <f>(pima_data!F723-AVERAGE(pima_data!$F$1:$F$768))/_xlfn.STDEV.P(pima_data!$F$1:$F$768)</f>
        <v>-0.341739983691315</v>
      </c>
      <c r="G723" s="5">
        <f>(pima_data!G723-AVERAGE(pima_data!$G$1:$G$768))/_xlfn.STDEV.P(pima_data!$G$1:$G$768)</f>
        <v>-0.37110101492631</v>
      </c>
      <c r="H723" s="5">
        <f>(pima_data!H723-AVERAGE(pima_data!$H$1:$H$768))/_xlfn.STDEV.P(pima_data!$H$1:$H$768)</f>
        <v>0.745293379345232</v>
      </c>
    </row>
    <row r="724" spans="1:8">
      <c r="A724" s="5">
        <f>(pima_data!A724-AVERAGE(pima_data!$A$1:$A$768))/_xlfn.STDEV.P(pima_data!$A$1:$A$768)</f>
        <v>0.342980797438884</v>
      </c>
      <c r="B724" s="5">
        <f>(pima_data!B724-AVERAGE(pima_data!$B$1:$B$768))/_xlfn.STDEV.P(pima_data!$B$1:$B$768)</f>
        <v>-0.121887710512078</v>
      </c>
      <c r="C724" s="5">
        <f>(pima_data!C724-AVERAGE(pima_data!$C$1:$C$768))/_xlfn.STDEV.P(pima_data!$C$1:$C$768)</f>
        <v>0.87340925117004</v>
      </c>
      <c r="D724" s="5">
        <f>(pima_data!D724-AVERAGE(pima_data!$D$1:$D$768))/_xlfn.STDEV.P(pima_data!$D$1:$D$768)</f>
        <v>0.593629619812703</v>
      </c>
      <c r="E724" s="5">
        <f>(pima_data!E724-AVERAGE(pima_data!$E$1:$E$768))/_xlfn.STDEV.P(pima_data!$E$1:$E$768)</f>
        <v>0.218813499595445</v>
      </c>
      <c r="F724" s="5">
        <f>(pima_data!F724-AVERAGE(pima_data!$F$1:$F$768))/_xlfn.STDEV.P(pima_data!$F$1:$F$768)</f>
        <v>0.902068620812935</v>
      </c>
      <c r="G724" s="5">
        <f>(pima_data!G724-AVERAGE(pima_data!$G$1:$G$768))/_xlfn.STDEV.P(pima_data!$G$1:$G$768)</f>
        <v>-0.667072645307197</v>
      </c>
      <c r="H724" s="5">
        <f>(pima_data!H724-AVERAGE(pima_data!$H$1:$H$768))/_xlfn.STDEV.P(pima_data!$H$1:$H$768)</f>
        <v>0.745293379345232</v>
      </c>
    </row>
    <row r="725" spans="1:8">
      <c r="A725" s="5">
        <f>(pima_data!A725-AVERAGE(pima_data!$A$1:$A$768))/_xlfn.STDEV.P(pima_data!$A$1:$A$768)</f>
        <v>-0.844885053443025</v>
      </c>
      <c r="B725" s="5">
        <f>(pima_data!B725-AVERAGE(pima_data!$B$1:$B$768))/_xlfn.STDEV.P(pima_data!$B$1:$B$768)</f>
        <v>-0.309670582474516</v>
      </c>
      <c r="C725" s="5">
        <f>(pima_data!C725-AVERAGE(pima_data!$C$1:$C$768))/_xlfn.STDEV.P(pima_data!$C$1:$C$768)</f>
        <v>1.2869912503368</v>
      </c>
      <c r="D725" s="5">
        <f>(pima_data!D725-AVERAGE(pima_data!$D$1:$D$768))/_xlfn.STDEV.P(pima_data!$D$1:$D$768)</f>
        <v>-1.28821221294523</v>
      </c>
      <c r="E725" s="5">
        <f>(pima_data!E725-AVERAGE(pima_data!$E$1:$E$768))/_xlfn.STDEV.P(pima_data!$E$1:$E$768)</f>
        <v>-0.692890572295466</v>
      </c>
      <c r="F725" s="5">
        <f>(pima_data!F725-AVERAGE(pima_data!$F$1:$F$768))/_xlfn.STDEV.P(pima_data!$F$1:$F$768)</f>
        <v>0.102477375060202</v>
      </c>
      <c r="G725" s="5">
        <f>(pima_data!G725-AVERAGE(pima_data!$G$1:$G$768))/_xlfn.STDEV.P(pima_data!$G$1:$G$768)</f>
        <v>-0.624790983824213</v>
      </c>
      <c r="H725" s="5">
        <f>(pima_data!H725-AVERAGE(pima_data!$H$1:$H$768))/_xlfn.STDEV.P(pima_data!$H$1:$H$768)</f>
        <v>1.00055663874934</v>
      </c>
    </row>
    <row r="726" spans="1:8">
      <c r="A726" s="5">
        <f>(pima_data!A726-AVERAGE(pima_data!$A$1:$A$768))/_xlfn.STDEV.P(pima_data!$A$1:$A$768)</f>
        <v>0.0460143347184072</v>
      </c>
      <c r="B726" s="5">
        <f>(pima_data!B726-AVERAGE(pima_data!$B$1:$B$768))/_xlfn.STDEV.P(pima_data!$B$1:$B$768)</f>
        <v>-0.278373437147443</v>
      </c>
      <c r="C726" s="5">
        <f>(pima_data!C726-AVERAGE(pima_data!$C$1:$C$768))/_xlfn.STDEV.P(pima_data!$C$1:$C$768)</f>
        <v>0.459827252003279</v>
      </c>
      <c r="D726" s="5">
        <f>(pima_data!D726-AVERAGE(pima_data!$D$1:$D$768))/_xlfn.STDEV.P(pima_data!$D$1:$D$768)</f>
        <v>1.22091023073201</v>
      </c>
      <c r="E726" s="5">
        <f>(pima_data!E726-AVERAGE(pima_data!$E$1:$E$768))/_xlfn.STDEV.P(pima_data!$E$1:$E$768)</f>
        <v>-0.692890572295466</v>
      </c>
      <c r="F726" s="5">
        <f>(pima_data!F726-AVERAGE(pima_data!$F$1:$F$768))/_xlfn.STDEV.P(pima_data!$F$1:$F$768)</f>
        <v>0.940144394420207</v>
      </c>
      <c r="G726" s="5">
        <f>(pima_data!G726-AVERAGE(pima_data!$G$1:$G$768))/_xlfn.STDEV.P(pima_data!$G$1:$G$768)</f>
        <v>-0.712374425467536</v>
      </c>
      <c r="H726" s="5">
        <f>(pima_data!H726-AVERAGE(pima_data!$H$1:$H$768))/_xlfn.STDEV.P(pima_data!$H$1:$H$768)</f>
        <v>0.404942366806425</v>
      </c>
    </row>
    <row r="727" spans="1:8">
      <c r="A727" s="5">
        <f>(pima_data!A727-AVERAGE(pima_data!$A$1:$A$768))/_xlfn.STDEV.P(pima_data!$A$1:$A$768)</f>
        <v>-0.844885053443025</v>
      </c>
      <c r="B727" s="5">
        <f>(pima_data!B727-AVERAGE(pima_data!$B$1:$B$768))/_xlfn.STDEV.P(pima_data!$B$1:$B$768)</f>
        <v>-0.153184855839151</v>
      </c>
      <c r="C727" s="5">
        <f>(pima_data!C727-AVERAGE(pima_data!$C$1:$C$768))/_xlfn.STDEV.P(pima_data!$C$1:$C$768)</f>
        <v>0.459827252003279</v>
      </c>
      <c r="D727" s="5">
        <f>(pima_data!D727-AVERAGE(pima_data!$D$1:$D$768))/_xlfn.STDEV.P(pima_data!$D$1:$D$768)</f>
        <v>0.530901558720772</v>
      </c>
      <c r="E727" s="5">
        <f>(pima_data!E727-AVERAGE(pima_data!$E$1:$E$768))/_xlfn.STDEV.P(pima_data!$E$1:$E$768)</f>
        <v>0.870030693803239</v>
      </c>
      <c r="F727" s="5">
        <f>(pima_data!F727-AVERAGE(pima_data!$F$1:$F$768))/_xlfn.STDEV.P(pima_data!$F$1:$F$768)</f>
        <v>0.521310884740205</v>
      </c>
      <c r="G727" s="5">
        <f>(pima_data!G727-AVERAGE(pima_data!$G$1:$G$768))/_xlfn.STDEV.P(pima_data!$G$1:$G$768)</f>
        <v>0.0728564306450207</v>
      </c>
      <c r="H727" s="5">
        <f>(pima_data!H727-AVERAGE(pima_data!$H$1:$H$768))/_xlfn.STDEV.P(pima_data!$H$1:$H$768)</f>
        <v>-0.701198423944696</v>
      </c>
    </row>
    <row r="728" spans="1:8">
      <c r="A728" s="5">
        <f>(pima_data!A728-AVERAGE(pima_data!$A$1:$A$768))/_xlfn.STDEV.P(pima_data!$A$1:$A$768)</f>
        <v>-1.1418515161635</v>
      </c>
      <c r="B728" s="5">
        <f>(pima_data!B728-AVERAGE(pima_data!$B$1:$B$768))/_xlfn.STDEV.P(pima_data!$B$1:$B$768)</f>
        <v>0.629243777337677</v>
      </c>
      <c r="C728" s="5">
        <f>(pima_data!C728-AVERAGE(pima_data!$C$1:$C$768))/_xlfn.STDEV.P(pima_data!$C$1:$C$768)</f>
        <v>0.77001375137835</v>
      </c>
      <c r="D728" s="5">
        <f>(pima_data!D728-AVERAGE(pima_data!$D$1:$D$768))/_xlfn.STDEV.P(pima_data!$D$1:$D$768)</f>
        <v>0.342717375444978</v>
      </c>
      <c r="E728" s="5">
        <f>(pima_data!E728-AVERAGE(pima_data!$E$1:$E$768))/_xlfn.STDEV.P(pima_data!$E$1:$E$768)</f>
        <v>-0.692890572295466</v>
      </c>
      <c r="F728" s="5">
        <f>(pima_data!F728-AVERAGE(pima_data!$F$1:$F$768))/_xlfn.STDEV.P(pima_data!$F$1:$F$768)</f>
        <v>0.0517096769171717</v>
      </c>
      <c r="G728" s="5">
        <f>(pima_data!G728-AVERAGE(pima_data!$G$1:$G$768))/_xlfn.STDEV.P(pima_data!$G$1:$G$768)</f>
        <v>-0.117411046028407</v>
      </c>
      <c r="H728" s="5">
        <f>(pima_data!H728-AVERAGE(pima_data!$H$1:$H$768))/_xlfn.STDEV.P(pima_data!$H$1:$H$768)</f>
        <v>-0.956461683348801</v>
      </c>
    </row>
    <row r="729" spans="1:8">
      <c r="A729" s="5">
        <f>(pima_data!A729-AVERAGE(pima_data!$A$1:$A$768))/_xlfn.STDEV.P(pima_data!$A$1:$A$768)</f>
        <v>-0.547918590722547</v>
      </c>
      <c r="B729" s="5">
        <f>(pima_data!B729-AVERAGE(pima_data!$B$1:$B$768))/_xlfn.STDEV.P(pima_data!$B$1:$B$768)</f>
        <v>1.69334671845816</v>
      </c>
      <c r="C729" s="5">
        <f>(pima_data!C729-AVERAGE(pima_data!$C$1:$C$768))/_xlfn.STDEV.P(pima_data!$C$1:$C$768)</f>
        <v>0.97680475096173</v>
      </c>
      <c r="D729" s="5">
        <f>(pima_data!D729-AVERAGE(pima_data!$D$1:$D$768))/_xlfn.STDEV.P(pima_data!$D$1:$D$768)</f>
        <v>-1.28821221294523</v>
      </c>
      <c r="E729" s="5">
        <f>(pima_data!E729-AVERAGE(pima_data!$E$1:$E$768))/_xlfn.STDEV.P(pima_data!$E$1:$E$768)</f>
        <v>-0.692890572295466</v>
      </c>
      <c r="F729" s="5">
        <f>(pima_data!F729-AVERAGE(pima_data!$F$1:$F$768))/_xlfn.STDEV.P(pima_data!$F$1:$F$768)</f>
        <v>-1.15402315397981</v>
      </c>
      <c r="G729" s="5">
        <f>(pima_data!G729-AVERAGE(pima_data!$G$1:$G$768))/_xlfn.STDEV.P(pima_data!$G$1:$G$768)</f>
        <v>-0.440563744505497</v>
      </c>
      <c r="H729" s="5">
        <f>(pima_data!H729-AVERAGE(pima_data!$H$1:$H$768))/_xlfn.STDEV.P(pima_data!$H$1:$H$768)</f>
        <v>-0.956461683348801</v>
      </c>
    </row>
    <row r="730" spans="1:8">
      <c r="A730" s="5">
        <f>(pima_data!A730-AVERAGE(pima_data!$A$1:$A$768))/_xlfn.STDEV.P(pima_data!$A$1:$A$768)</f>
        <v>-0.547918590722547</v>
      </c>
      <c r="B730" s="5">
        <f>(pima_data!B730-AVERAGE(pima_data!$B$1:$B$768))/_xlfn.STDEV.P(pima_data!$B$1:$B$768)</f>
        <v>-0.904316343688905</v>
      </c>
      <c r="C730" s="5">
        <f>(pima_data!C730-AVERAGE(pima_data!$C$1:$C$768))/_xlfn.STDEV.P(pima_data!$C$1:$C$768)</f>
        <v>-0.884314245288695</v>
      </c>
      <c r="D730" s="5">
        <f>(pima_data!D730-AVERAGE(pima_data!$D$1:$D$768))/_xlfn.STDEV.P(pima_data!$D$1:$D$768)</f>
        <v>-1.28821221294523</v>
      </c>
      <c r="E730" s="5">
        <f>(pima_data!E730-AVERAGE(pima_data!$E$1:$E$768))/_xlfn.STDEV.P(pima_data!$E$1:$E$768)</f>
        <v>-0.692890572295466</v>
      </c>
      <c r="F730" s="5">
        <f>(pima_data!F730-AVERAGE(pima_data!$F$1:$F$768))/_xlfn.STDEV.P(pima_data!$F$1:$F$768)</f>
        <v>-0.240204587405254</v>
      </c>
      <c r="G730" s="5">
        <f>(pima_data!G730-AVERAGE(pima_data!$G$1:$G$768))/_xlfn.STDEV.P(pima_data!$G$1:$G$768)</f>
        <v>-0.999285699816356</v>
      </c>
      <c r="H730" s="5">
        <f>(pima_data!H730-AVERAGE(pima_data!$H$1:$H$768))/_xlfn.STDEV.P(pima_data!$H$1:$H$768)</f>
        <v>-0.956461683348801</v>
      </c>
    </row>
    <row r="731" spans="1:8">
      <c r="A731" s="5">
        <f>(pima_data!A731-AVERAGE(pima_data!$A$1:$A$768))/_xlfn.STDEV.P(pima_data!$A$1:$A$768)</f>
        <v>-0.25095212800207</v>
      </c>
      <c r="B731" s="5">
        <f>(pima_data!B731-AVERAGE(pima_data!$B$1:$B$768))/_xlfn.STDEV.P(pima_data!$B$1:$B$768)</f>
        <v>0.284975178739873</v>
      </c>
      <c r="C731" s="5">
        <f>(pima_data!C731-AVERAGE(pima_data!$C$1:$C$768))/_xlfn.STDEV.P(pima_data!$C$1:$C$768)</f>
        <v>0.459827252003279</v>
      </c>
      <c r="D731" s="5">
        <f>(pima_data!D731-AVERAGE(pima_data!$D$1:$D$768))/_xlfn.STDEV.P(pima_data!$D$1:$D$768)</f>
        <v>0.154533192169185</v>
      </c>
      <c r="E731" s="5">
        <f>(pima_data!E731-AVERAGE(pima_data!$E$1:$E$768))/_xlfn.STDEV.P(pima_data!$E$1:$E$768)</f>
        <v>-0.00694179439659007</v>
      </c>
      <c r="F731" s="5">
        <f>(pima_data!F731-AVERAGE(pima_data!$F$1:$F$768))/_xlfn.STDEV.P(pima_data!$F$1:$F$768)</f>
        <v>-0.455967304513134</v>
      </c>
      <c r="G731" s="5">
        <f>(pima_data!G731-AVERAGE(pima_data!$G$1:$G$768))/_xlfn.STDEV.P(pima_data!$G$1:$G$768)</f>
        <v>-0.449624100537565</v>
      </c>
      <c r="H731" s="5">
        <f>(pima_data!H731-AVERAGE(pima_data!$H$1:$H$768))/_xlfn.STDEV.P(pima_data!$H$1:$H$768)</f>
        <v>0.0645913542676188</v>
      </c>
    </row>
    <row r="732" spans="1:8">
      <c r="A732" s="5">
        <f>(pima_data!A732-AVERAGE(pima_data!$A$1:$A$768))/_xlfn.STDEV.P(pima_data!$A$1:$A$768)</f>
        <v>1.23388018560032</v>
      </c>
      <c r="B732" s="5">
        <f>(pima_data!B732-AVERAGE(pima_data!$B$1:$B$768))/_xlfn.STDEV.P(pima_data!$B$1:$B$768)</f>
        <v>-0.0279962745308584</v>
      </c>
      <c r="C732" s="5">
        <f>(pima_data!C732-AVERAGE(pima_data!$C$1:$C$768))/_xlfn.STDEV.P(pima_data!$C$1:$C$768)</f>
        <v>0.87340925117004</v>
      </c>
      <c r="D732" s="5">
        <f>(pima_data!D732-AVERAGE(pima_data!$D$1:$D$768))/_xlfn.STDEV.P(pima_data!$D$1:$D$768)</f>
        <v>-1.28821221294523</v>
      </c>
      <c r="E732" s="5">
        <f>(pima_data!E732-AVERAGE(pima_data!$E$1:$E$768))/_xlfn.STDEV.P(pima_data!$E$1:$E$768)</f>
        <v>-0.692890572295466</v>
      </c>
      <c r="F732" s="5">
        <f>(pima_data!F732-AVERAGE(pima_data!$F$1:$F$768))/_xlfn.STDEV.P(pima_data!$F$1:$F$768)</f>
        <v>-0.455967304513134</v>
      </c>
      <c r="G732" s="5">
        <f>(pima_data!G732-AVERAGE(pima_data!$G$1:$G$768))/_xlfn.STDEV.P(pima_data!$G$1:$G$768)</f>
        <v>-0.642911695888349</v>
      </c>
      <c r="H732" s="5">
        <f>(pima_data!H732-AVERAGE(pima_data!$H$1:$H$768))/_xlfn.STDEV.P(pima_data!$H$1:$H$768)</f>
        <v>-0.956461683348801</v>
      </c>
    </row>
    <row r="733" spans="1:8">
      <c r="A733" s="5">
        <f>(pima_data!A733-AVERAGE(pima_data!$A$1:$A$768))/_xlfn.STDEV.P(pima_data!$A$1:$A$768)</f>
        <v>-0.547918590722547</v>
      </c>
      <c r="B733" s="5">
        <f>(pima_data!B733-AVERAGE(pima_data!$B$1:$B$768))/_xlfn.STDEV.P(pima_data!$B$1:$B$768)</f>
        <v>1.66204957313109</v>
      </c>
      <c r="C733" s="5">
        <f>(pima_data!C733-AVERAGE(pima_data!$C$1:$C$768))/_xlfn.STDEV.P(pima_data!$C$1:$C$768)</f>
        <v>0.97680475096173</v>
      </c>
      <c r="D733" s="5">
        <f>(pima_data!D733-AVERAGE(pima_data!$D$1:$D$768))/_xlfn.STDEV.P(pima_data!$D$1:$D$768)</f>
        <v>1.03272604745622</v>
      </c>
      <c r="E733" s="5">
        <f>(pima_data!E733-AVERAGE(pima_data!$E$1:$E$768))/_xlfn.STDEV.P(pima_data!$E$1:$E$768)</f>
        <v>0.349056938437004</v>
      </c>
      <c r="F733" s="5">
        <f>(pima_data!F733-AVERAGE(pima_data!$F$1:$F$768))/_xlfn.STDEV.P(pima_data!$F$1:$F$768)</f>
        <v>1.58743254574385</v>
      </c>
      <c r="G733" s="5">
        <f>(pima_data!G733-AVERAGE(pima_data!$G$1:$G$768))/_xlfn.STDEV.P(pima_data!$G$1:$G$768)</f>
        <v>0.525874232248419</v>
      </c>
      <c r="H733" s="5">
        <f>(pima_data!H733-AVERAGE(pima_data!$H$1:$H$768))/_xlfn.STDEV.P(pima_data!$H$1:$H$768)</f>
        <v>-0.786286177079398</v>
      </c>
    </row>
    <row r="734" spans="1:8">
      <c r="A734" s="5">
        <f>(pima_data!A734-AVERAGE(pima_data!$A$1:$A$768))/_xlfn.STDEV.P(pima_data!$A$1:$A$768)</f>
        <v>-0.547918590722547</v>
      </c>
      <c r="B734" s="5">
        <f>(pima_data!B734-AVERAGE(pima_data!$B$1:$B$768))/_xlfn.STDEV.P(pima_data!$B$1:$B$768)</f>
        <v>-0.466156309109882</v>
      </c>
      <c r="C734" s="5">
        <f>(pima_data!C734-AVERAGE(pima_data!$C$1:$C$768))/_xlfn.STDEV.P(pima_data!$C$1:$C$768)</f>
        <v>-0.677523245705314</v>
      </c>
      <c r="D734" s="5">
        <f>(pima_data!D734-AVERAGE(pima_data!$D$1:$D$768))/_xlfn.STDEV.P(pima_data!$D$1:$D$768)</f>
        <v>0.40544543653691</v>
      </c>
      <c r="E734" s="5">
        <f>(pima_data!E734-AVERAGE(pima_data!$E$1:$E$768))/_xlfn.STDEV.P(pima_data!$E$1:$E$768)</f>
        <v>0.73978725496168</v>
      </c>
      <c r="F734" s="5">
        <f>(pima_data!F734-AVERAGE(pima_data!$F$1:$F$768))/_xlfn.STDEV.P(pima_data!$F$1:$F$768)</f>
        <v>-0.379815757298588</v>
      </c>
      <c r="G734" s="5">
        <f>(pima_data!G734-AVERAGE(pima_data!$G$1:$G$768))/_xlfn.STDEV.P(pima_data!$G$1:$G$768)</f>
        <v>-0.138551876769899</v>
      </c>
      <c r="H734" s="5">
        <f>(pima_data!H734-AVERAGE(pima_data!$H$1:$H$768))/_xlfn.STDEV.P(pima_data!$H$1:$H$768)</f>
        <v>-0.956461683348801</v>
      </c>
    </row>
    <row r="735" spans="1:8">
      <c r="A735" s="5">
        <f>(pima_data!A735-AVERAGE(pima_data!$A$1:$A$768))/_xlfn.STDEV.P(pima_data!$A$1:$A$768)</f>
        <v>-0.547918590722547</v>
      </c>
      <c r="B735" s="5">
        <f>(pima_data!B735-AVERAGE(pima_data!$B$1:$B$768))/_xlfn.STDEV.P(pima_data!$B$1:$B$768)</f>
        <v>-0.497453454436955</v>
      </c>
      <c r="C735" s="5">
        <f>(pima_data!C735-AVERAGE(pima_data!$C$1:$C$768))/_xlfn.STDEV.P(pima_data!$C$1:$C$768)</f>
        <v>0.304734002315743</v>
      </c>
      <c r="D735" s="5">
        <f>(pima_data!D735-AVERAGE(pima_data!$D$1:$D$768))/_xlfn.STDEV.P(pima_data!$D$1:$D$768)</f>
        <v>-1.28821221294523</v>
      </c>
      <c r="E735" s="5">
        <f>(pima_data!E735-AVERAGE(pima_data!$E$1:$E$768))/_xlfn.STDEV.P(pima_data!$E$1:$E$768)</f>
        <v>-0.692890572295466</v>
      </c>
      <c r="F735" s="5">
        <f>(pima_data!F735-AVERAGE(pima_data!$F$1:$F$768))/_xlfn.STDEV.P(pima_data!$F$1:$F$768)</f>
        <v>-1.10325545583677</v>
      </c>
      <c r="G735" s="5">
        <f>(pima_data!G735-AVERAGE(pima_data!$G$1:$G$768))/_xlfn.STDEV.P(pima_data!$G$1:$G$768)</f>
        <v>0.266144025995804</v>
      </c>
      <c r="H735" s="5">
        <f>(pima_data!H735-AVERAGE(pima_data!$H$1:$H$768))/_xlfn.STDEV.P(pima_data!$H$1:$H$768)</f>
        <v>1.68125866382695</v>
      </c>
    </row>
    <row r="736" spans="1:8">
      <c r="A736" s="5">
        <f>(pima_data!A736-AVERAGE(pima_data!$A$1:$A$768))/_xlfn.STDEV.P(pima_data!$A$1:$A$768)</f>
        <v>0.0460143347184072</v>
      </c>
      <c r="B736" s="5">
        <f>(pima_data!B736-AVERAGE(pima_data!$B$1:$B$768))/_xlfn.STDEV.P(pima_data!$B$1:$B$768)</f>
        <v>-0.810424907707686</v>
      </c>
      <c r="C736" s="5">
        <f>(pima_data!C736-AVERAGE(pima_data!$C$1:$C$768))/_xlfn.STDEV.P(pima_data!$C$1:$C$768)</f>
        <v>-0.470732246121934</v>
      </c>
      <c r="D736" s="5">
        <f>(pima_data!D736-AVERAGE(pima_data!$D$1:$D$768))/_xlfn.STDEV.P(pima_data!$D$1:$D$768)</f>
        <v>0.719085741996565</v>
      </c>
      <c r="E736" s="5">
        <f>(pima_data!E736-AVERAGE(pima_data!$E$1:$E$768))/_xlfn.STDEV.P(pima_data!$E$1:$E$768)</f>
        <v>-0.692890572295466</v>
      </c>
      <c r="F736" s="5">
        <f>(pima_data!F736-AVERAGE(pima_data!$F$1:$F$768))/_xlfn.STDEV.P(pima_data!$F$1:$F$768)</f>
        <v>0.432467412989901</v>
      </c>
      <c r="G736" s="5">
        <f>(pima_data!G736-AVERAGE(pima_data!$G$1:$G$768))/_xlfn.STDEV.P(pima_data!$G$1:$G$768)</f>
        <v>-0.567408728954449</v>
      </c>
      <c r="H736" s="5">
        <f>(pima_data!H736-AVERAGE(pima_data!$H$1:$H$768))/_xlfn.STDEV.P(pima_data!$H$1:$H$768)</f>
        <v>-0.445935164540591</v>
      </c>
    </row>
    <row r="737" spans="1:8">
      <c r="A737" s="5">
        <f>(pima_data!A737-AVERAGE(pima_data!$A$1:$A$768))/_xlfn.STDEV.P(pima_data!$A$1:$A$768)</f>
        <v>-1.1418515161635</v>
      </c>
      <c r="B737" s="5">
        <f>(pima_data!B737-AVERAGE(pima_data!$B$1:$B$768))/_xlfn.STDEV.P(pima_data!$B$1:$B$768)</f>
        <v>0.15978659743158</v>
      </c>
      <c r="C737" s="5">
        <f>(pima_data!C737-AVERAGE(pima_data!$C$1:$C$768))/_xlfn.STDEV.P(pima_data!$C$1:$C$768)</f>
        <v>0.87340925117004</v>
      </c>
      <c r="D737" s="5">
        <f>(pima_data!D737-AVERAGE(pima_data!$D$1:$D$768))/_xlfn.STDEV.P(pima_data!$D$1:$D$768)</f>
        <v>0.40544543653691</v>
      </c>
      <c r="E737" s="5">
        <f>(pima_data!E737-AVERAGE(pima_data!$E$1:$E$768))/_xlfn.STDEV.P(pima_data!$E$1:$E$768)</f>
        <v>0.349056938437004</v>
      </c>
      <c r="F737" s="5">
        <f>(pima_data!F737-AVERAGE(pima_data!$F$1:$F$768))/_xlfn.STDEV.P(pima_data!$F$1:$F$768)</f>
        <v>-0.582886549870711</v>
      </c>
      <c r="G737" s="5">
        <f>(pima_data!G737-AVERAGE(pima_data!$G$1:$G$768))/_xlfn.STDEV.P(pima_data!$G$1:$G$768)</f>
        <v>0.130238685514785</v>
      </c>
      <c r="H737" s="5">
        <f>(pima_data!H737-AVERAGE(pima_data!$H$1:$H$768))/_xlfn.STDEV.P(pima_data!$H$1:$H$768)</f>
        <v>-1.0415494364835</v>
      </c>
    </row>
    <row r="738" spans="1:8">
      <c r="A738" s="5">
        <f>(pima_data!A738-AVERAGE(pima_data!$A$1:$A$768))/_xlfn.STDEV.P(pima_data!$A$1:$A$768)</f>
        <v>1.23388018560032</v>
      </c>
      <c r="B738" s="5">
        <f>(pima_data!B738-AVERAGE(pima_data!$B$1:$B$768))/_xlfn.STDEV.P(pima_data!$B$1:$B$768)</f>
        <v>-1.74933926751988</v>
      </c>
      <c r="C738" s="5">
        <f>(pima_data!C738-AVERAGE(pima_data!$C$1:$C$768))/_xlfn.STDEV.P(pima_data!$C$1:$C$768)</f>
        <v>0.149640752628208</v>
      </c>
      <c r="D738" s="5">
        <f>(pima_data!D738-AVERAGE(pima_data!$D$1:$D$768))/_xlfn.STDEV.P(pima_data!$D$1:$D$768)</f>
        <v>0.154533192169185</v>
      </c>
      <c r="E738" s="5">
        <f>(pima_data!E738-AVERAGE(pima_data!$E$1:$E$768))/_xlfn.STDEV.P(pima_data!$E$1:$E$768)</f>
        <v>-0.692890572295466</v>
      </c>
      <c r="F738" s="5">
        <f>(pima_data!F738-AVERAGE(pima_data!$F$1:$F$768))/_xlfn.STDEV.P(pima_data!$F$1:$F$768)</f>
        <v>0.000941978774141239</v>
      </c>
      <c r="G738" s="5">
        <f>(pima_data!G738-AVERAGE(pima_data!$G$1:$G$768))/_xlfn.STDEV.P(pima_data!$G$1:$G$768)</f>
        <v>0.386948773090043</v>
      </c>
      <c r="H738" s="5">
        <f>(pima_data!H738-AVERAGE(pima_data!$H$1:$H$768))/_xlfn.STDEV.P(pima_data!$H$1:$H$768)</f>
        <v>0.745293379345232</v>
      </c>
    </row>
    <row r="739" spans="1:8">
      <c r="A739" s="5">
        <f>(pima_data!A739-AVERAGE(pima_data!$A$1:$A$768))/_xlfn.STDEV.P(pima_data!$A$1:$A$768)</f>
        <v>-0.547918590722547</v>
      </c>
      <c r="B739" s="5">
        <f>(pima_data!B739-AVERAGE(pima_data!$B$1:$B$768))/_xlfn.STDEV.P(pima_data!$B$1:$B$768)</f>
        <v>-0.685236326399393</v>
      </c>
      <c r="C739" s="5">
        <f>(pima_data!C739-AVERAGE(pima_data!$C$1:$C$768))/_xlfn.STDEV.P(pima_data!$C$1:$C$768)</f>
        <v>-0.470732246121934</v>
      </c>
      <c r="D739" s="5">
        <f>(pima_data!D739-AVERAGE(pima_data!$D$1:$D$768))/_xlfn.STDEV.P(pima_data!$D$1:$D$768)</f>
        <v>-0.221835174382402</v>
      </c>
      <c r="E739" s="5">
        <f>(pima_data!E739-AVERAGE(pima_data!$E$1:$E$768))/_xlfn.STDEV.P(pima_data!$E$1:$E$768)</f>
        <v>0.696372775347827</v>
      </c>
      <c r="F739" s="5">
        <f>(pima_data!F739-AVERAGE(pima_data!$F$1:$F$768))/_xlfn.STDEV.P(pima_data!$F$1:$F$768)</f>
        <v>0.584770507418994</v>
      </c>
      <c r="G739" s="5">
        <f>(pima_data!G739-AVERAGE(pima_data!$G$1:$G$768))/_xlfn.STDEV.P(pima_data!$G$1:$G$768)</f>
        <v>-0.0570086724812868</v>
      </c>
      <c r="H739" s="5">
        <f>(pima_data!H739-AVERAGE(pima_data!$H$1:$H$768))/_xlfn.STDEV.P(pima_data!$H$1:$H$768)</f>
        <v>-1.0415494364835</v>
      </c>
    </row>
    <row r="740" spans="1:8">
      <c r="A740" s="5">
        <f>(pima_data!A740-AVERAGE(pima_data!$A$1:$A$768))/_xlfn.STDEV.P(pima_data!$A$1:$A$768)</f>
        <v>-0.844885053443025</v>
      </c>
      <c r="B740" s="5">
        <f>(pima_data!B740-AVERAGE(pima_data!$B$1:$B$768))/_xlfn.STDEV.P(pima_data!$B$1:$B$768)</f>
        <v>-0.591344890418174</v>
      </c>
      <c r="C740" s="5">
        <f>(pima_data!C740-AVERAGE(pima_data!$C$1:$C$768))/_xlfn.STDEV.P(pima_data!$C$1:$C$768)</f>
        <v>0.253036252419898</v>
      </c>
      <c r="D740" s="5">
        <f>(pima_data!D740-AVERAGE(pima_data!$D$1:$D$768))/_xlfn.STDEV.P(pima_data!$D$1:$D$768)</f>
        <v>-1.28821221294523</v>
      </c>
      <c r="E740" s="5">
        <f>(pima_data!E740-AVERAGE(pima_data!$E$1:$E$768))/_xlfn.STDEV.P(pima_data!$E$1:$E$768)</f>
        <v>-0.692890572295466</v>
      </c>
      <c r="F740" s="5">
        <f>(pima_data!F740-AVERAGE(pima_data!$F$1:$F$768))/_xlfn.STDEV.P(pima_data!$F$1:$F$768)</f>
        <v>0.952836318955965</v>
      </c>
      <c r="G740" s="5">
        <f>(pima_data!G740-AVERAGE(pima_data!$G$1:$G$768))/_xlfn.STDEV.P(pima_data!$G$1:$G$768)</f>
        <v>-0.540227660858245</v>
      </c>
      <c r="H740" s="5">
        <f>(pima_data!H740-AVERAGE(pima_data!$H$1:$H$768))/_xlfn.STDEV.P(pima_data!$H$1:$H$768)</f>
        <v>0.745293379345232</v>
      </c>
    </row>
    <row r="741" spans="1:8">
      <c r="A741" s="5">
        <f>(pima_data!A741-AVERAGE(pima_data!$A$1:$A$768))/_xlfn.STDEV.P(pima_data!$A$1:$A$768)</f>
        <v>2.12477957376175</v>
      </c>
      <c r="B741" s="5">
        <f>(pima_data!B741-AVERAGE(pima_data!$B$1:$B$768))/_xlfn.STDEV.P(pima_data!$B$1:$B$768)</f>
        <v>-0.0279962745308584</v>
      </c>
      <c r="C741" s="5">
        <f>(pima_data!C741-AVERAGE(pima_data!$C$1:$C$768))/_xlfn.STDEV.P(pima_data!$C$1:$C$768)</f>
        <v>0.563222751794969</v>
      </c>
      <c r="D741" s="5">
        <f>(pima_data!D741-AVERAGE(pima_data!$D$1:$D$768))/_xlfn.STDEV.P(pima_data!$D$1:$D$768)</f>
        <v>1.03272604745622</v>
      </c>
      <c r="E741" s="5">
        <f>(pima_data!E741-AVERAGE(pima_data!$E$1:$E$768))/_xlfn.STDEV.P(pima_data!$E$1:$E$768)</f>
        <v>0.609543816120122</v>
      </c>
      <c r="F741" s="5">
        <f>(pima_data!F741-AVERAGE(pima_data!$F$1:$F$768))/_xlfn.STDEV.P(pima_data!$F$1:$F$768)</f>
        <v>1.30821020595718</v>
      </c>
      <c r="G741" s="5">
        <f>(pima_data!G741-AVERAGE(pima_data!$G$1:$G$768))/_xlfn.STDEV.P(pima_data!$G$1:$G$768)</f>
        <v>0.945670728400902</v>
      </c>
      <c r="H741" s="5">
        <f>(pima_data!H741-AVERAGE(pima_data!$H$1:$H$768))/_xlfn.STDEV.P(pima_data!$H$1:$H$768)</f>
        <v>1.25581989815344</v>
      </c>
    </row>
    <row r="742" spans="1:8">
      <c r="A742" s="5">
        <f>(pima_data!A742-AVERAGE(pima_data!$A$1:$A$768))/_xlfn.STDEV.P(pima_data!$A$1:$A$768)</f>
        <v>-0.25095212800207</v>
      </c>
      <c r="B742" s="5">
        <f>(pima_data!B742-AVERAGE(pima_data!$B$1:$B$768))/_xlfn.STDEV.P(pima_data!$B$1:$B$768)</f>
        <v>-0.591344890418174</v>
      </c>
      <c r="C742" s="5">
        <f>(pima_data!C742-AVERAGE(pima_data!$C$1:$C$768))/_xlfn.STDEV.P(pima_data!$C$1:$C$768)</f>
        <v>-1.29789624445546</v>
      </c>
      <c r="D742" s="5">
        <f>(pima_data!D742-AVERAGE(pima_data!$D$1:$D$768))/_xlfn.STDEV.P(pima_data!$D$1:$D$768)</f>
        <v>-0.0336509911066088</v>
      </c>
      <c r="E742" s="5">
        <f>(pima_data!E742-AVERAGE(pima_data!$E$1:$E$768))/_xlfn.STDEV.P(pima_data!$E$1:$E$768)</f>
        <v>0.123301644444969</v>
      </c>
      <c r="F742" s="5">
        <f>(pima_data!F742-AVERAGE(pima_data!$F$1:$F$768))/_xlfn.STDEV.P(pima_data!$F$1:$F$768)</f>
        <v>-0.151361115654951</v>
      </c>
      <c r="G742" s="5">
        <f>(pima_data!G742-AVERAGE(pima_data!$G$1:$G$768))/_xlfn.STDEV.P(pima_data!$G$1:$G$768)</f>
        <v>-0.217074962381154</v>
      </c>
      <c r="H742" s="5">
        <f>(pima_data!H742-AVERAGE(pima_data!$H$1:$H$768))/_xlfn.STDEV.P(pima_data!$H$1:$H$768)</f>
        <v>-0.616110670809994</v>
      </c>
    </row>
    <row r="743" spans="1:8">
      <c r="A743" s="5">
        <f>(pima_data!A743-AVERAGE(pima_data!$A$1:$A$768))/_xlfn.STDEV.P(pima_data!$A$1:$A$768)</f>
        <v>-0.844885053443025</v>
      </c>
      <c r="B743" s="5">
        <f>(pima_data!B743-AVERAGE(pima_data!$B$1:$B$768))/_xlfn.STDEV.P(pima_data!$B$1:$B$768)</f>
        <v>-0.372264873128662</v>
      </c>
      <c r="C743" s="5">
        <f>(pima_data!C743-AVERAGE(pima_data!$C$1:$C$768))/_xlfn.STDEV.P(pima_data!$C$1:$C$768)</f>
        <v>-0.574127745913624</v>
      </c>
      <c r="D743" s="5">
        <f>(pima_data!D743-AVERAGE(pima_data!$D$1:$D$768))/_xlfn.STDEV.P(pima_data!$D$1:$D$768)</f>
        <v>-0.159107113290471</v>
      </c>
      <c r="E743" s="5">
        <f>(pima_data!E743-AVERAGE(pima_data!$E$1:$E$768))/_xlfn.STDEV.P(pima_data!$E$1:$E$768)</f>
        <v>0.314325354745922</v>
      </c>
      <c r="F743" s="5">
        <f>(pima_data!F743-AVERAGE(pima_data!$F$1:$F$768))/_xlfn.STDEV.P(pima_data!$F$1:$F$768)</f>
        <v>-0.443275379977377</v>
      </c>
      <c r="G743" s="5">
        <f>(pima_data!G743-AVERAGE(pima_data!$G$1:$G$768))/_xlfn.STDEV.P(pima_data!$G$1:$G$768)</f>
        <v>-0.763716442982588</v>
      </c>
      <c r="H743" s="5">
        <f>(pima_data!H743-AVERAGE(pima_data!$H$1:$H$768))/_xlfn.STDEV.P(pima_data!$H$1:$H$768)</f>
        <v>-0.956461683348801</v>
      </c>
    </row>
    <row r="744" spans="1:8">
      <c r="A744" s="5">
        <f>(pima_data!A744-AVERAGE(pima_data!$A$1:$A$768))/_xlfn.STDEV.P(pima_data!$A$1:$A$768)</f>
        <v>1.53084664832079</v>
      </c>
      <c r="B744" s="5">
        <f>(pima_data!B744-AVERAGE(pima_data!$B$1:$B$768))/_xlfn.STDEV.P(pima_data!$B$1:$B$768)</f>
        <v>0.597946632010604</v>
      </c>
      <c r="C744" s="5">
        <f>(pima_data!C744-AVERAGE(pima_data!$C$1:$C$768))/_xlfn.STDEV.P(pima_data!$C$1:$C$768)</f>
        <v>1.2869912503368</v>
      </c>
      <c r="D744" s="5">
        <f>(pima_data!D744-AVERAGE(pima_data!$D$1:$D$768))/_xlfn.STDEV.P(pima_data!$D$1:$D$768)</f>
        <v>-1.28821221294523</v>
      </c>
      <c r="E744" s="5">
        <f>(pima_data!E744-AVERAGE(pima_data!$E$1:$E$768))/_xlfn.STDEV.P(pima_data!$E$1:$E$768)</f>
        <v>-0.692890572295466</v>
      </c>
      <c r="F744" s="5">
        <f>(pima_data!F744-AVERAGE(pima_data!$F$1:$F$768))/_xlfn.STDEV.P(pima_data!$F$1:$F$768)</f>
        <v>0.0897854505244452</v>
      </c>
      <c r="G744" s="5">
        <f>(pima_data!G744-AVERAGE(pima_data!$G$1:$G$768))/_xlfn.STDEV.P(pima_data!$G$1:$G$768)</f>
        <v>0.791644675855746</v>
      </c>
      <c r="H744" s="5">
        <f>(pima_data!H744-AVERAGE(pima_data!$H$1:$H$768))/_xlfn.STDEV.P(pima_data!$H$1:$H$768)</f>
        <v>1.00055663874934</v>
      </c>
    </row>
    <row r="745" spans="1:8">
      <c r="A745" s="5">
        <f>(pima_data!A745-AVERAGE(pima_data!$A$1:$A$768))/_xlfn.STDEV.P(pima_data!$A$1:$A$768)</f>
        <v>2.7187124992027</v>
      </c>
      <c r="B745" s="5">
        <f>(pima_data!B745-AVERAGE(pima_data!$B$1:$B$768))/_xlfn.STDEV.P(pima_data!$B$1:$B$768)</f>
        <v>1.00480952126255</v>
      </c>
      <c r="C745" s="5">
        <f>(pima_data!C745-AVERAGE(pima_data!$C$1:$C$768))/_xlfn.STDEV.P(pima_data!$C$1:$C$768)</f>
        <v>0.97680475096173</v>
      </c>
      <c r="D745" s="5">
        <f>(pima_data!D745-AVERAGE(pima_data!$D$1:$D$768))/_xlfn.STDEV.P(pima_data!$D$1:$D$768)</f>
        <v>1.03272604745622</v>
      </c>
      <c r="E745" s="5">
        <f>(pima_data!E745-AVERAGE(pima_data!$E$1:$E$768))/_xlfn.STDEV.P(pima_data!$E$1:$E$768)</f>
        <v>0.522714856892416</v>
      </c>
      <c r="F745" s="5">
        <f>(pima_data!F745-AVERAGE(pima_data!$F$1:$F$768))/_xlfn.STDEV.P(pima_data!$F$1:$F$768)</f>
        <v>1.0924474888493</v>
      </c>
      <c r="G745" s="5">
        <f>(pima_data!G745-AVERAGE(pima_data!$G$1:$G$768))/_xlfn.STDEV.P(pima_data!$G$1:$G$768)</f>
        <v>2.12049689389238</v>
      </c>
      <c r="H745" s="5">
        <f>(pima_data!H745-AVERAGE(pima_data!$H$1:$H$768))/_xlfn.STDEV.P(pima_data!$H$1:$H$768)</f>
        <v>0.490030119941127</v>
      </c>
    </row>
    <row r="746" spans="1:8">
      <c r="A746" s="5">
        <f>(pima_data!A746-AVERAGE(pima_data!$A$1:$A$768))/_xlfn.STDEV.P(pima_data!$A$1:$A$768)</f>
        <v>2.42174603648223</v>
      </c>
      <c r="B746" s="5">
        <f>(pima_data!B746-AVERAGE(pima_data!$B$1:$B$768))/_xlfn.STDEV.P(pima_data!$B$1:$B$768)</f>
        <v>-0.65393918107232</v>
      </c>
      <c r="C746" s="5">
        <f>(pima_data!C746-AVERAGE(pima_data!$C$1:$C$768))/_xlfn.STDEV.P(pima_data!$C$1:$C$768)</f>
        <v>0.77001375137835</v>
      </c>
      <c r="D746" s="5">
        <f>(pima_data!D746-AVERAGE(pima_data!$D$1:$D$768))/_xlfn.STDEV.P(pima_data!$D$1:$D$768)</f>
        <v>0.781813803088497</v>
      </c>
      <c r="E746" s="5">
        <f>(pima_data!E746-AVERAGE(pima_data!$E$1:$E$768))/_xlfn.STDEV.P(pima_data!$E$1:$E$768)</f>
        <v>0.218813499595445</v>
      </c>
      <c r="F746" s="5">
        <f>(pima_data!F746-AVERAGE(pima_data!$F$1:$F$768))/_xlfn.STDEV.P(pima_data!$F$1:$F$768)</f>
        <v>-0.252896511941012</v>
      </c>
      <c r="G746" s="5">
        <f>(pima_data!G746-AVERAGE(pima_data!$G$1:$G$768))/_xlfn.STDEV.P(pima_data!$G$1:$G$768)</f>
        <v>0.0486954812261727</v>
      </c>
      <c r="H746" s="5">
        <f>(pima_data!H746-AVERAGE(pima_data!$H$1:$H$768))/_xlfn.STDEV.P(pima_data!$H$1:$H$768)</f>
        <v>1.08564439188404</v>
      </c>
    </row>
    <row r="747" spans="1:8">
      <c r="A747" s="5">
        <f>(pima_data!A747-AVERAGE(pima_data!$A$1:$A$768))/_xlfn.STDEV.P(pima_data!$A$1:$A$768)</f>
        <v>-0.844885053443025</v>
      </c>
      <c r="B747" s="5">
        <f>(pima_data!B747-AVERAGE(pima_data!$B$1:$B$768))/_xlfn.STDEV.P(pima_data!$B$1:$B$768)</f>
        <v>0.817026649300115</v>
      </c>
      <c r="C747" s="5">
        <f>(pima_data!C747-AVERAGE(pima_data!$C$1:$C$768))/_xlfn.STDEV.P(pima_data!$C$1:$C$768)</f>
        <v>1.2869912503368</v>
      </c>
      <c r="D747" s="5">
        <f>(pima_data!D747-AVERAGE(pima_data!$D$1:$D$768))/_xlfn.STDEV.P(pima_data!$D$1:$D$768)</f>
        <v>1.28363829182395</v>
      </c>
      <c r="E747" s="5">
        <f>(pima_data!E747-AVERAGE(pima_data!$E$1:$E$768))/_xlfn.STDEV.P(pima_data!$E$1:$E$768)</f>
        <v>-0.692890572295466</v>
      </c>
      <c r="F747" s="5">
        <f>(pima_data!F747-AVERAGE(pima_data!$F$1:$F$768))/_xlfn.STDEV.P(pima_data!$F$1:$F$768)</f>
        <v>2.19664492346021</v>
      </c>
      <c r="G747" s="5">
        <f>(pima_data!G747-AVERAGE(pima_data!$G$1:$G$768))/_xlfn.STDEV.P(pima_data!$G$1:$G$768)</f>
        <v>-0.343919946830106</v>
      </c>
      <c r="H747" s="5">
        <f>(pima_data!H747-AVERAGE(pima_data!$H$1:$H$768))/_xlfn.STDEV.P(pima_data!$H$1:$H$768)</f>
        <v>-0.531022917675293</v>
      </c>
    </row>
    <row r="748" spans="1:8">
      <c r="A748" s="5">
        <f>(pima_data!A748-AVERAGE(pima_data!$A$1:$A$768))/_xlfn.STDEV.P(pima_data!$A$1:$A$768)</f>
        <v>-0.844885053443025</v>
      </c>
      <c r="B748" s="5">
        <f>(pima_data!B748-AVERAGE(pima_data!$B$1:$B$768))/_xlfn.STDEV.P(pima_data!$B$1:$B$768)</f>
        <v>-1.24858494228671</v>
      </c>
      <c r="C748" s="5">
        <f>(pima_data!C748-AVERAGE(pima_data!$C$1:$C$768))/_xlfn.STDEV.P(pima_data!$C$1:$C$768)</f>
        <v>0.253036252419898</v>
      </c>
      <c r="D748" s="5">
        <f>(pima_data!D748-AVERAGE(pima_data!$D$1:$D$768))/_xlfn.STDEV.P(pima_data!$D$1:$D$768)</f>
        <v>1.28363829182395</v>
      </c>
      <c r="E748" s="5">
        <f>(pima_data!E748-AVERAGE(pima_data!$E$1:$E$768))/_xlfn.STDEV.P(pima_data!$E$1:$E$768)</f>
        <v>-0.197965504697543</v>
      </c>
      <c r="F748" s="5">
        <f>(pima_data!F748-AVERAGE(pima_data!$F$1:$F$768))/_xlfn.STDEV.P(pima_data!$F$1:$F$768)</f>
        <v>1.81588718738749</v>
      </c>
      <c r="G748" s="5">
        <f>(pima_data!G748-AVERAGE(pima_data!$G$1:$G$768))/_xlfn.STDEV.P(pima_data!$G$1:$G$768)</f>
        <v>1.88492763705861</v>
      </c>
      <c r="H748" s="5">
        <f>(pima_data!H748-AVERAGE(pima_data!$H$1:$H$768))/_xlfn.STDEV.P(pima_data!$H$1:$H$768)</f>
        <v>-0.105584152001785</v>
      </c>
    </row>
    <row r="749" spans="1:8">
      <c r="A749" s="5">
        <f>(pima_data!A749-AVERAGE(pima_data!$A$1:$A$768))/_xlfn.STDEV.P(pima_data!$A$1:$A$768)</f>
        <v>-0.25095212800207</v>
      </c>
      <c r="B749" s="5">
        <f>(pima_data!B749-AVERAGE(pima_data!$B$1:$B$768))/_xlfn.STDEV.P(pima_data!$B$1:$B$768)</f>
        <v>2.06891246238304</v>
      </c>
      <c r="C749" s="5">
        <f>(pima_data!C749-AVERAGE(pima_data!$C$1:$C$768))/_xlfn.STDEV.P(pima_data!$C$1:$C$768)</f>
        <v>0.0462452528365177</v>
      </c>
      <c r="D749" s="5">
        <f>(pima_data!D749-AVERAGE(pima_data!$D$1:$D$768))/_xlfn.STDEV.P(pima_data!$D$1:$D$768)</f>
        <v>0.0918051310772535</v>
      </c>
      <c r="E749" s="5">
        <f>(pima_data!E749-AVERAGE(pima_data!$E$1:$E$768))/_xlfn.STDEV.P(pima_data!$E$1:$E$768)</f>
        <v>1.04368861225865</v>
      </c>
      <c r="F749" s="5">
        <f>(pima_data!F749-AVERAGE(pima_data!$F$1:$F$768))/_xlfn.STDEV.P(pima_data!$F$1:$F$768)</f>
        <v>0.559386658347478</v>
      </c>
      <c r="G749" s="5">
        <f>(pima_data!G749-AVERAGE(pima_data!$G$1:$G$768))/_xlfn.STDEV.P(pima_data!$G$1:$G$768)</f>
        <v>-0.192914012962306</v>
      </c>
      <c r="H749" s="5">
        <f>(pima_data!H749-AVERAGE(pima_data!$H$1:$H$768))/_xlfn.STDEV.P(pima_data!$H$1:$H$768)</f>
        <v>0.234766860537022</v>
      </c>
    </row>
    <row r="750" spans="1:8">
      <c r="A750" s="5">
        <f>(pima_data!A750-AVERAGE(pima_data!$A$1:$A$768))/_xlfn.STDEV.P(pima_data!$A$1:$A$768)</f>
        <v>0.639947260159362</v>
      </c>
      <c r="B750" s="5">
        <f>(pima_data!B750-AVERAGE(pima_data!$B$1:$B$768))/_xlfn.STDEV.P(pima_data!$B$1:$B$768)</f>
        <v>1.28648382920621</v>
      </c>
      <c r="C750" s="5">
        <f>(pima_data!C750-AVERAGE(pima_data!$C$1:$C$768))/_xlfn.STDEV.P(pima_data!$C$1:$C$768)</f>
        <v>-0.367336746330243</v>
      </c>
      <c r="D750" s="5">
        <f>(pima_data!D750-AVERAGE(pima_data!$D$1:$D$768))/_xlfn.STDEV.P(pima_data!$D$1:$D$768)</f>
        <v>-1.28821221294523</v>
      </c>
      <c r="E750" s="5">
        <f>(pima_data!E750-AVERAGE(pima_data!$E$1:$E$768))/_xlfn.STDEV.P(pima_data!$E$1:$E$768)</f>
        <v>-0.692890572295466</v>
      </c>
      <c r="F750" s="5">
        <f>(pima_data!F750-AVERAGE(pima_data!$F$1:$F$768))/_xlfn.STDEV.P(pima_data!$F$1:$F$768)</f>
        <v>-0.976336210479198</v>
      </c>
      <c r="G750" s="5">
        <f>(pima_data!G750-AVERAGE(pima_data!$G$1:$G$768))/_xlfn.STDEV.P(pima_data!$G$1:$G$768)</f>
        <v>-0.887541308754184</v>
      </c>
      <c r="H750" s="5">
        <f>(pima_data!H750-AVERAGE(pima_data!$H$1:$H$768))/_xlfn.STDEV.P(pima_data!$H$1:$H$768)</f>
        <v>1.42599540442285</v>
      </c>
    </row>
    <row r="751" spans="1:8">
      <c r="A751" s="5">
        <f>(pima_data!A751-AVERAGE(pima_data!$A$1:$A$768))/_xlfn.STDEV.P(pima_data!$A$1:$A$768)</f>
        <v>0.0460143347184072</v>
      </c>
      <c r="B751" s="5">
        <f>(pima_data!B751-AVERAGE(pima_data!$B$1:$B$768))/_xlfn.STDEV.P(pima_data!$B$1:$B$768)</f>
        <v>0.472758050702311</v>
      </c>
      <c r="C751" s="5">
        <f>(pima_data!C751-AVERAGE(pima_data!$C$1:$C$768))/_xlfn.STDEV.P(pima_data!$C$1:$C$768)</f>
        <v>0.0462452528365177</v>
      </c>
      <c r="D751" s="5">
        <f>(pima_data!D751-AVERAGE(pima_data!$D$1:$D$768))/_xlfn.STDEV.P(pima_data!$D$1:$D$768)</f>
        <v>-1.28821221294523</v>
      </c>
      <c r="E751" s="5">
        <f>(pima_data!E751-AVERAGE(pima_data!$E$1:$E$768))/_xlfn.STDEV.P(pima_data!$E$1:$E$768)</f>
        <v>-0.692890572295466</v>
      </c>
      <c r="F751" s="5">
        <f>(pima_data!F751-AVERAGE(pima_data!$F$1:$F$768))/_xlfn.STDEV.P(pima_data!$F$1:$F$768)</f>
        <v>-0.10059341751192</v>
      </c>
      <c r="G751" s="5">
        <f>(pima_data!G751-AVERAGE(pima_data!$G$1:$G$768))/_xlfn.STDEV.P(pima_data!$G$1:$G$768)</f>
        <v>2.14465784331123</v>
      </c>
      <c r="H751" s="5">
        <f>(pima_data!H751-AVERAGE(pima_data!$H$1:$H$768))/_xlfn.STDEV.P(pima_data!$H$1:$H$768)</f>
        <v>-0.956461683348801</v>
      </c>
    </row>
    <row r="752" spans="1:8">
      <c r="A752" s="5">
        <f>(pima_data!A752-AVERAGE(pima_data!$A$1:$A$768))/_xlfn.STDEV.P(pima_data!$A$1:$A$768)</f>
        <v>-0.844885053443025</v>
      </c>
      <c r="B752" s="5">
        <f>(pima_data!B752-AVERAGE(pima_data!$B$1:$B$768))/_xlfn.STDEV.P(pima_data!$B$1:$B$768)</f>
        <v>0.00330087079621474</v>
      </c>
      <c r="C752" s="5">
        <f>(pima_data!C752-AVERAGE(pima_data!$C$1:$C$768))/_xlfn.STDEV.P(pima_data!$C$1:$C$768)</f>
        <v>0.459827252003279</v>
      </c>
      <c r="D752" s="5">
        <f>(pima_data!D752-AVERAGE(pima_data!$D$1:$D$768))/_xlfn.STDEV.P(pima_data!$D$1:$D$768)</f>
        <v>1.15818216964008</v>
      </c>
      <c r="E752" s="5">
        <f>(pima_data!E752-AVERAGE(pima_data!$E$1:$E$768))/_xlfn.STDEV.P(pima_data!$E$1:$E$768)</f>
        <v>-0.050356274010443</v>
      </c>
      <c r="F752" s="5">
        <f>(pima_data!F752-AVERAGE(pima_data!$F$1:$F$768))/_xlfn.STDEV.P(pima_data!$F$1:$F$768)</f>
        <v>0.889376696277177</v>
      </c>
      <c r="G752" s="5">
        <f>(pima_data!G752-AVERAGE(pima_data!$G$1:$G$768))/_xlfn.STDEV.P(pima_data!$G$1:$G$768)</f>
        <v>-0.636871458533637</v>
      </c>
      <c r="H752" s="5">
        <f>(pima_data!H752-AVERAGE(pima_data!$H$1:$H$768))/_xlfn.STDEV.P(pima_data!$H$1:$H$768)</f>
        <v>-0.445935164540591</v>
      </c>
    </row>
    <row r="753" spans="1:8">
      <c r="A753" s="5">
        <f>(pima_data!A753-AVERAGE(pima_data!$A$1:$A$768))/_xlfn.STDEV.P(pima_data!$A$1:$A$768)</f>
        <v>-0.25095212800207</v>
      </c>
      <c r="B753" s="5">
        <f>(pima_data!B753-AVERAGE(pima_data!$B$1:$B$768))/_xlfn.STDEV.P(pima_data!$B$1:$B$768)</f>
        <v>-0.403562018455736</v>
      </c>
      <c r="C753" s="5">
        <f>(pima_data!C753-AVERAGE(pima_data!$C$1:$C$768))/_xlfn.STDEV.P(pima_data!$C$1:$C$768)</f>
        <v>-0.367336746330243</v>
      </c>
      <c r="D753" s="5">
        <f>(pima_data!D753-AVERAGE(pima_data!$D$1:$D$768))/_xlfn.STDEV.P(pima_data!$D$1:$D$768)</f>
        <v>0.217261253261116</v>
      </c>
      <c r="E753" s="5">
        <f>(pima_data!E753-AVERAGE(pima_data!$E$1:$E$768))/_xlfn.STDEV.P(pima_data!$E$1:$E$768)</f>
        <v>-0.692890572295466</v>
      </c>
      <c r="F753" s="5">
        <f>(pima_data!F753-AVERAGE(pima_data!$F$1:$F$768))/_xlfn.STDEV.P(pima_data!$F$1:$F$768)</f>
        <v>-0.760573493371318</v>
      </c>
      <c r="G753" s="5">
        <f>(pima_data!G753-AVERAGE(pima_data!$G$1:$G$768))/_xlfn.STDEV.P(pima_data!$G$1:$G$768)</f>
        <v>-0.751635968273164</v>
      </c>
      <c r="H753" s="5">
        <f>(pima_data!H753-AVERAGE(pima_data!$H$1:$H$768))/_xlfn.STDEV.P(pima_data!$H$1:$H$768)</f>
        <v>-0.701198423944696</v>
      </c>
    </row>
    <row r="754" spans="1:8">
      <c r="A754" s="5">
        <f>(pima_data!A754-AVERAGE(pima_data!$A$1:$A$768))/_xlfn.STDEV.P(pima_data!$A$1:$A$768)</f>
        <v>-1.1418515161635</v>
      </c>
      <c r="B754" s="5">
        <f>(pima_data!B754-AVERAGE(pima_data!$B$1:$B$768))/_xlfn.STDEV.P(pima_data!$B$1:$B$768)</f>
        <v>1.8811295904206</v>
      </c>
      <c r="C754" s="5">
        <f>(pima_data!C754-AVERAGE(pima_data!$C$1:$C$768))/_xlfn.STDEV.P(pima_data!$C$1:$C$768)</f>
        <v>0.97680475096173</v>
      </c>
      <c r="D754" s="5">
        <f>(pima_data!D754-AVERAGE(pima_data!$D$1:$D$768))/_xlfn.STDEV.P(pima_data!$D$1:$D$768)</f>
        <v>1.47182247509974</v>
      </c>
      <c r="E754" s="5">
        <f>(pima_data!E754-AVERAGE(pima_data!$E$1:$E$768))/_xlfn.STDEV.P(pima_data!$E$1:$E$768)</f>
        <v>3.73538634831753</v>
      </c>
      <c r="F754" s="5">
        <f>(pima_data!F754-AVERAGE(pima_data!$F$1:$F$768))/_xlfn.STDEV.P(pima_data!$F$1:$F$768)</f>
        <v>1.43512945131476</v>
      </c>
      <c r="G754" s="5">
        <f>(pima_data!G754-AVERAGE(pima_data!$G$1:$G$768))/_xlfn.STDEV.P(pima_data!$G$1:$G$768)</f>
        <v>-0.75465608695052</v>
      </c>
      <c r="H754" s="5">
        <f>(pima_data!H754-AVERAGE(pima_data!$H$1:$H$768))/_xlfn.STDEV.P(pima_data!$H$1:$H$768)</f>
        <v>-0.616110670809994</v>
      </c>
    </row>
    <row r="755" spans="1:8">
      <c r="A755" s="5">
        <f>(pima_data!A755-AVERAGE(pima_data!$A$1:$A$768))/_xlfn.STDEV.P(pima_data!$A$1:$A$768)</f>
        <v>1.23388018560032</v>
      </c>
      <c r="B755" s="5">
        <f>(pima_data!B755-AVERAGE(pima_data!$B$1:$B$768))/_xlfn.STDEV.P(pima_data!$B$1:$B$768)</f>
        <v>1.03610666658963</v>
      </c>
      <c r="C755" s="5">
        <f>(pima_data!C755-AVERAGE(pima_data!$C$1:$C$768))/_xlfn.STDEV.P(pima_data!$C$1:$C$768)</f>
        <v>0.459827252003279</v>
      </c>
      <c r="D755" s="5">
        <f>(pima_data!D755-AVERAGE(pima_data!$D$1:$D$768))/_xlfn.STDEV.P(pima_data!$D$1:$D$768)</f>
        <v>0.719085741996565</v>
      </c>
      <c r="E755" s="5">
        <f>(pima_data!E755-AVERAGE(pima_data!$E$1:$E$768))/_xlfn.STDEV.P(pima_data!$E$1:$E$768)</f>
        <v>-0.692890572295466</v>
      </c>
      <c r="F755" s="5">
        <f>(pima_data!F755-AVERAGE(pima_data!$F$1:$F$768))/_xlfn.STDEV.P(pima_data!$F$1:$F$768)</f>
        <v>0.0517096769171717</v>
      </c>
      <c r="G755" s="5">
        <f>(pima_data!G755-AVERAGE(pima_data!$G$1:$G$768))/_xlfn.STDEV.P(pima_data!$G$1:$G$768)</f>
        <v>-0.0872098592548467</v>
      </c>
      <c r="H755" s="5">
        <f>(pima_data!H755-AVERAGE(pima_data!$H$1:$H$768))/_xlfn.STDEV.P(pima_data!$H$1:$H$768)</f>
        <v>1.00055663874934</v>
      </c>
    </row>
    <row r="756" spans="1:8">
      <c r="A756" s="5">
        <f>(pima_data!A756-AVERAGE(pima_data!$A$1:$A$768))/_xlfn.STDEV.P(pima_data!$A$1:$A$768)</f>
        <v>-0.844885053443025</v>
      </c>
      <c r="B756" s="5">
        <f>(pima_data!B756-AVERAGE(pima_data!$B$1:$B$768))/_xlfn.STDEV.P(pima_data!$B$1:$B$768)</f>
        <v>0.222380888085726</v>
      </c>
      <c r="C756" s="5">
        <f>(pima_data!C756-AVERAGE(pima_data!$C$1:$C$768))/_xlfn.STDEV.P(pima_data!$C$1:$C$768)</f>
        <v>0.97680475096173</v>
      </c>
      <c r="D756" s="5">
        <f>(pima_data!D756-AVERAGE(pima_data!$D$1:$D$768))/_xlfn.STDEV.P(pima_data!$D$1:$D$768)</f>
        <v>1.15818216964008</v>
      </c>
      <c r="E756" s="5">
        <f>(pima_data!E756-AVERAGE(pima_data!$E$1:$E$768))/_xlfn.STDEV.P(pima_data!$E$1:$E$768)</f>
        <v>0.262227979209298</v>
      </c>
      <c r="F756" s="5">
        <f>(pima_data!F756-AVERAGE(pima_data!$F$1:$F$768))/_xlfn.STDEV.P(pima_data!$F$1:$F$768)</f>
        <v>0.572078582883236</v>
      </c>
      <c r="G756" s="5">
        <f>(pima_data!G756-AVERAGE(pima_data!$G$1:$G$768))/_xlfn.STDEV.P(pima_data!$G$1:$G$768)</f>
        <v>1.76714300864173</v>
      </c>
      <c r="H756" s="5">
        <f>(pima_data!H756-AVERAGE(pima_data!$H$1:$H$768))/_xlfn.STDEV.P(pima_data!$H$1:$H$768)</f>
        <v>0.319854613671724</v>
      </c>
    </row>
    <row r="757" spans="1:8">
      <c r="A757" s="5">
        <f>(pima_data!A757-AVERAGE(pima_data!$A$1:$A$768))/_xlfn.STDEV.P(pima_data!$A$1:$A$768)</f>
        <v>0.936913722879839</v>
      </c>
      <c r="B757" s="5">
        <f>(pima_data!B757-AVERAGE(pima_data!$B$1:$B$768))/_xlfn.STDEV.P(pima_data!$B$1:$B$768)</f>
        <v>0.504055196029384</v>
      </c>
      <c r="C757" s="5">
        <f>(pima_data!C757-AVERAGE(pima_data!$C$1:$C$768))/_xlfn.STDEV.P(pima_data!$C$1:$C$768)</f>
        <v>1.08020025075342</v>
      </c>
      <c r="D757" s="5">
        <f>(pima_data!D757-AVERAGE(pima_data!$D$1:$D$768))/_xlfn.STDEV.P(pima_data!$D$1:$D$768)</f>
        <v>1.28363829182395</v>
      </c>
      <c r="E757" s="5">
        <f>(pima_data!E757-AVERAGE(pima_data!$E$1:$E$768))/_xlfn.STDEV.P(pima_data!$E$1:$E$768)</f>
        <v>-0.692890572295466</v>
      </c>
      <c r="F757" s="5">
        <f>(pima_data!F757-AVERAGE(pima_data!$F$1:$F$768))/_xlfn.STDEV.P(pima_data!$F$1:$F$768)</f>
        <v>0.000941978774141239</v>
      </c>
      <c r="G757" s="5">
        <f>(pima_data!G757-AVERAGE(pima_data!$G$1:$G$768))/_xlfn.STDEV.P(pima_data!$G$1:$G$768)</f>
        <v>-0.244256030477358</v>
      </c>
      <c r="H757" s="5">
        <f>(pima_data!H757-AVERAGE(pima_data!$H$1:$H$768))/_xlfn.STDEV.P(pima_data!$H$1:$H$768)</f>
        <v>0.490030119941127</v>
      </c>
    </row>
    <row r="758" spans="1:8">
      <c r="A758" s="5">
        <f>(pima_data!A758-AVERAGE(pima_data!$A$1:$A$768))/_xlfn.STDEV.P(pima_data!$A$1:$A$768)</f>
        <v>-1.1418515161635</v>
      </c>
      <c r="B758" s="5">
        <f>(pima_data!B758-AVERAGE(pima_data!$B$1:$B$768))/_xlfn.STDEV.P(pima_data!$B$1:$B$768)</f>
        <v>0.0658951614503609</v>
      </c>
      <c r="C758" s="5">
        <f>(pima_data!C758-AVERAGE(pima_data!$C$1:$C$768))/_xlfn.STDEV.P(pima_data!$C$1:$C$768)</f>
        <v>0.149640752628208</v>
      </c>
      <c r="D758" s="5">
        <f>(pima_data!D758-AVERAGE(pima_data!$D$1:$D$768))/_xlfn.STDEV.P(pima_data!$D$1:$D$768)</f>
        <v>-1.28821221294523</v>
      </c>
      <c r="E758" s="5">
        <f>(pima_data!E758-AVERAGE(pima_data!$E$1:$E$768))/_xlfn.STDEV.P(pima_data!$E$1:$E$768)</f>
        <v>-0.692890572295466</v>
      </c>
      <c r="F758" s="5">
        <f>(pima_data!F758-AVERAGE(pima_data!$F$1:$F$768))/_xlfn.STDEV.P(pima_data!$F$1:$F$768)</f>
        <v>0.54669473381172</v>
      </c>
      <c r="G758" s="5">
        <f>(pima_data!G758-AVERAGE(pima_data!$G$1:$G$768))/_xlfn.STDEV.P(pima_data!$G$1:$G$768)</f>
        <v>-0.645931814565705</v>
      </c>
      <c r="H758" s="5">
        <f>(pima_data!H758-AVERAGE(pima_data!$H$1:$H$768))/_xlfn.STDEV.P(pima_data!$H$1:$H$768)</f>
        <v>1.59617091069225</v>
      </c>
    </row>
    <row r="759" spans="1:8">
      <c r="A759" s="5">
        <f>(pima_data!A759-AVERAGE(pima_data!$A$1:$A$768))/_xlfn.STDEV.P(pima_data!$A$1:$A$768)</f>
        <v>-0.844885053443025</v>
      </c>
      <c r="B759" s="5">
        <f>(pima_data!B759-AVERAGE(pima_data!$B$1:$B$768))/_xlfn.STDEV.P(pima_data!$B$1:$B$768)</f>
        <v>-0.466156309109882</v>
      </c>
      <c r="C759" s="5">
        <f>(pima_data!C759-AVERAGE(pima_data!$C$1:$C$768))/_xlfn.STDEV.P(pima_data!$C$1:$C$768)</f>
        <v>0.356431752211589</v>
      </c>
      <c r="D759" s="5">
        <f>(pima_data!D759-AVERAGE(pima_data!$D$1:$D$768))/_xlfn.STDEV.P(pima_data!$D$1:$D$768)</f>
        <v>-1.28821221294523</v>
      </c>
      <c r="E759" s="5">
        <f>(pima_data!E759-AVERAGE(pima_data!$E$1:$E$768))/_xlfn.STDEV.P(pima_data!$E$1:$E$768)</f>
        <v>-0.692890572295466</v>
      </c>
      <c r="F759" s="5">
        <f>(pima_data!F759-AVERAGE(pima_data!$F$1:$F$768))/_xlfn.STDEV.P(pima_data!$F$1:$F$768)</f>
        <v>0.698997828240812</v>
      </c>
      <c r="G759" s="5">
        <f>(pima_data!G759-AVERAGE(pima_data!$G$1:$G$768))/_xlfn.STDEV.P(pima_data!$G$1:$G$768)</f>
        <v>-0.83015905388442</v>
      </c>
      <c r="H759" s="5">
        <f>(pima_data!H759-AVERAGE(pima_data!$H$1:$H$768))/_xlfn.STDEV.P(pima_data!$H$1:$H$768)</f>
        <v>-0.616110670809994</v>
      </c>
    </row>
    <row r="760" spans="1:8">
      <c r="A760" s="5">
        <f>(pima_data!A760-AVERAGE(pima_data!$A$1:$A$768))/_xlfn.STDEV.P(pima_data!$A$1:$A$768)</f>
        <v>0.639947260159362</v>
      </c>
      <c r="B760" s="5">
        <f>(pima_data!B760-AVERAGE(pima_data!$B$1:$B$768))/_xlfn.STDEV.P(pima_data!$B$1:$B$768)</f>
        <v>2.16280389836426</v>
      </c>
      <c r="C760" s="5">
        <f>(pima_data!C760-AVERAGE(pima_data!$C$1:$C$768))/_xlfn.STDEV.P(pima_data!$C$1:$C$768)</f>
        <v>1.18359575054511</v>
      </c>
      <c r="D760" s="5">
        <f>(pima_data!D760-AVERAGE(pima_data!$D$1:$D$768))/_xlfn.STDEV.P(pima_data!$D$1:$D$768)</f>
        <v>-1.28821221294523</v>
      </c>
      <c r="E760" s="5">
        <f>(pima_data!E760-AVERAGE(pima_data!$E$1:$E$768))/_xlfn.STDEV.P(pima_data!$E$1:$E$768)</f>
        <v>-0.692890572295466</v>
      </c>
      <c r="F760" s="5">
        <f>(pima_data!F760-AVERAGE(pima_data!$F$1:$F$768))/_xlfn.STDEV.P(pima_data!$F$1:$F$768)</f>
        <v>0.445159337525659</v>
      </c>
      <c r="G760" s="5">
        <f>(pima_data!G760-AVERAGE(pima_data!$G$1:$G$768))/_xlfn.STDEV.P(pima_data!$G$1:$G$768)</f>
        <v>-0.585529441018585</v>
      </c>
      <c r="H760" s="5">
        <f>(pima_data!H760-AVERAGE(pima_data!$H$1:$H$768))/_xlfn.STDEV.P(pima_data!$H$1:$H$768)</f>
        <v>2.78739945457807</v>
      </c>
    </row>
    <row r="761" spans="1:8">
      <c r="A761" s="5">
        <f>(pima_data!A761-AVERAGE(pima_data!$A$1:$A$768))/_xlfn.STDEV.P(pima_data!$A$1:$A$768)</f>
        <v>-0.547918590722547</v>
      </c>
      <c r="B761" s="5">
        <f>(pima_data!B761-AVERAGE(pima_data!$B$1:$B$768))/_xlfn.STDEV.P(pima_data!$B$1:$B$768)</f>
        <v>-1.0295049249972</v>
      </c>
      <c r="C761" s="5">
        <f>(pima_data!C761-AVERAGE(pima_data!$C$1:$C$768))/_xlfn.STDEV.P(pima_data!$C$1:$C$768)</f>
        <v>-0.574127745913624</v>
      </c>
      <c r="D761" s="5">
        <f>(pima_data!D761-AVERAGE(pima_data!$D$1:$D$768))/_xlfn.STDEV.P(pima_data!$D$1:$D$768)</f>
        <v>0.342717375444978</v>
      </c>
      <c r="E761" s="5">
        <f>(pima_data!E761-AVERAGE(pima_data!$E$1:$E$768))/_xlfn.STDEV.P(pima_data!$E$1:$E$768)</f>
        <v>-0.553964237531137</v>
      </c>
      <c r="F761" s="5">
        <f>(pima_data!F761-AVERAGE(pima_data!$F$1:$F$768))/_xlfn.STDEV.P(pima_data!$F$1:$F$768)</f>
        <v>-0.455967304513134</v>
      </c>
      <c r="G761" s="5">
        <f>(pima_data!G761-AVERAGE(pima_data!$G$1:$G$768))/_xlfn.STDEV.P(pima_data!$G$1:$G$768)</f>
        <v>0.888288473531138</v>
      </c>
      <c r="H761" s="5">
        <f>(pima_data!H761-AVERAGE(pima_data!$H$1:$H$768))/_xlfn.STDEV.P(pima_data!$H$1:$H$768)</f>
        <v>-0.956461683348801</v>
      </c>
    </row>
    <row r="762" spans="1:8">
      <c r="A762" s="5">
        <f>(pima_data!A762-AVERAGE(pima_data!$A$1:$A$768))/_xlfn.STDEV.P(pima_data!$A$1:$A$768)</f>
        <v>1.53084664832079</v>
      </c>
      <c r="B762" s="5">
        <f>(pima_data!B762-AVERAGE(pima_data!$B$1:$B$768))/_xlfn.STDEV.P(pima_data!$B$1:$B$768)</f>
        <v>1.5368609918228</v>
      </c>
      <c r="C762" s="5">
        <f>(pima_data!C762-AVERAGE(pima_data!$C$1:$C$768))/_xlfn.STDEV.P(pima_data!$C$1:$C$768)</f>
        <v>0.253036252419898</v>
      </c>
      <c r="D762" s="5">
        <f>(pima_data!D762-AVERAGE(pima_data!$D$1:$D$768))/_xlfn.STDEV.P(pima_data!$D$1:$D$768)</f>
        <v>0.656357680904634</v>
      </c>
      <c r="E762" s="5">
        <f>(pima_data!E762-AVERAGE(pima_data!$E$1:$E$768))/_xlfn.STDEV.P(pima_data!$E$1:$E$768)</f>
        <v>-0.692890572295466</v>
      </c>
      <c r="F762" s="5">
        <f>(pima_data!F762-AVERAGE(pima_data!$F$1:$F$768))/_xlfn.STDEV.P(pima_data!$F$1:$F$768)</f>
        <v>1.52397292306506</v>
      </c>
      <c r="G762" s="5">
        <f>(pima_data!G762-AVERAGE(pima_data!$G$1:$G$768))/_xlfn.STDEV.P(pima_data!$G$1:$G$768)</f>
        <v>-0.208014606349086</v>
      </c>
      <c r="H762" s="5">
        <f>(pima_data!H762-AVERAGE(pima_data!$H$1:$H$768))/_xlfn.STDEV.P(pima_data!$H$1:$H$768)</f>
        <v>0.830381132479934</v>
      </c>
    </row>
    <row r="763" spans="1:8">
      <c r="A763" s="5">
        <f>(pima_data!A763-AVERAGE(pima_data!$A$1:$A$768))/_xlfn.STDEV.P(pima_data!$A$1:$A$768)</f>
        <v>1.53084664832079</v>
      </c>
      <c r="B763" s="5">
        <f>(pima_data!B763-AVERAGE(pima_data!$B$1:$B$768))/_xlfn.STDEV.P(pima_data!$B$1:$B$768)</f>
        <v>-0.998207779670124</v>
      </c>
      <c r="C763" s="5">
        <f>(pima_data!C763-AVERAGE(pima_data!$C$1:$C$768))/_xlfn.STDEV.P(pima_data!$C$1:$C$768)</f>
        <v>-0.367336746330243</v>
      </c>
      <c r="D763" s="5">
        <f>(pima_data!D763-AVERAGE(pima_data!$D$1:$D$768))/_xlfn.STDEV.P(pima_data!$D$1:$D$768)</f>
        <v>-1.28821221294523</v>
      </c>
      <c r="E763" s="5">
        <f>(pima_data!E763-AVERAGE(pima_data!$E$1:$E$768))/_xlfn.STDEV.P(pima_data!$E$1:$E$768)</f>
        <v>-0.692890572295466</v>
      </c>
      <c r="F763" s="5">
        <f>(pima_data!F763-AVERAGE(pima_data!$F$1:$F$768))/_xlfn.STDEV.P(pima_data!$F$1:$F$768)</f>
        <v>-1.20479085212284</v>
      </c>
      <c r="G763" s="5">
        <f>(pima_data!G763-AVERAGE(pima_data!$G$1:$G$768))/_xlfn.STDEV.P(pima_data!$G$1:$G$768)</f>
        <v>-0.996265581139</v>
      </c>
      <c r="H763" s="5">
        <f>(pima_data!H763-AVERAGE(pima_data!$H$1:$H$768))/_xlfn.STDEV.P(pima_data!$H$1:$H$768)</f>
        <v>-0.0204963988670829</v>
      </c>
    </row>
    <row r="764" spans="1:8">
      <c r="A764" s="5">
        <f>(pima_data!A764-AVERAGE(pima_data!$A$1:$A$768))/_xlfn.STDEV.P(pima_data!$A$1:$A$768)</f>
        <v>1.82781311104127</v>
      </c>
      <c r="B764" s="5">
        <f>(pima_data!B764-AVERAGE(pima_data!$B$1:$B$768))/_xlfn.STDEV.P(pima_data!$B$1:$B$768)</f>
        <v>-0.622642035745247</v>
      </c>
      <c r="C764" s="5">
        <f>(pima_data!C764-AVERAGE(pima_data!$C$1:$C$768))/_xlfn.STDEV.P(pima_data!$C$1:$C$768)</f>
        <v>0.356431752211589</v>
      </c>
      <c r="D764" s="5">
        <f>(pima_data!D764-AVERAGE(pima_data!$D$1:$D$768))/_xlfn.STDEV.P(pima_data!$D$1:$D$768)</f>
        <v>1.72273471946746</v>
      </c>
      <c r="E764" s="5">
        <f>(pima_data!E764-AVERAGE(pima_data!$E$1:$E$768))/_xlfn.STDEV.P(pima_data!$E$1:$E$768)</f>
        <v>0.870030693803239</v>
      </c>
      <c r="F764" s="5">
        <f>(pima_data!F764-AVERAGE(pima_data!$F$1:$F$768))/_xlfn.STDEV.P(pima_data!$F$1:$F$768)</f>
        <v>0.11516929959596</v>
      </c>
      <c r="G764" s="5">
        <f>(pima_data!G764-AVERAGE(pima_data!$G$1:$G$768))/_xlfn.STDEV.P(pima_data!$G$1:$G$768)</f>
        <v>-0.908682139495676</v>
      </c>
      <c r="H764" s="5">
        <f>(pima_data!H764-AVERAGE(pima_data!$H$1:$H$768))/_xlfn.STDEV.P(pima_data!$H$1:$H$768)</f>
        <v>2.53213619517397</v>
      </c>
    </row>
    <row r="765" spans="1:8">
      <c r="A765" s="5">
        <f>(pima_data!A765-AVERAGE(pima_data!$A$1:$A$768))/_xlfn.STDEV.P(pima_data!$A$1:$A$768)</f>
        <v>-0.547918590722547</v>
      </c>
      <c r="B765" s="5">
        <f>(pima_data!B765-AVERAGE(pima_data!$B$1:$B$768))/_xlfn.STDEV.P(pima_data!$B$1:$B$768)</f>
        <v>0.0345980161232878</v>
      </c>
      <c r="C765" s="5">
        <f>(pima_data!C765-AVERAGE(pima_data!$C$1:$C$768))/_xlfn.STDEV.P(pima_data!$C$1:$C$768)</f>
        <v>0.0462452528365177</v>
      </c>
      <c r="D765" s="5">
        <f>(pima_data!D765-AVERAGE(pima_data!$D$1:$D$768))/_xlfn.STDEV.P(pima_data!$D$1:$D$768)</f>
        <v>0.40544543653691</v>
      </c>
      <c r="E765" s="5">
        <f>(pima_data!E765-AVERAGE(pima_data!$E$1:$E$768))/_xlfn.STDEV.P(pima_data!$E$1:$E$768)</f>
        <v>-0.692890572295466</v>
      </c>
      <c r="F765" s="5">
        <f>(pima_data!F765-AVERAGE(pima_data!$F$1:$F$768))/_xlfn.STDEV.P(pima_data!$F$1:$F$768)</f>
        <v>0.610154356490508</v>
      </c>
      <c r="G765" s="5">
        <f>(pima_data!G765-AVERAGE(pima_data!$G$1:$G$768))/_xlfn.STDEV.P(pima_data!$G$1:$G$768)</f>
        <v>-0.398282083022514</v>
      </c>
      <c r="H765" s="5">
        <f>(pima_data!H765-AVERAGE(pima_data!$H$1:$H$768))/_xlfn.STDEV.P(pima_data!$H$1:$H$768)</f>
        <v>-0.531022917675293</v>
      </c>
    </row>
    <row r="766" spans="1:8">
      <c r="A766" s="5">
        <f>(pima_data!A766-AVERAGE(pima_data!$A$1:$A$768))/_xlfn.STDEV.P(pima_data!$A$1:$A$768)</f>
        <v>0.342980797438884</v>
      </c>
      <c r="B766" s="5">
        <f>(pima_data!B766-AVERAGE(pima_data!$B$1:$B$768))/_xlfn.STDEV.P(pima_data!$B$1:$B$768)</f>
        <v>0.00330087079621474</v>
      </c>
      <c r="C766" s="5">
        <f>(pima_data!C766-AVERAGE(pima_data!$C$1:$C$768))/_xlfn.STDEV.P(pima_data!$C$1:$C$768)</f>
        <v>0.149640752628208</v>
      </c>
      <c r="D766" s="5">
        <f>(pima_data!D766-AVERAGE(pima_data!$D$1:$D$768))/_xlfn.STDEV.P(pima_data!$D$1:$D$768)</f>
        <v>0.154533192169185</v>
      </c>
      <c r="E766" s="5">
        <f>(pima_data!E766-AVERAGE(pima_data!$E$1:$E$768))/_xlfn.STDEV.P(pima_data!$E$1:$E$768)</f>
        <v>0.279593771054839</v>
      </c>
      <c r="F766" s="5">
        <f>(pima_data!F766-AVERAGE(pima_data!$F$1:$F$768))/_xlfn.STDEV.P(pima_data!$F$1:$F$768)</f>
        <v>-0.735189644299803</v>
      </c>
      <c r="G766" s="5">
        <f>(pima_data!G766-AVERAGE(pima_data!$G$1:$G$768))/_xlfn.STDEV.P(pima_data!$G$1:$G$768)</f>
        <v>-0.685193357371333</v>
      </c>
      <c r="H766" s="5">
        <f>(pima_data!H766-AVERAGE(pima_data!$H$1:$H$768))/_xlfn.STDEV.P(pima_data!$H$1:$H$768)</f>
        <v>-0.275759658271188</v>
      </c>
    </row>
    <row r="767" spans="1:8">
      <c r="A767" s="5">
        <f>(pima_data!A767-AVERAGE(pima_data!$A$1:$A$768))/_xlfn.STDEV.P(pima_data!$A$1:$A$768)</f>
        <v>-0.844885053443025</v>
      </c>
      <c r="B767" s="5">
        <f>(pima_data!B767-AVERAGE(pima_data!$B$1:$B$768))/_xlfn.STDEV.P(pima_data!$B$1:$B$768)</f>
        <v>0.15978659743158</v>
      </c>
      <c r="C767" s="5">
        <f>(pima_data!C767-AVERAGE(pima_data!$C$1:$C$768))/_xlfn.STDEV.P(pima_data!$C$1:$C$768)</f>
        <v>-0.470732246121934</v>
      </c>
      <c r="D767" s="5">
        <f>(pima_data!D767-AVERAGE(pima_data!$D$1:$D$768))/_xlfn.STDEV.P(pima_data!$D$1:$D$768)</f>
        <v>-1.28821221294523</v>
      </c>
      <c r="E767" s="5">
        <f>(pima_data!E767-AVERAGE(pima_data!$E$1:$E$768))/_xlfn.STDEV.P(pima_data!$E$1:$E$768)</f>
        <v>-0.692890572295466</v>
      </c>
      <c r="F767" s="5">
        <f>(pima_data!F767-AVERAGE(pima_data!$F$1:$F$768))/_xlfn.STDEV.P(pima_data!$F$1:$F$768)</f>
        <v>-0.240204587405254</v>
      </c>
      <c r="G767" s="5">
        <f>(pima_data!G767-AVERAGE(pima_data!$G$1:$G$768))/_xlfn.STDEV.P(pima_data!$G$1:$G$768)</f>
        <v>-0.37110101492631</v>
      </c>
      <c r="H767" s="5">
        <f>(pima_data!H767-AVERAGE(pima_data!$H$1:$H$768))/_xlfn.STDEV.P(pima_data!$H$1:$H$768)</f>
        <v>1.17073214501874</v>
      </c>
    </row>
    <row r="768" spans="1:8">
      <c r="A768" s="5">
        <f>(pima_data!A768-AVERAGE(pima_data!$A$1:$A$768))/_xlfn.STDEV.P(pima_data!$A$1:$A$768)</f>
        <v>-0.844885053443025</v>
      </c>
      <c r="B768" s="5">
        <f>(pima_data!B768-AVERAGE(pima_data!$B$1:$B$768))/_xlfn.STDEV.P(pima_data!$B$1:$B$768)</f>
        <v>-0.873019198361832</v>
      </c>
      <c r="C768" s="5">
        <f>(pima_data!C768-AVERAGE(pima_data!$C$1:$C$768))/_xlfn.STDEV.P(pima_data!$C$1:$C$768)</f>
        <v>0.0462452528365177</v>
      </c>
      <c r="D768" s="5">
        <f>(pima_data!D768-AVERAGE(pima_data!$D$1:$D$768))/_xlfn.STDEV.P(pima_data!$D$1:$D$768)</f>
        <v>0.656357680904634</v>
      </c>
      <c r="E768" s="5">
        <f>(pima_data!E768-AVERAGE(pima_data!$E$1:$E$768))/_xlfn.STDEV.P(pima_data!$E$1:$E$768)</f>
        <v>-0.692890572295466</v>
      </c>
      <c r="F768" s="5">
        <f>(pima_data!F768-AVERAGE(pima_data!$F$1:$F$768))/_xlfn.STDEV.P(pima_data!$F$1:$F$768)</f>
        <v>-0.202128813797981</v>
      </c>
      <c r="G768" s="5">
        <f>(pima_data!G768-AVERAGE(pima_data!$G$1:$G$768))/_xlfn.STDEV.P(pima_data!$G$1:$G$768)</f>
        <v>-0.473785049956413</v>
      </c>
      <c r="H768" s="5">
        <f>(pima_data!H768-AVERAGE(pima_data!$H$1:$H$768))/_xlfn.STDEV.P(pima_data!$H$1:$H$768)</f>
        <v>-0.871373930214099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8"/>
  <sheetViews>
    <sheetView workbookViewId="0">
      <pane xSplit="5" ySplit="6" topLeftCell="F751" activePane="bottomRight" state="frozen"/>
      <selection/>
      <selection pane="topRight"/>
      <selection pane="bottomLeft"/>
      <selection pane="bottomRight" activeCell="J1" sqref="C1:J1"/>
    </sheetView>
  </sheetViews>
  <sheetFormatPr defaultColWidth="9" defaultRowHeight="13.5"/>
  <cols>
    <col min="1" max="1" width="13.75" style="4"/>
    <col min="2" max="2" width="12.625" style="4"/>
    <col min="3" max="3" width="12.625"/>
    <col min="11" max="11" width="12.625"/>
  </cols>
  <sheetData>
    <row r="1" spans="1:10">
      <c r="A1" s="4" cm="1">
        <f t="array" ref="A1">SUM(POWER(pima_data!A1:H1,2))</f>
        <v>31978.353129</v>
      </c>
      <c r="B1" s="4">
        <f t="shared" ref="B1:B64" si="0">A1^0.5</f>
        <v>178.824923120353</v>
      </c>
      <c r="C1" s="5">
        <f>pima_data!A1/$B1</f>
        <v>0.0335523700796554</v>
      </c>
      <c r="D1" s="5">
        <f>pima_data!B1/$B1</f>
        <v>0.827625128631501</v>
      </c>
      <c r="E1" s="5">
        <f>pima_data!C1/$B1</f>
        <v>0.402628440955865</v>
      </c>
      <c r="F1" s="5">
        <f>pima_data!D1/$B1</f>
        <v>0.19572215879799</v>
      </c>
      <c r="G1" s="5">
        <f>pima_data!E1/$B1</f>
        <v>0</v>
      </c>
      <c r="H1" s="5">
        <f>pima_data!F1/$B1</f>
        <v>0.18789327244607</v>
      </c>
      <c r="I1" s="5">
        <f>pima_data!G1/$B1</f>
        <v>0.00350622267332399</v>
      </c>
      <c r="J1" s="5">
        <f>pima_data!H1/$B1</f>
        <v>0.279603083997129</v>
      </c>
    </row>
    <row r="2" spans="1:10">
      <c r="A2" s="4" cm="1">
        <f t="array" ref="A2">SUM(POWER(pima_data!A2:H2,2))</f>
        <v>14091.683201</v>
      </c>
      <c r="B2" s="4">
        <f t="shared" si="0"/>
        <v>118.708395663491</v>
      </c>
      <c r="C2" s="5">
        <f>pima_data!A2/$B2</f>
        <v>0.00842400400081853</v>
      </c>
      <c r="D2" s="5">
        <f>pima_data!B2/$B2</f>
        <v>0.716040340069575</v>
      </c>
      <c r="E2" s="5">
        <f>pima_data!C2/$B2</f>
        <v>0.555984264054023</v>
      </c>
      <c r="F2" s="5">
        <f>pima_data!D2/$B2</f>
        <v>0.244296116023737</v>
      </c>
      <c r="G2" s="5">
        <f>pima_data!E2/$B2</f>
        <v>0</v>
      </c>
      <c r="H2" s="5">
        <f>pima_data!F2/$B2</f>
        <v>0.224078506421773</v>
      </c>
      <c r="I2" s="5">
        <f>pima_data!G2/$B2</f>
        <v>0.0029568254042873</v>
      </c>
      <c r="J2" s="5">
        <f>pima_data!H2/$B2</f>
        <v>0.261144124025375</v>
      </c>
    </row>
    <row r="3" spans="1:10">
      <c r="A3" s="4" cm="1">
        <f t="array" ref="A3">SUM(POWER(pima_data!A3:H3,2))</f>
        <v>39216.341584</v>
      </c>
      <c r="B3" s="4">
        <f t="shared" si="0"/>
        <v>198.031163163781</v>
      </c>
      <c r="C3" s="5">
        <f>pima_data!A3/$B3</f>
        <v>0.0403976822243054</v>
      </c>
      <c r="D3" s="5">
        <f>pima_data!B3/$B3</f>
        <v>0.924096980880987</v>
      </c>
      <c r="E3" s="5">
        <f>pima_data!C3/$B3</f>
        <v>0.323181457794444</v>
      </c>
      <c r="F3" s="5">
        <f>pima_data!D3/$B3</f>
        <v>0</v>
      </c>
      <c r="G3" s="5">
        <f>pima_data!E3/$B3</f>
        <v>0</v>
      </c>
      <c r="H3" s="5">
        <f>pima_data!F3/$B3</f>
        <v>0.11765824947829</v>
      </c>
      <c r="I3" s="5">
        <f>pima_data!G3/$B3</f>
        <v>0.00339340530684166</v>
      </c>
      <c r="J3" s="5">
        <f>pima_data!H3/$B3</f>
        <v>0.161590728897222</v>
      </c>
    </row>
    <row r="4" spans="1:10">
      <c r="A4" s="4" cm="1">
        <f t="array" ref="A4">SUM(POWER(pima_data!A4:H4,2))</f>
        <v>22873.637889</v>
      </c>
      <c r="B4" s="4">
        <f t="shared" si="0"/>
        <v>151.240331555442</v>
      </c>
      <c r="C4" s="5">
        <f>pima_data!A4/$B4</f>
        <v>0.00661199291032643</v>
      </c>
      <c r="D4" s="5">
        <f>pima_data!B4/$B4</f>
        <v>0.588467369019052</v>
      </c>
      <c r="E4" s="5">
        <f>pima_data!C4/$B4</f>
        <v>0.436391532081544</v>
      </c>
      <c r="F4" s="5">
        <f>pima_data!D4/$B4</f>
        <v>0.152075836937508</v>
      </c>
      <c r="G4" s="5">
        <f>pima_data!E4/$B4</f>
        <v>0.621527333570684</v>
      </c>
      <c r="H4" s="5">
        <f>pima_data!F4/$B4</f>
        <v>0.185797000780173</v>
      </c>
      <c r="I4" s="5">
        <f>pima_data!G4/$B4</f>
        <v>0.00110420281602451</v>
      </c>
      <c r="J4" s="5">
        <f>pima_data!H4/$B4</f>
        <v>0.138851851116855</v>
      </c>
    </row>
    <row r="5" spans="1:10">
      <c r="A5" s="4" cm="1">
        <f t="array" ref="A5">SUM(POWER(pima_data!A5:H5,2))</f>
        <v>52769.844944</v>
      </c>
      <c r="B5" s="4">
        <f t="shared" si="0"/>
        <v>229.716879971847</v>
      </c>
      <c r="C5" s="5">
        <f>pima_data!A5/$B5</f>
        <v>0</v>
      </c>
      <c r="D5" s="5">
        <f>pima_data!B5/$B5</f>
        <v>0.596386299591001</v>
      </c>
      <c r="E5" s="5">
        <f>pima_data!C5/$B5</f>
        <v>0.174127386741898</v>
      </c>
      <c r="F5" s="5">
        <f>pima_data!D5/$B5</f>
        <v>0.152361463399161</v>
      </c>
      <c r="G5" s="5">
        <f>pima_data!E5/$B5</f>
        <v>0.731335024315972</v>
      </c>
      <c r="H5" s="5">
        <f>pima_data!F5/$B5</f>
        <v>0.187622259214395</v>
      </c>
      <c r="I5" s="5">
        <f>pima_data!G5/$B5</f>
        <v>0.00996008652163657</v>
      </c>
      <c r="J5" s="5">
        <f>pima_data!H5/$B5</f>
        <v>0.143655094062066</v>
      </c>
    </row>
    <row r="6" spans="1:10">
      <c r="A6" s="4" cm="1">
        <f t="array" ref="A6">SUM(POWER(pima_data!A6:H6,2))</f>
        <v>20512.400401</v>
      </c>
      <c r="B6" s="4">
        <f t="shared" si="0"/>
        <v>143.2215081648</v>
      </c>
      <c r="C6" s="5">
        <f>pima_data!A6/$B6</f>
        <v>0.0349109576073355</v>
      </c>
      <c r="D6" s="5">
        <f>pima_data!B6/$B6</f>
        <v>0.809934216490183</v>
      </c>
      <c r="E6" s="5">
        <f>pima_data!C6/$B6</f>
        <v>0.516682172588565</v>
      </c>
      <c r="F6" s="5">
        <f>pima_data!D6/$B6</f>
        <v>0</v>
      </c>
      <c r="G6" s="5">
        <f>pima_data!E6/$B6</f>
        <v>0</v>
      </c>
      <c r="H6" s="5">
        <f>pima_data!F6/$B6</f>
        <v>0.178744102949558</v>
      </c>
      <c r="I6" s="5">
        <f>pima_data!G6/$B6</f>
        <v>0.00140342049581489</v>
      </c>
      <c r="J6" s="5">
        <f>pima_data!H6/$B6</f>
        <v>0.209465745644013</v>
      </c>
    </row>
    <row r="7" spans="1:10">
      <c r="A7" s="4" cm="1">
        <f t="array" ref="A7">SUM(POWER(pima_data!A7:H7,2))</f>
        <v>18998.061504</v>
      </c>
      <c r="B7" s="4">
        <f t="shared" si="0"/>
        <v>137.833455677495</v>
      </c>
      <c r="C7" s="5">
        <f>pima_data!A7/$B7</f>
        <v>0.0217653978510083</v>
      </c>
      <c r="D7" s="5">
        <f>pima_data!B7/$B7</f>
        <v>0.565900344126216</v>
      </c>
      <c r="E7" s="5">
        <f>pima_data!C7/$B7</f>
        <v>0.362756630850138</v>
      </c>
      <c r="F7" s="5">
        <f>pima_data!D7/$B7</f>
        <v>0.232164243744089</v>
      </c>
      <c r="G7" s="5">
        <f>pima_data!E7/$B7</f>
        <v>0.638451670296244</v>
      </c>
      <c r="H7" s="5">
        <f>pima_data!F7/$B7</f>
        <v>0.224909111127086</v>
      </c>
      <c r="I7" s="5">
        <f>pima_data!G7/$B7</f>
        <v>0.00179927288901669</v>
      </c>
      <c r="J7" s="5">
        <f>pima_data!H7/$B7</f>
        <v>0.188633448042072</v>
      </c>
    </row>
    <row r="8" spans="1:10">
      <c r="A8" s="4" cm="1">
        <f t="array" ref="A8">SUM(POWER(pima_data!A8:H8,2))</f>
        <v>15412.107956</v>
      </c>
      <c r="B8" s="4">
        <f t="shared" si="0"/>
        <v>124.145511219697</v>
      </c>
      <c r="C8" s="5">
        <f>pima_data!A8/$B8</f>
        <v>0.0805506369239822</v>
      </c>
      <c r="D8" s="5">
        <f>pima_data!B8/$B8</f>
        <v>0.926332324625795</v>
      </c>
      <c r="E8" s="5">
        <f>pima_data!C8/$B8</f>
        <v>0</v>
      </c>
      <c r="F8" s="5">
        <f>pima_data!D8/$B8</f>
        <v>0</v>
      </c>
      <c r="G8" s="5">
        <f>pima_data!E8/$B8</f>
        <v>0</v>
      </c>
      <c r="H8" s="5">
        <f>pima_data!F8/$B8</f>
        <v>0.284343748341657</v>
      </c>
      <c r="I8" s="5">
        <f>pima_data!G8/$B8</f>
        <v>0.00107937853478136</v>
      </c>
      <c r="J8" s="5">
        <f>pima_data!H8/$B8</f>
        <v>0.233596847079548</v>
      </c>
    </row>
    <row r="9" spans="1:10">
      <c r="A9" s="4" cm="1">
        <f t="array" ref="A9">SUM(POWER(pima_data!A9:H9,2))</f>
        <v>344326.274964</v>
      </c>
      <c r="B9" s="4">
        <f t="shared" si="0"/>
        <v>586.793213120261</v>
      </c>
      <c r="C9" s="5">
        <f>pima_data!A9/$B9</f>
        <v>0.00340835571250908</v>
      </c>
      <c r="D9" s="5">
        <f>pima_data!B9/$B9</f>
        <v>0.335723037682145</v>
      </c>
      <c r="E9" s="5">
        <f>pima_data!C9/$B9</f>
        <v>0.119292449937818</v>
      </c>
      <c r="F9" s="5">
        <f>pima_data!D9/$B9</f>
        <v>0.0766880035314543</v>
      </c>
      <c r="G9" s="5">
        <f>pima_data!E9/$B9</f>
        <v>0.925368575946215</v>
      </c>
      <c r="H9" s="5">
        <f>pima_data!F9/$B9</f>
        <v>0.0519774246157635</v>
      </c>
      <c r="I9" s="5">
        <f>pima_data!G9/$B9</f>
        <v>0.000269260101288217</v>
      </c>
      <c r="J9" s="5">
        <f>pima_data!H9/$B9</f>
        <v>0.0903214263814907</v>
      </c>
    </row>
    <row r="10" spans="1:10">
      <c r="A10" s="4" cm="1">
        <f t="array" ref="A10">SUM(POWER(pima_data!A10:H10,2))</f>
        <v>27821.053824</v>
      </c>
      <c r="B10" s="4">
        <f t="shared" si="0"/>
        <v>166.796444278648</v>
      </c>
      <c r="C10" s="5">
        <f>pima_data!A10/$B10</f>
        <v>0.0479626531284763</v>
      </c>
      <c r="D10" s="5">
        <f>pima_data!B10/$B10</f>
        <v>0.749416455132442</v>
      </c>
      <c r="E10" s="5">
        <f>pima_data!C10/$B10</f>
        <v>0.575551837541716</v>
      </c>
      <c r="F10" s="5">
        <f>pima_data!D10/$B10</f>
        <v>0</v>
      </c>
      <c r="G10" s="5">
        <f>pima_data!E10/$B10</f>
        <v>0</v>
      </c>
      <c r="H10" s="5">
        <f>pima_data!F10/$B10</f>
        <v>0</v>
      </c>
      <c r="I10" s="5">
        <f>pima_data!G10/$B10</f>
        <v>0.00139091694072581</v>
      </c>
      <c r="J10" s="5">
        <f>pima_data!H10/$B10</f>
        <v>0.323747908617215</v>
      </c>
    </row>
    <row r="11" spans="1:10">
      <c r="A11" s="4" cm="1">
        <f t="array" ref="A11">SUM(POWER(pima_data!A11:H11,2))</f>
        <v>22893.796481</v>
      </c>
      <c r="B11" s="4">
        <f t="shared" si="0"/>
        <v>151.306961112171</v>
      </c>
      <c r="C11" s="5">
        <f>pima_data!A11/$B11</f>
        <v>0.0264363250084351</v>
      </c>
      <c r="D11" s="5">
        <f>pima_data!B11/$B11</f>
        <v>0.726998937731965</v>
      </c>
      <c r="E11" s="5">
        <f>pima_data!C11/$B11</f>
        <v>0.608035475194007</v>
      </c>
      <c r="F11" s="5">
        <f>pima_data!D11/$B11</f>
        <v>0</v>
      </c>
      <c r="G11" s="5">
        <f>pima_data!E11/$B11</f>
        <v>0</v>
      </c>
      <c r="H11" s="5">
        <f>pima_data!F11/$B11</f>
        <v>0.24850145507929</v>
      </c>
      <c r="I11" s="5">
        <f>pima_data!G11/$B11</f>
        <v>0.00126233451915278</v>
      </c>
      <c r="J11" s="5">
        <f>pima_data!H11/$B11</f>
        <v>0.198272437563263</v>
      </c>
    </row>
    <row r="12" spans="1:10">
      <c r="A12" s="4" cm="1">
        <f t="array" ref="A12">SUM(POWER(pima_data!A12:H12,2))</f>
        <v>36400.288369</v>
      </c>
      <c r="B12" s="4">
        <f t="shared" si="0"/>
        <v>190.788596014018</v>
      </c>
      <c r="C12" s="5">
        <f>pima_data!A12/$B12</f>
        <v>0.0524140342186138</v>
      </c>
      <c r="D12" s="5">
        <f>pima_data!B12/$B12</f>
        <v>0.880555774872712</v>
      </c>
      <c r="E12" s="5">
        <f>pima_data!C12/$B12</f>
        <v>0.387863853217742</v>
      </c>
      <c r="F12" s="5">
        <f>pima_data!D12/$B12</f>
        <v>0</v>
      </c>
      <c r="G12" s="5">
        <f>pima_data!E12/$B12</f>
        <v>0</v>
      </c>
      <c r="H12" s="5">
        <f>pima_data!F12/$B12</f>
        <v>0.199173330030732</v>
      </c>
      <c r="I12" s="5">
        <f>pima_data!G12/$B12</f>
        <v>0.00281463363753956</v>
      </c>
      <c r="J12" s="5">
        <f>pima_data!H12/$B12</f>
        <v>0.178207716343287</v>
      </c>
    </row>
    <row r="13" spans="1:10">
      <c r="A13" s="4" cm="1">
        <f t="array" ref="A13">SUM(POWER(pima_data!A13:H13,2))</f>
        <v>29806.486481</v>
      </c>
      <c r="B13" s="4">
        <f t="shared" si="0"/>
        <v>172.645551581846</v>
      </c>
      <c r="C13" s="5">
        <f>pima_data!A13/$B13</f>
        <v>0.0579221411057283</v>
      </c>
      <c r="D13" s="5">
        <f>pima_data!B13/$B13</f>
        <v>0.805117761369623</v>
      </c>
      <c r="E13" s="5">
        <f>pima_data!C13/$B13</f>
        <v>0.463377128845826</v>
      </c>
      <c r="F13" s="5">
        <f>pima_data!D13/$B13</f>
        <v>0</v>
      </c>
      <c r="G13" s="5">
        <f>pima_data!E13/$B13</f>
        <v>0</v>
      </c>
      <c r="H13" s="5">
        <f>pima_data!F13/$B13</f>
        <v>0.156969002396524</v>
      </c>
      <c r="I13" s="5">
        <f>pima_data!G13/$B13</f>
        <v>0.00834658053333545</v>
      </c>
      <c r="J13" s="5">
        <f>pima_data!H13/$B13</f>
        <v>0.330156204302651</v>
      </c>
    </row>
    <row r="14" spans="1:10">
      <c r="A14" s="4" cm="1">
        <f t="array" ref="A14">SUM(POWER(pima_data!A14:H14,2))</f>
        <v>759954.168404</v>
      </c>
      <c r="B14" s="4">
        <f t="shared" si="0"/>
        <v>871.75350208875</v>
      </c>
      <c r="C14" s="5">
        <f>pima_data!A14/$B14</f>
        <v>0.00114711325805284</v>
      </c>
      <c r="D14" s="5">
        <f>pima_data!B14/$B14</f>
        <v>0.216804405771987</v>
      </c>
      <c r="E14" s="5">
        <f>pima_data!C14/$B14</f>
        <v>0.0688267954831705</v>
      </c>
      <c r="F14" s="5">
        <f>pima_data!D14/$B14</f>
        <v>0.0263836049352153</v>
      </c>
      <c r="G14" s="5">
        <f>pima_data!E14/$B14</f>
        <v>0.970457816312703</v>
      </c>
      <c r="H14" s="5">
        <f>pima_data!F14/$B14</f>
        <v>0.0345281090673905</v>
      </c>
      <c r="I14" s="5">
        <f>pima_data!G14/$B14</f>
        <v>0.000456551076705031</v>
      </c>
      <c r="J14" s="5">
        <f>pima_data!H14/$B14</f>
        <v>0.0676796822251176</v>
      </c>
    </row>
    <row r="15" spans="1:10">
      <c r="A15" s="4" cm="1">
        <f t="array" ref="A15">SUM(POWER(pima_data!A15:H15,2))</f>
        <v>67017.984569</v>
      </c>
      <c r="B15" s="4">
        <f t="shared" si="0"/>
        <v>258.878320005751</v>
      </c>
      <c r="C15" s="5">
        <f>pima_data!A15/$B15</f>
        <v>0.0193140931998049</v>
      </c>
      <c r="D15" s="5">
        <f>pima_data!B15/$B15</f>
        <v>0.641227894233524</v>
      </c>
      <c r="E15" s="5">
        <f>pima_data!C15/$B15</f>
        <v>0.278122942077191</v>
      </c>
      <c r="F15" s="5">
        <f>pima_data!D15/$B15</f>
        <v>0.0733935541592588</v>
      </c>
      <c r="G15" s="5">
        <f>pima_data!E15/$B15</f>
        <v>0.675993261993173</v>
      </c>
      <c r="H15" s="5">
        <f>pima_data!F15/$B15</f>
        <v>0.0996607209109935</v>
      </c>
      <c r="I15" s="5">
        <f>pima_data!G15/$B15</f>
        <v>0.0022674745416571</v>
      </c>
      <c r="J15" s="5">
        <f>pima_data!H15/$B15</f>
        <v>0.19700375063801</v>
      </c>
    </row>
    <row r="16" spans="1:10">
      <c r="A16" s="4" cm="1">
        <f t="array" ref="A16">SUM(POWER(pima_data!A16:H16,2))</f>
        <v>11973.234256</v>
      </c>
      <c r="B16" s="4">
        <f t="shared" si="0"/>
        <v>109.422274953503</v>
      </c>
      <c r="C16" s="5">
        <f>pima_data!A16/$B16</f>
        <v>0.0639723493500252</v>
      </c>
      <c r="D16" s="5">
        <f>pima_data!B16/$B16</f>
        <v>0.91389070500036</v>
      </c>
      <c r="E16" s="5">
        <f>pima_data!C16/$B16</f>
        <v>0</v>
      </c>
      <c r="F16" s="5">
        <f>pima_data!D16/$B16</f>
        <v>0</v>
      </c>
      <c r="G16" s="5">
        <f>pima_data!E16/$B16</f>
        <v>0</v>
      </c>
      <c r="H16" s="5">
        <f>pima_data!F16/$B16</f>
        <v>0.274167211500108</v>
      </c>
      <c r="I16" s="5">
        <f>pima_data!G16/$B16</f>
        <v>0.00442323101220174</v>
      </c>
      <c r="J16" s="5">
        <f>pima_data!H16/$B16</f>
        <v>0.292445025600115</v>
      </c>
    </row>
    <row r="17" spans="1:10">
      <c r="A17" s="4" cm="1">
        <f t="array" ref="A17">SUM(POWER(pima_data!A17:H17,2))</f>
        <v>79147.943601</v>
      </c>
      <c r="B17" s="4">
        <f t="shared" si="0"/>
        <v>281.33244320732</v>
      </c>
      <c r="C17" s="5">
        <f>pima_data!A17/$B17</f>
        <v>0</v>
      </c>
      <c r="D17" s="5">
        <f>pima_data!B17/$B17</f>
        <v>0.419432606686756</v>
      </c>
      <c r="E17" s="5">
        <f>pima_data!C17/$B17</f>
        <v>0.298579143743114</v>
      </c>
      <c r="F17" s="5">
        <f>pima_data!D17/$B17</f>
        <v>0.167062139951504</v>
      </c>
      <c r="G17" s="5">
        <f>pima_data!E17/$B17</f>
        <v>0.817538131677575</v>
      </c>
      <c r="H17" s="5">
        <f>pima_data!F17/$B17</f>
        <v>0.162796723612317</v>
      </c>
      <c r="I17" s="5">
        <f>pima_data!G17/$B17</f>
        <v>0.00195853700241019</v>
      </c>
      <c r="J17" s="5">
        <f>pima_data!H17/$B17</f>
        <v>0.110189922095673</v>
      </c>
    </row>
    <row r="18" spans="1:10">
      <c r="A18" s="4" cm="1">
        <f t="array" ref="A18">SUM(POWER(pima_data!A18:H18,2))</f>
        <v>18811.224516</v>
      </c>
      <c r="B18" s="4">
        <f t="shared" si="0"/>
        <v>137.154017498577</v>
      </c>
      <c r="C18" s="5">
        <f>pima_data!A18/$B18</f>
        <v>0.0510375133566366</v>
      </c>
      <c r="D18" s="5">
        <f>pima_data!B18/$B18</f>
        <v>0.780144847022874</v>
      </c>
      <c r="E18" s="5">
        <f>pima_data!C18/$B18</f>
        <v>0.539539426913016</v>
      </c>
      <c r="F18" s="5">
        <f>pima_data!D18/$B18</f>
        <v>0</v>
      </c>
      <c r="G18" s="5">
        <f>pima_data!E18/$B18</f>
        <v>0</v>
      </c>
      <c r="H18" s="5">
        <f>pima_data!F18/$B18</f>
        <v>0.215815770765206</v>
      </c>
      <c r="I18" s="5">
        <f>pima_data!G18/$B18</f>
        <v>0.00185193262751224</v>
      </c>
      <c r="J18" s="5">
        <f>pima_data!H18/$B18</f>
        <v>0.226023273436534</v>
      </c>
    </row>
    <row r="19" spans="1:10">
      <c r="A19" s="4" cm="1">
        <f t="array" ref="A19">SUM(POWER(pima_data!A19:H19,2))</f>
        <v>22806.923489</v>
      </c>
      <c r="B19" s="4">
        <f t="shared" si="0"/>
        <v>151.019612928255</v>
      </c>
      <c r="C19" s="5">
        <f>pima_data!A19/$B19</f>
        <v>0.00662165648957841</v>
      </c>
      <c r="D19" s="5">
        <f>pima_data!B19/$B19</f>
        <v>0.682030618426576</v>
      </c>
      <c r="E19" s="5">
        <f>pima_data!C19/$B19</f>
        <v>0.198649694687352</v>
      </c>
      <c r="F19" s="5">
        <f>pima_data!D19/$B19</f>
        <v>0.25162294660398</v>
      </c>
      <c r="G19" s="5">
        <f>pima_data!E19/$B19</f>
        <v>0.549597488635008</v>
      </c>
      <c r="H19" s="5">
        <f>pima_data!F19/$B19</f>
        <v>0.286717725998745</v>
      </c>
      <c r="I19" s="5">
        <f>pima_data!G19/$B19</f>
        <v>0.00121176313759285</v>
      </c>
      <c r="J19" s="5">
        <f>pima_data!H19/$B19</f>
        <v>0.218514664156088</v>
      </c>
    </row>
    <row r="20" spans="1:10">
      <c r="A20" s="4" cm="1">
        <f t="array" ref="A20">SUM(POWER(pima_data!A20:H20,2))</f>
        <v>30463.439841</v>
      </c>
      <c r="B20" s="4">
        <f t="shared" si="0"/>
        <v>174.53778914894</v>
      </c>
      <c r="C20" s="5">
        <f>pima_data!A20/$B20</f>
        <v>0.00572941828171467</v>
      </c>
      <c r="D20" s="5">
        <f>pima_data!B20/$B20</f>
        <v>0.658883102397187</v>
      </c>
      <c r="E20" s="5">
        <f>pima_data!C20/$B20</f>
        <v>0.401059279720027</v>
      </c>
      <c r="F20" s="5">
        <f>pima_data!D20/$B20</f>
        <v>0.17188254845144</v>
      </c>
      <c r="G20" s="5">
        <f>pima_data!E20/$B20</f>
        <v>0.550024155044608</v>
      </c>
      <c r="H20" s="5">
        <f>pima_data!F20/$B20</f>
        <v>0.198237872547328</v>
      </c>
      <c r="I20" s="5">
        <f>pima_data!G20/$B20</f>
        <v>0.00303086227102706</v>
      </c>
      <c r="J20" s="5">
        <f>pima_data!H20/$B20</f>
        <v>0.183341385014869</v>
      </c>
    </row>
    <row r="21" spans="1:10">
      <c r="A21" s="4" cm="1">
        <f t="array" ref="A21">SUM(POWER(pima_data!A21:H21,2))</f>
        <v>82808.985616</v>
      </c>
      <c r="B21" s="4">
        <f t="shared" si="0"/>
        <v>287.765504562309</v>
      </c>
      <c r="C21" s="5">
        <f>pima_data!A21/$B21</f>
        <v>0.010425155039215</v>
      </c>
      <c r="D21" s="5">
        <f>pima_data!B21/$B21</f>
        <v>0.43785651164703</v>
      </c>
      <c r="E21" s="5">
        <f>pima_data!C21/$B21</f>
        <v>0.305804547816974</v>
      </c>
      <c r="F21" s="5">
        <f>pima_data!D21/$B21</f>
        <v>0.142477118869272</v>
      </c>
      <c r="G21" s="5">
        <f>pima_data!E21/$B21</f>
        <v>0.816637144738509</v>
      </c>
      <c r="H21" s="5">
        <f>pima_data!F21/$B21</f>
        <v>0.136569531013717</v>
      </c>
      <c r="I21" s="5">
        <f>pima_data!G21/$B21</f>
        <v>0.00244643638253579</v>
      </c>
      <c r="J21" s="5">
        <f>pima_data!H21/$B21</f>
        <v>0.0938263953529351</v>
      </c>
    </row>
    <row r="22" spans="1:10">
      <c r="A22" s="4" cm="1">
        <f t="array" ref="A22">SUM(POWER(pima_data!A22:H22,2))</f>
        <v>20674.310544</v>
      </c>
      <c r="B22" s="4">
        <f t="shared" si="0"/>
        <v>143.785640952078</v>
      </c>
      <c r="C22" s="5">
        <f>pima_data!A22/$B22</f>
        <v>0.0556383790970218</v>
      </c>
      <c r="D22" s="5">
        <f>pima_data!B22/$B22</f>
        <v>0.688524941325645</v>
      </c>
      <c r="E22" s="5">
        <f>pima_data!C22/$B22</f>
        <v>0.584202980518729</v>
      </c>
      <c r="F22" s="5">
        <f>pima_data!D22/$B22</f>
        <v>0</v>
      </c>
      <c r="G22" s="5">
        <f>pima_data!E22/$B22</f>
        <v>0</v>
      </c>
      <c r="H22" s="5">
        <f>pima_data!F22/$B22</f>
        <v>0.246199827504321</v>
      </c>
      <c r="I22" s="5">
        <f>pima_data!G22/$B22</f>
        <v>0.00269846138620556</v>
      </c>
      <c r="J22" s="5">
        <f>pima_data!H22/$B22</f>
        <v>0.347739869356386</v>
      </c>
    </row>
    <row r="23" spans="1:10">
      <c r="A23" s="4" cm="1">
        <f t="array" ref="A23">SUM(POWER(pima_data!A23:H23,2))</f>
        <v>49830.243401</v>
      </c>
      <c r="B23" s="4">
        <f t="shared" si="0"/>
        <v>223.226887719647</v>
      </c>
      <c r="C23" s="5">
        <f>pima_data!A23/$B23</f>
        <v>0.0313582296089321</v>
      </c>
      <c r="D23" s="5">
        <f>pima_data!B23/$B23</f>
        <v>0.878030429050098</v>
      </c>
      <c r="E23" s="5">
        <f>pima_data!C23/$B23</f>
        <v>0.403177237829127</v>
      </c>
      <c r="F23" s="5">
        <f>pima_data!D23/$B23</f>
        <v>0</v>
      </c>
      <c r="G23" s="5">
        <f>pima_data!E23/$B23</f>
        <v>0</v>
      </c>
      <c r="H23" s="5">
        <f>pima_data!F23/$B23</f>
        <v>0.178293934062214</v>
      </c>
      <c r="I23" s="5">
        <f>pima_data!G23/$B23</f>
        <v>0.00202036593623262</v>
      </c>
      <c r="J23" s="5">
        <f>pima_data!H23/$B23</f>
        <v>0.183669630566602</v>
      </c>
    </row>
    <row r="24" spans="1:10">
      <c r="A24" s="4" cm="1">
        <f t="array" ref="A24">SUM(POWER(pima_data!A24:H24,2))</f>
        <v>23549.069169</v>
      </c>
      <c r="B24" s="4">
        <f t="shared" si="0"/>
        <v>153.457059690977</v>
      </c>
      <c r="C24" s="5">
        <f>pima_data!A24/$B24</f>
        <v>0.0586483281911155</v>
      </c>
      <c r="D24" s="5">
        <f>pima_data!B24/$B24</f>
        <v>0.775461228304749</v>
      </c>
      <c r="E24" s="5">
        <f>pima_data!C24/$B24</f>
        <v>0.521318472809915</v>
      </c>
      <c r="F24" s="5">
        <f>pima_data!D24/$B24</f>
        <v>0.228076831854338</v>
      </c>
      <c r="G24" s="5">
        <f>pima_data!E24/$B24</f>
        <v>0</v>
      </c>
      <c r="H24" s="5">
        <f>pima_data!F24/$B24</f>
        <v>0.188977946393594</v>
      </c>
      <c r="I24" s="5">
        <f>pima_data!G24/$B24</f>
        <v>0.0017138344793626</v>
      </c>
      <c r="J24" s="5">
        <f>pima_data!H24/$B24</f>
        <v>0.188977946393594</v>
      </c>
    </row>
    <row r="25" spans="1:10">
      <c r="A25" s="4" cm="1">
        <f t="array" ref="A25">SUM(POWER(pima_data!A25:H25,2))</f>
        <v>55751.624516</v>
      </c>
      <c r="B25" s="4">
        <f t="shared" si="0"/>
        <v>236.117819141208</v>
      </c>
      <c r="C25" s="5">
        <f>pima_data!A25/$B25</f>
        <v>0.0465869117375744</v>
      </c>
      <c r="D25" s="5">
        <f>pima_data!B25/$B25</f>
        <v>0.605629852588468</v>
      </c>
      <c r="E25" s="5">
        <f>pima_data!C25/$B25</f>
        <v>0.398106336666545</v>
      </c>
      <c r="F25" s="5">
        <f>pima_data!D25/$B25</f>
        <v>0.139760735212723</v>
      </c>
      <c r="G25" s="5">
        <f>pima_data!E25/$B25</f>
        <v>0.618335373971443</v>
      </c>
      <c r="H25" s="5">
        <f>pima_data!F25/$B25</f>
        <v>0.155007360872293</v>
      </c>
      <c r="I25" s="5">
        <f>pima_data!G25/$B25</f>
        <v>0.00107573414375854</v>
      </c>
      <c r="J25" s="5">
        <f>pima_data!H25/$B25</f>
        <v>0.215993863510572</v>
      </c>
    </row>
    <row r="26" spans="1:10">
      <c r="A26" s="4" cm="1">
        <f t="array" ref="A26">SUM(POWER(pima_data!A26:H26,2))</f>
        <v>37174.252025</v>
      </c>
      <c r="B26" s="4">
        <f t="shared" si="0"/>
        <v>192.806255150086</v>
      </c>
      <c r="C26" s="5">
        <f>pima_data!A26/$B26</f>
        <v>0.0518655372058117</v>
      </c>
      <c r="D26" s="5">
        <f>pima_data!B26/$B26</f>
        <v>0.648319215072646</v>
      </c>
      <c r="E26" s="5">
        <f>pima_data!C26/$B26</f>
        <v>0.363058760440682</v>
      </c>
      <c r="F26" s="5">
        <f>pima_data!D26/$B26</f>
        <v>0.13485039673511</v>
      </c>
      <c r="G26" s="5">
        <f>pima_data!E26/$B26</f>
        <v>0.596453677866835</v>
      </c>
      <c r="H26" s="5">
        <f>pima_data!F26/$B26</f>
        <v>0.161301820710074</v>
      </c>
      <c r="I26" s="5">
        <f>pima_data!G26/$B26</f>
        <v>0.00106324351271914</v>
      </c>
      <c r="J26" s="5">
        <f>pima_data!H26/$B26</f>
        <v>0.212648702543828</v>
      </c>
    </row>
    <row r="27" spans="1:10">
      <c r="A27" s="4" cm="1">
        <f t="array" ref="A27">SUM(POWER(pima_data!A27:H27,2))</f>
        <v>30835.426049</v>
      </c>
      <c r="B27" s="4">
        <f t="shared" si="0"/>
        <v>175.600188066528</v>
      </c>
      <c r="C27" s="5">
        <f>pima_data!A27/$B27</f>
        <v>0.0398632830469861</v>
      </c>
      <c r="D27" s="5">
        <f>pima_data!B27/$B27</f>
        <v>0.837128943986708</v>
      </c>
      <c r="E27" s="5">
        <f>pima_data!C27/$B27</f>
        <v>0.432801358795849</v>
      </c>
      <c r="F27" s="5">
        <f>pima_data!D27/$B27</f>
        <v>0</v>
      </c>
      <c r="G27" s="5">
        <f>pima_data!E27/$B27</f>
        <v>0</v>
      </c>
      <c r="H27" s="5">
        <f>pima_data!F27/$B27</f>
        <v>0.224373336007322</v>
      </c>
      <c r="I27" s="5">
        <f>pima_data!G27/$B27</f>
        <v>0.00146355196329649</v>
      </c>
      <c r="J27" s="5">
        <f>pima_data!H27/$B27</f>
        <v>0.244874453002915</v>
      </c>
    </row>
    <row r="28" spans="1:10">
      <c r="A28" s="4" cm="1">
        <f t="array" ref="A28">SUM(POWER(pima_data!A28:H28,2))</f>
        <v>34613.477169</v>
      </c>
      <c r="B28" s="4">
        <f t="shared" si="0"/>
        <v>186.046975705062</v>
      </c>
      <c r="C28" s="5">
        <f>pima_data!A28/$B28</f>
        <v>0.00537498659255438</v>
      </c>
      <c r="D28" s="5">
        <f>pima_data!B28/$B28</f>
        <v>0.521373699477775</v>
      </c>
      <c r="E28" s="5">
        <f>pima_data!C28/$B28</f>
        <v>0.354749115108589</v>
      </c>
      <c r="F28" s="5">
        <f>pima_data!D28/$B28</f>
        <v>0.0806247988883157</v>
      </c>
      <c r="G28" s="5">
        <f>pima_data!E28/$B28</f>
        <v>0.752498122957613</v>
      </c>
      <c r="H28" s="5">
        <f>pima_data!F28/$B28</f>
        <v>0.124699688947262</v>
      </c>
      <c r="I28" s="5">
        <f>pima_data!G28/$B28</f>
        <v>0.00261761847057398</v>
      </c>
      <c r="J28" s="5">
        <f>pima_data!H28/$B28</f>
        <v>0.118249705036196</v>
      </c>
    </row>
    <row r="29" spans="1:10">
      <c r="A29" s="4" cm="1">
        <f t="array" ref="A29">SUM(POWER(pima_data!A29:H29,2))</f>
        <v>44120.900025</v>
      </c>
      <c r="B29" s="4">
        <f t="shared" si="0"/>
        <v>210.049756069842</v>
      </c>
      <c r="C29" s="5">
        <f>pima_data!A29/$B29</f>
        <v>0.0618900980569456</v>
      </c>
      <c r="D29" s="5">
        <f>pima_data!B29/$B29</f>
        <v>0.690312632173624</v>
      </c>
      <c r="E29" s="5">
        <f>pima_data!C29/$B29</f>
        <v>0.390383695436118</v>
      </c>
      <c r="F29" s="5">
        <f>pima_data!D29/$B29</f>
        <v>0.0904547586986128</v>
      </c>
      <c r="G29" s="5">
        <f>pima_data!E29/$B29</f>
        <v>0.523685445097232</v>
      </c>
      <c r="H29" s="5">
        <f>pima_data!F29/$B29</f>
        <v>0.105689244374169</v>
      </c>
      <c r="I29" s="5">
        <f>pima_data!G29/$B29</f>
        <v>0.00116639030953474</v>
      </c>
      <c r="J29" s="5">
        <f>pima_data!H29/$B29</f>
        <v>0.271364276095838</v>
      </c>
    </row>
    <row r="30" spans="1:10">
      <c r="A30" s="4" cm="1">
        <f t="array" ref="A30">SUM(POWER(pima_data!A30:H30,2))</f>
        <v>24784.923569</v>
      </c>
      <c r="B30" s="4">
        <f t="shared" si="0"/>
        <v>157.432282486789</v>
      </c>
      <c r="C30" s="5">
        <f>pima_data!A30/$B30</f>
        <v>0.0317596869016975</v>
      </c>
      <c r="D30" s="5">
        <f>pima_data!B30/$B30</f>
        <v>0.743176673499721</v>
      </c>
      <c r="E30" s="5">
        <f>pima_data!C30/$B30</f>
        <v>0.584378238991234</v>
      </c>
      <c r="F30" s="5">
        <f>pima_data!D30/$B30</f>
        <v>0</v>
      </c>
      <c r="G30" s="5">
        <f>pima_data!E30/$B30</f>
        <v>0</v>
      </c>
      <c r="H30" s="5">
        <f>pima_data!F30/$B30</f>
        <v>0.216601064669577</v>
      </c>
      <c r="I30" s="5">
        <f>pima_data!G30/$B30</f>
        <v>0.00214060289717441</v>
      </c>
      <c r="J30" s="5">
        <f>pima_data!H30/$B30</f>
        <v>0.241373620452901</v>
      </c>
    </row>
    <row r="31" spans="1:10">
      <c r="A31" s="4" cm="1">
        <f t="array" ref="A31">SUM(POWER(pima_data!A31:H31,2))</f>
        <v>23103.298116</v>
      </c>
      <c r="B31" s="4">
        <f t="shared" si="0"/>
        <v>151.997691153517</v>
      </c>
      <c r="C31" s="5">
        <f>pima_data!A31/$B31</f>
        <v>0.0328952365134942</v>
      </c>
      <c r="D31" s="5">
        <f>pima_data!B31/$B31</f>
        <v>0.717116155994175</v>
      </c>
      <c r="E31" s="5">
        <f>pima_data!C31/$B31</f>
        <v>0.493428547702414</v>
      </c>
      <c r="F31" s="5">
        <f>pima_data!D31/$B31</f>
        <v>0.17105522987017</v>
      </c>
      <c r="G31" s="5">
        <f>pima_data!E31/$B31</f>
        <v>0</v>
      </c>
      <c r="H31" s="5">
        <f>pima_data!F31/$B31</f>
        <v>0.236845702897159</v>
      </c>
      <c r="I31" s="5">
        <f>pima_data!G31/$B31</f>
        <v>0.00359215982727357</v>
      </c>
      <c r="J31" s="5">
        <f>pima_data!H31/$B31</f>
        <v>0.394742838161931</v>
      </c>
    </row>
    <row r="32" spans="1:10">
      <c r="A32" s="4" cm="1">
        <f t="array" ref="A32">SUM(POWER(pima_data!A32:H32,2))</f>
        <v>93853.284201</v>
      </c>
      <c r="B32" s="4">
        <f t="shared" si="0"/>
        <v>306.354833813668</v>
      </c>
      <c r="C32" s="5">
        <f>pima_data!A32/$B32</f>
        <v>0.00979256622999678</v>
      </c>
      <c r="D32" s="5">
        <f>pima_data!B32/$B32</f>
        <v>0.515741821446497</v>
      </c>
      <c r="E32" s="5">
        <f>pima_data!C32/$B32</f>
        <v>0.248078344493252</v>
      </c>
      <c r="F32" s="5">
        <f>pima_data!D32/$B32</f>
        <v>0.117510794759961</v>
      </c>
      <c r="G32" s="5">
        <f>pima_data!E32/$B32</f>
        <v>0.799726242116404</v>
      </c>
      <c r="H32" s="5">
        <f>pima_data!F32/$B32</f>
        <v>0.103148364289299</v>
      </c>
      <c r="I32" s="5">
        <f>pima_data!G32/$B32</f>
        <v>0.00277782462057575</v>
      </c>
      <c r="J32" s="5">
        <f>pima_data!H32/$B32</f>
        <v>0.0913972848133033</v>
      </c>
    </row>
    <row r="33" spans="1:10">
      <c r="A33" s="4" cm="1">
        <f t="array" ref="A33">SUM(POWER(pima_data!A33:H33,2))</f>
        <v>15253.111289</v>
      </c>
      <c r="B33" s="4">
        <f t="shared" si="0"/>
        <v>123.503486950774</v>
      </c>
      <c r="C33" s="5">
        <f>pima_data!A33/$B33</f>
        <v>0.0242908121387353</v>
      </c>
      <c r="D33" s="5">
        <f>pima_data!B33/$B33</f>
        <v>0.712530489402903</v>
      </c>
      <c r="E33" s="5">
        <f>pima_data!C33/$B33</f>
        <v>0.46962236801555</v>
      </c>
      <c r="F33" s="5">
        <f>pima_data!D33/$B33</f>
        <v>0.0890663111753628</v>
      </c>
      <c r="G33" s="5">
        <f>pima_data!E33/$B33</f>
        <v>0.437234618497236</v>
      </c>
      <c r="H33" s="5">
        <f>pima_data!F33/$B33</f>
        <v>0.200804047013545</v>
      </c>
      <c r="I33" s="5">
        <f>pima_data!G33/$B33</f>
        <v>0.00216188228034744</v>
      </c>
      <c r="J33" s="5">
        <f>pima_data!H33/$B33</f>
        <v>0.178132622350726</v>
      </c>
    </row>
    <row r="34" spans="1:10">
      <c r="A34" s="4" cm="1">
        <f t="array" ref="A34">SUM(POWER(pima_data!A34:H34,2))</f>
        <v>18144.045344</v>
      </c>
      <c r="B34" s="4">
        <f t="shared" si="0"/>
        <v>134.699834238948</v>
      </c>
      <c r="C34" s="5">
        <f>pima_data!A34/$B34</f>
        <v>0.0445434846590563</v>
      </c>
      <c r="D34" s="5">
        <f>pima_data!B34/$B34</f>
        <v>0.68300009810553</v>
      </c>
      <c r="E34" s="5">
        <f>pima_data!C34/$B34</f>
        <v>0.68300009810553</v>
      </c>
      <c r="F34" s="5">
        <f>pima_data!D34/$B34</f>
        <v>0</v>
      </c>
      <c r="G34" s="5">
        <f>pima_data!E34/$B34</f>
        <v>0</v>
      </c>
      <c r="H34" s="5">
        <f>pima_data!F34/$B34</f>
        <v>0.14773589078587</v>
      </c>
      <c r="I34" s="5">
        <f>pima_data!G34/$B34</f>
        <v>0.00139569585265043</v>
      </c>
      <c r="J34" s="5">
        <f>pima_data!H34/$B34</f>
        <v>0.207869595075596</v>
      </c>
    </row>
    <row r="35" spans="1:10">
      <c r="A35" s="4" cm="1">
        <f t="array" ref="A35">SUM(POWER(pima_data!A35:H35,2))</f>
        <v>24816.022144</v>
      </c>
      <c r="B35" s="4">
        <f t="shared" si="0"/>
        <v>157.531019624708</v>
      </c>
      <c r="C35" s="5">
        <f>pima_data!A35/$B35</f>
        <v>0.0634795611926045</v>
      </c>
      <c r="D35" s="5">
        <f>pima_data!B35/$B35</f>
        <v>0.774450646549775</v>
      </c>
      <c r="E35" s="5">
        <f>pima_data!C35/$B35</f>
        <v>0.495140577302315</v>
      </c>
      <c r="F35" s="5">
        <f>pima_data!D35/$B35</f>
        <v>0.196786639697074</v>
      </c>
      <c r="G35" s="5">
        <f>pima_data!E35/$B35</f>
        <v>0</v>
      </c>
      <c r="H35" s="5">
        <f>pima_data!F35/$B35</f>
        <v>0.175203588891588</v>
      </c>
      <c r="I35" s="5">
        <f>pima_data!G35/$B35</f>
        <v>0.00325015353306135</v>
      </c>
      <c r="J35" s="5">
        <f>pima_data!H35/$B35</f>
        <v>0.28565802536672</v>
      </c>
    </row>
    <row r="36" spans="1:10">
      <c r="A36" s="4" cm="1">
        <f t="array" ref="A36">SUM(POWER(pima_data!A36:H36,2))</f>
        <v>53843.933156</v>
      </c>
      <c r="B36" s="4">
        <f t="shared" si="0"/>
        <v>232.042955411277</v>
      </c>
      <c r="C36" s="5">
        <f>pima_data!A36/$B36</f>
        <v>0.0172381876144886</v>
      </c>
      <c r="D36" s="5">
        <f>pima_data!B36/$B36</f>
        <v>0.44388333107308</v>
      </c>
      <c r="E36" s="5">
        <f>pima_data!C36/$B36</f>
        <v>0.258572814217328</v>
      </c>
      <c r="F36" s="5">
        <f>pima_data!D36/$B36</f>
        <v>0.142215047819531</v>
      </c>
      <c r="G36" s="5">
        <f>pima_data!E36/$B36</f>
        <v>0.827433005495451</v>
      </c>
      <c r="H36" s="5">
        <f>pima_data!F36/$B36</f>
        <v>0.103429125686931</v>
      </c>
      <c r="I36" s="5">
        <f>pima_data!G36/$B36</f>
        <v>0.00416302230889899</v>
      </c>
      <c r="J36" s="5">
        <f>pima_data!H36/$B36</f>
        <v>0.142215047819531</v>
      </c>
    </row>
    <row r="37" spans="1:10">
      <c r="A37" s="4" cm="1">
        <f t="array" ref="A37">SUM(POWER(pima_data!A37:H37,2))</f>
        <v>27268.4164</v>
      </c>
      <c r="B37" s="4">
        <f t="shared" si="0"/>
        <v>165.131512437814</v>
      </c>
      <c r="C37" s="5">
        <f>pima_data!A37/$B37</f>
        <v>0.0666135726464833</v>
      </c>
      <c r="D37" s="5">
        <f>pima_data!B37/$B37</f>
        <v>0.835697547746791</v>
      </c>
      <c r="E37" s="5">
        <f>pima_data!C37/$B37</f>
        <v>0.460239229193885</v>
      </c>
      <c r="F37" s="5">
        <f>pima_data!D37/$B37</f>
        <v>0</v>
      </c>
      <c r="G37" s="5">
        <f>pima_data!E37/$B37</f>
        <v>0</v>
      </c>
      <c r="H37" s="5">
        <f>pima_data!F37/$B37</f>
        <v>0.20105187380575</v>
      </c>
      <c r="I37" s="5">
        <f>pima_data!G37/$B37</f>
        <v>0.00254342731922936</v>
      </c>
      <c r="J37" s="5">
        <f>pima_data!H37/$B37</f>
        <v>0.211952276602447</v>
      </c>
    </row>
    <row r="38" spans="1:10">
      <c r="A38" s="4" cm="1">
        <f t="array" ref="A38">SUM(POWER(pima_data!A38:H38,2))</f>
        <v>20828.852225</v>
      </c>
      <c r="B38" s="4">
        <f t="shared" si="0"/>
        <v>144.322043447978</v>
      </c>
      <c r="C38" s="5">
        <f>pima_data!A38/$B38</f>
        <v>0.0623605360967892</v>
      </c>
      <c r="D38" s="5">
        <f>pima_data!B38/$B38</f>
        <v>0.706752742430278</v>
      </c>
      <c r="E38" s="5">
        <f>pima_data!C38/$B38</f>
        <v>0.526600082595109</v>
      </c>
      <c r="F38" s="5">
        <f>pima_data!D38/$B38</f>
        <v>0.256371092842356</v>
      </c>
      <c r="G38" s="5">
        <f>pima_data!E38/$B38</f>
        <v>0</v>
      </c>
      <c r="H38" s="5">
        <f>pima_data!F38/$B38</f>
        <v>0.227962404176041</v>
      </c>
      <c r="I38" s="5">
        <f>pima_data!G38/$B38</f>
        <v>0.0046077507227072</v>
      </c>
      <c r="J38" s="5">
        <f>pima_data!H38/$B38</f>
        <v>0.318731628939145</v>
      </c>
    </row>
    <row r="39" spans="1:10">
      <c r="A39" s="4" cm="1">
        <f t="array" ref="A39">SUM(POWER(pima_data!A39:H39,2))</f>
        <v>16680.493009</v>
      </c>
      <c r="B39" s="4">
        <f t="shared" si="0"/>
        <v>129.152982965938</v>
      </c>
      <c r="C39" s="5">
        <f>pima_data!A39/$B39</f>
        <v>0.0154855114769394</v>
      </c>
      <c r="D39" s="5">
        <f>pima_data!B39/$B39</f>
        <v>0.696848016462273</v>
      </c>
      <c r="E39" s="5">
        <f>pima_data!C39/$B39</f>
        <v>0.52650739021594</v>
      </c>
      <c r="F39" s="5">
        <f>pima_data!D39/$B39</f>
        <v>0.325195741015728</v>
      </c>
      <c r="G39" s="5">
        <f>pima_data!E39/$B39</f>
        <v>0</v>
      </c>
      <c r="H39" s="5">
        <f>pima_data!F39/$B39</f>
        <v>0.295773269209543</v>
      </c>
      <c r="I39" s="5">
        <f>pima_data!G39/$B39</f>
        <v>0.00389460613645026</v>
      </c>
      <c r="J39" s="5">
        <f>pima_data!H39/$B39</f>
        <v>0.209054404938682</v>
      </c>
    </row>
    <row r="40" spans="1:10">
      <c r="A40" s="4" cm="1">
        <f t="array" ref="A40">SUM(POWER(pima_data!A40:H40,2))</f>
        <v>67093.3421</v>
      </c>
      <c r="B40" s="4">
        <f t="shared" si="0"/>
        <v>259.023825352032</v>
      </c>
      <c r="C40" s="5">
        <f>pima_data!A40/$B40</f>
        <v>0.0154425948831684</v>
      </c>
      <c r="D40" s="5">
        <f>pima_data!B40/$B40</f>
        <v>0.428532008007924</v>
      </c>
      <c r="E40" s="5">
        <f>pima_data!C40/$B40</f>
        <v>0.277966707897032</v>
      </c>
      <c r="F40" s="5">
        <f>pima_data!D40/$B40</f>
        <v>0.181450489877229</v>
      </c>
      <c r="G40" s="5">
        <f>pima_data!E40/$B40</f>
        <v>0.799154285203966</v>
      </c>
      <c r="H40" s="5">
        <f>pima_data!F40/$B40</f>
        <v>0.143230067541387</v>
      </c>
      <c r="I40" s="5">
        <f>pima_data!G40/$B40</f>
        <v>0.00536630172190103</v>
      </c>
      <c r="J40" s="5">
        <f>pima_data!H40/$B40</f>
        <v>0.216196328364358</v>
      </c>
    </row>
    <row r="41" spans="1:10">
      <c r="A41" s="4" cm="1">
        <f t="array" ref="A41">SUM(POWER(pima_data!A41:H41,2))</f>
        <v>43862.073441</v>
      </c>
      <c r="B41" s="4">
        <f t="shared" si="0"/>
        <v>209.432742046224</v>
      </c>
      <c r="C41" s="5">
        <f>pima_data!A41/$B41</f>
        <v>0.0143244077821312</v>
      </c>
      <c r="D41" s="5">
        <f>pima_data!B41/$B41</f>
        <v>0.859464466927872</v>
      </c>
      <c r="E41" s="5">
        <f>pima_data!C41/$B41</f>
        <v>0.305587366018799</v>
      </c>
      <c r="F41" s="5">
        <f>pima_data!D41/$B41</f>
        <v>0.119370064851093</v>
      </c>
      <c r="G41" s="5">
        <f>pima_data!E41/$B41</f>
        <v>0.334236181583061</v>
      </c>
      <c r="H41" s="5">
        <f>pima_data!F41/$B41</f>
        <v>0.162343288197487</v>
      </c>
      <c r="I41" s="5">
        <f>pima_data!G41/$B41</f>
        <v>0.00129397150298585</v>
      </c>
      <c r="J41" s="5">
        <f>pima_data!H41/$B41</f>
        <v>0.124144867445137</v>
      </c>
    </row>
    <row r="42" spans="1:10">
      <c r="A42" s="4" cm="1">
        <f t="array" ref="A42">SUM(POWER(pima_data!A42:H42,2))</f>
        <v>27779.524416</v>
      </c>
      <c r="B42" s="4">
        <f t="shared" si="0"/>
        <v>166.671906498966</v>
      </c>
      <c r="C42" s="5">
        <f>pima_data!A42/$B42</f>
        <v>0.0419986796037725</v>
      </c>
      <c r="D42" s="5">
        <f>pima_data!B42/$B42</f>
        <v>0.797974912471678</v>
      </c>
      <c r="E42" s="5">
        <f>pima_data!C42/$B42</f>
        <v>0.503984155245271</v>
      </c>
      <c r="F42" s="5">
        <f>pima_data!D42/$B42</f>
        <v>0</v>
      </c>
      <c r="G42" s="5">
        <f>pima_data!E42/$B42</f>
        <v>0</v>
      </c>
      <c r="H42" s="5">
        <f>pima_data!F42/$B42</f>
        <v>0.241192417153094</v>
      </c>
      <c r="I42" s="5">
        <f>pima_data!G42/$B42</f>
        <v>0.00417586871488938</v>
      </c>
      <c r="J42" s="5">
        <f>pima_data!H42/$B42</f>
        <v>0.221993020762798</v>
      </c>
    </row>
    <row r="43" spans="1:10">
      <c r="A43" s="4" cm="1">
        <f t="array" ref="A43">SUM(POWER(pima_data!A43:H43,2))</f>
        <v>22892.345225</v>
      </c>
      <c r="B43" s="4">
        <f t="shared" si="0"/>
        <v>151.302165301756</v>
      </c>
      <c r="C43" s="5">
        <f>pima_data!A43/$B43</f>
        <v>0.0462650351767222</v>
      </c>
      <c r="D43" s="5">
        <f>pima_data!B43/$B43</f>
        <v>0.700584818390365</v>
      </c>
      <c r="E43" s="5">
        <f>pima_data!C43/$B43</f>
        <v>0.608054748036921</v>
      </c>
      <c r="F43" s="5">
        <f>pima_data!D43/$B43</f>
        <v>0.118967233311571</v>
      </c>
      <c r="G43" s="5">
        <f>pima_data!E43/$B43</f>
        <v>0</v>
      </c>
      <c r="H43" s="5">
        <f>pima_data!F43/$B43</f>
        <v>0.150030899787371</v>
      </c>
      <c r="I43" s="5">
        <f>pima_data!G43/$B43</f>
        <v>0.00155318332378996</v>
      </c>
      <c r="J43" s="5">
        <f>pima_data!H43/$B43</f>
        <v>0.317245955497524</v>
      </c>
    </row>
    <row r="44" spans="1:10">
      <c r="A44" s="4" cm="1">
        <f t="array" ref="A44">SUM(POWER(pima_data!A44:H44,2))</f>
        <v>104575.679841</v>
      </c>
      <c r="B44" s="4">
        <f t="shared" si="0"/>
        <v>323.38163188561</v>
      </c>
      <c r="C44" s="5">
        <f>pima_data!A44/$B44</f>
        <v>0.0278308942518528</v>
      </c>
      <c r="D44" s="5">
        <f>pima_data!B44/$B44</f>
        <v>0.528786990785204</v>
      </c>
      <c r="E44" s="5">
        <f>pima_data!C44/$B44</f>
        <v>0.340155374189312</v>
      </c>
      <c r="F44" s="5">
        <f>pima_data!D44/$B44</f>
        <v>0.0742157180049408</v>
      </c>
      <c r="G44" s="5">
        <f>pima_data!E44/$B44</f>
        <v>0.742157180049408</v>
      </c>
      <c r="H44" s="5">
        <f>pima_data!F44/$B44</f>
        <v>0.14039139989268</v>
      </c>
      <c r="I44" s="5">
        <f>pima_data!G44/$B44</f>
        <v>0.00222956386173176</v>
      </c>
      <c r="J44" s="5">
        <f>pima_data!H44/$B44</f>
        <v>0.166985365511117</v>
      </c>
    </row>
    <row r="45" spans="1:10">
      <c r="A45" s="4" cm="1">
        <f t="array" ref="A45">SUM(POWER(pima_data!A45:H45,2))</f>
        <v>31776.846436</v>
      </c>
      <c r="B45" s="4">
        <f t="shared" si="0"/>
        <v>178.26061381023</v>
      </c>
      <c r="C45" s="5">
        <f>pima_data!A45/$B45</f>
        <v>0.0392683490221342</v>
      </c>
      <c r="D45" s="5">
        <f>pima_data!B45/$B45</f>
        <v>0.891952499217049</v>
      </c>
      <c r="E45" s="5">
        <f>pima_data!C45/$B45</f>
        <v>0.359024905345227</v>
      </c>
      <c r="F45" s="5">
        <f>pima_data!D45/$B45</f>
        <v>0</v>
      </c>
      <c r="G45" s="5">
        <f>pima_data!E45/$B45</f>
        <v>0</v>
      </c>
      <c r="H45" s="5">
        <f>pima_data!F45/$B45</f>
        <v>0.153707537600925</v>
      </c>
      <c r="I45" s="5">
        <f>pima_data!G45/$B45</f>
        <v>0.00164927065892964</v>
      </c>
      <c r="J45" s="5">
        <f>pima_data!H45/$B45</f>
        <v>0.224390565840767</v>
      </c>
    </row>
    <row r="46" spans="1:10">
      <c r="A46" s="4" cm="1">
        <f t="array" ref="A46">SUM(POWER(pima_data!A46:H46,2))</f>
        <v>40669.583449</v>
      </c>
      <c r="B46" s="4">
        <f t="shared" si="0"/>
        <v>201.667011305766</v>
      </c>
      <c r="C46" s="5">
        <f>pima_data!A46/$B46</f>
        <v>0</v>
      </c>
      <c r="D46" s="5">
        <f>pima_data!B46/$B46</f>
        <v>0.89256045812612</v>
      </c>
      <c r="E46" s="5">
        <f>pima_data!C46/$B46</f>
        <v>0.327272167979577</v>
      </c>
      <c r="F46" s="5">
        <f>pima_data!D46/$B46</f>
        <v>0.193388099260659</v>
      </c>
      <c r="G46" s="5">
        <f>pima_data!E46/$B46</f>
        <v>0</v>
      </c>
      <c r="H46" s="5">
        <f>pima_data!F46/$B46</f>
        <v>0.208264106896095</v>
      </c>
      <c r="I46" s="5">
        <f>pima_data!G46/$B46</f>
        <v>0.00938676081795969</v>
      </c>
      <c r="J46" s="5">
        <f>pima_data!H46/$B46</f>
        <v>0.123966730295294</v>
      </c>
    </row>
    <row r="47" spans="1:10">
      <c r="A47" s="4" cm="1">
        <f t="array" ref="A47">SUM(POWER(pima_data!A47:H47,2))</f>
        <v>26176.408096</v>
      </c>
      <c r="B47" s="4">
        <f t="shared" si="0"/>
        <v>161.791248514869</v>
      </c>
      <c r="C47" s="5">
        <f>pima_data!A47/$B47</f>
        <v>0.00618080402481164</v>
      </c>
      <c r="D47" s="5">
        <f>pima_data!B47/$B47</f>
        <v>0.902397387622499</v>
      </c>
      <c r="E47" s="5">
        <f>pima_data!C47/$B47</f>
        <v>0.346125025389452</v>
      </c>
      <c r="F47" s="5">
        <f>pima_data!D47/$B47</f>
        <v>0</v>
      </c>
      <c r="G47" s="5">
        <f>pima_data!E47/$B47</f>
        <v>0</v>
      </c>
      <c r="H47" s="5">
        <f>pima_data!F47/$B47</f>
        <v>0.183569879536906</v>
      </c>
      <c r="I47" s="5">
        <f>pima_data!G47/$B47</f>
        <v>0.00348597346999376</v>
      </c>
      <c r="J47" s="5">
        <f>pima_data!H47/$B47</f>
        <v>0.179243316719537</v>
      </c>
    </row>
    <row r="48" spans="1:10">
      <c r="A48" s="4" cm="1">
        <f t="array" ref="A48">SUM(POWER(pima_data!A48:H48,2))</f>
        <v>11942.343396</v>
      </c>
      <c r="B48" s="4">
        <f t="shared" si="0"/>
        <v>109.281029442443</v>
      </c>
      <c r="C48" s="5">
        <f>pima_data!A48/$B48</f>
        <v>0.01830143813802</v>
      </c>
      <c r="D48" s="5">
        <f>pima_data!B48/$B48</f>
        <v>0.649701053899708</v>
      </c>
      <c r="E48" s="5">
        <f>pima_data!C48/$B48</f>
        <v>0.640550334830698</v>
      </c>
      <c r="F48" s="5">
        <f>pima_data!D48/$B48</f>
        <v>0.247069414863269</v>
      </c>
      <c r="G48" s="5">
        <f>pima_data!E48/$B48</f>
        <v>0</v>
      </c>
      <c r="H48" s="5">
        <f>pima_data!F48/$B48</f>
        <v>0.256220133932279</v>
      </c>
      <c r="I48" s="5">
        <f>pima_data!G48/$B48</f>
        <v>0.00536232137443985</v>
      </c>
      <c r="J48" s="5">
        <f>pima_data!H48/$B48</f>
        <v>0.20131581951822</v>
      </c>
    </row>
    <row r="49" spans="1:10">
      <c r="A49" s="4" cm="1">
        <f t="array" ref="A49">SUM(POWER(pima_data!A49:H49,2))</f>
        <v>18527.928336</v>
      </c>
      <c r="B49" s="4">
        <f t="shared" si="0"/>
        <v>136.117332974166</v>
      </c>
      <c r="C49" s="5">
        <f>pima_data!A49/$B49</f>
        <v>0.0514262206513298</v>
      </c>
      <c r="D49" s="5">
        <f>pima_data!B49/$B49</f>
        <v>0.756700103869568</v>
      </c>
      <c r="E49" s="5">
        <f>pima_data!C49/$B49</f>
        <v>0.484875794712538</v>
      </c>
      <c r="F49" s="5">
        <f>pima_data!D49/$B49</f>
        <v>0.235091294406079</v>
      </c>
      <c r="G49" s="5">
        <f>pima_data!E49/$B49</f>
        <v>0</v>
      </c>
      <c r="H49" s="5">
        <f>pima_data!F49/$B49</f>
        <v>0.287252175352428</v>
      </c>
      <c r="I49" s="5">
        <f>pima_data!G49/$B49</f>
        <v>0.00252723141486535</v>
      </c>
      <c r="J49" s="5">
        <f>pima_data!H49/$B49</f>
        <v>0.227744691455889</v>
      </c>
    </row>
    <row r="50" spans="1:10">
      <c r="A50" s="4" cm="1">
        <f t="array" ref="A50">SUM(POWER(pima_data!A50:H50,2))</f>
        <v>11650.093025</v>
      </c>
      <c r="B50" s="4">
        <f t="shared" si="0"/>
        <v>107.935596653745</v>
      </c>
      <c r="C50" s="5">
        <f>pima_data!A50/$B50</f>
        <v>0.0648534887193501</v>
      </c>
      <c r="D50" s="5">
        <f>pima_data!B50/$B50</f>
        <v>0.972802330790252</v>
      </c>
      <c r="E50" s="5">
        <f>pima_data!C50/$B50</f>
        <v>0</v>
      </c>
      <c r="F50" s="5">
        <f>pima_data!D50/$B50</f>
        <v>0</v>
      </c>
      <c r="G50" s="5">
        <f>pima_data!E50/$B50</f>
        <v>0</v>
      </c>
      <c r="H50" s="5">
        <f>pima_data!F50/$B50</f>
        <v>0</v>
      </c>
      <c r="I50" s="5">
        <f>pima_data!G50/$B50</f>
        <v>0.00282575915134311</v>
      </c>
      <c r="J50" s="5">
        <f>pima_data!H50/$B50</f>
        <v>0.222354818466343</v>
      </c>
    </row>
    <row r="51" spans="1:10">
      <c r="A51" s="4" cm="1">
        <f t="array" ref="A51">SUM(POWER(pima_data!A51:H51,2))</f>
        <v>24715.601081</v>
      </c>
      <c r="B51" s="4">
        <f t="shared" si="0"/>
        <v>157.211962270687</v>
      </c>
      <c r="C51" s="5">
        <f>pima_data!A51/$B51</f>
        <v>0.0063608391216325</v>
      </c>
      <c r="D51" s="5">
        <f>pima_data!B51/$B51</f>
        <v>0.655166429528147</v>
      </c>
      <c r="E51" s="5">
        <f>pima_data!C51/$B51</f>
        <v>0.5088671297306</v>
      </c>
      <c r="F51" s="5">
        <f>pima_data!D51/$B51</f>
        <v>0.0699692303379575</v>
      </c>
      <c r="G51" s="5">
        <f>pima_data!E51/$B51</f>
        <v>0.521588807973865</v>
      </c>
      <c r="H51" s="5">
        <f>pima_data!F51/$B51</f>
        <v>0.12340027895967</v>
      </c>
      <c r="I51" s="5">
        <f>pima_data!G51/$B51</f>
        <v>0.00312317200872156</v>
      </c>
      <c r="J51" s="5">
        <f>pima_data!H51/$B51</f>
        <v>0.139938460675915</v>
      </c>
    </row>
    <row r="52" spans="1:10">
      <c r="A52" s="4" cm="1">
        <f t="array" ref="A52">SUM(POWER(pima_data!A52:H52,2))</f>
        <v>15484.916676</v>
      </c>
      <c r="B52" s="4">
        <f t="shared" si="0"/>
        <v>124.438405148893</v>
      </c>
      <c r="C52" s="5">
        <f>pima_data!A52/$B52</f>
        <v>0.00803610427828516</v>
      </c>
      <c r="D52" s="5">
        <f>pima_data!B52/$B52</f>
        <v>0.811646532106801</v>
      </c>
      <c r="E52" s="5">
        <f>pima_data!C52/$B52</f>
        <v>0.401805213914258</v>
      </c>
      <c r="F52" s="5">
        <f>pima_data!D52/$B52</f>
        <v>0.120541564174277</v>
      </c>
      <c r="G52" s="5">
        <f>pima_data!E52/$B52</f>
        <v>0.289299754018266</v>
      </c>
      <c r="H52" s="5">
        <f>pima_data!F52/$B52</f>
        <v>0.194473723534501</v>
      </c>
      <c r="I52" s="5">
        <f>pima_data!G52/$B52</f>
        <v>0.004226990850378</v>
      </c>
      <c r="J52" s="5">
        <f>pima_data!H52/$B52</f>
        <v>0.208938711235414</v>
      </c>
    </row>
    <row r="53" spans="1:10">
      <c r="A53" s="4" cm="1">
        <f t="array" ref="A53">SUM(POWER(pima_data!A53:H53,2))</f>
        <v>14590.476964</v>
      </c>
      <c r="B53" s="4">
        <f t="shared" si="0"/>
        <v>120.79104670463</v>
      </c>
      <c r="C53" s="5">
        <f>pima_data!A53/$B53</f>
        <v>0.0413937964477326</v>
      </c>
      <c r="D53" s="5">
        <f>pima_data!B53/$B53</f>
        <v>0.728530817480094</v>
      </c>
      <c r="E53" s="5">
        <f>pima_data!C53/$B53</f>
        <v>0.546398113110071</v>
      </c>
      <c r="F53" s="5">
        <f>pima_data!D53/$B53</f>
        <v>0.173853945080477</v>
      </c>
      <c r="G53" s="5">
        <f>pima_data!E53/$B53</f>
        <v>0.19041146365957</v>
      </c>
      <c r="H53" s="5">
        <f>pima_data!F53/$B53</f>
        <v>0.202001726664935</v>
      </c>
      <c r="I53" s="5">
        <f>pima_data!G53/$B53</f>
        <v>0.00283133567702491</v>
      </c>
      <c r="J53" s="5">
        <f>pima_data!H53/$B53</f>
        <v>0.248362778686396</v>
      </c>
    </row>
    <row r="54" spans="1:10">
      <c r="A54" s="4" cm="1">
        <f t="array" ref="A54">SUM(POWER(pima_data!A54:H54,2))</f>
        <v>134795.908089</v>
      </c>
      <c r="B54" s="4">
        <f t="shared" si="0"/>
        <v>367.14562245654</v>
      </c>
      <c r="C54" s="5">
        <f>pima_data!A54/$B54</f>
        <v>0.0217897191486928</v>
      </c>
      <c r="D54" s="5">
        <f>pima_data!B54/$B54</f>
        <v>0.479373821271242</v>
      </c>
      <c r="E54" s="5">
        <f>pima_data!C54/$B54</f>
        <v>0.245134340422794</v>
      </c>
      <c r="F54" s="5">
        <f>pima_data!D54/$B54</f>
        <v>0.0926063063819444</v>
      </c>
      <c r="G54" s="5">
        <f>pima_data!E54/$B54</f>
        <v>0.81711446807598</v>
      </c>
      <c r="H54" s="5">
        <f>pima_data!F54/$B54</f>
        <v>0.0917891919138684</v>
      </c>
      <c r="I54" s="5">
        <f>pima_data!G54/$B54</f>
        <v>0.00127197485530494</v>
      </c>
      <c r="J54" s="5">
        <f>pima_data!H54/$B54</f>
        <v>0.157975463828023</v>
      </c>
    </row>
    <row r="55" spans="1:10">
      <c r="A55" s="4" cm="1">
        <f t="array" ref="A55">SUM(POWER(pima_data!A55:H55,2))</f>
        <v>148601.605524</v>
      </c>
      <c r="B55" s="4">
        <f t="shared" si="0"/>
        <v>385.488787805819</v>
      </c>
      <c r="C55" s="5">
        <f>pima_data!A55/$B55</f>
        <v>0.0181587642012719</v>
      </c>
      <c r="D55" s="5">
        <f>pima_data!B55/$B55</f>
        <v>0.38911637574154</v>
      </c>
      <c r="E55" s="5">
        <f>pima_data!C55/$B55</f>
        <v>0.171211205326278</v>
      </c>
      <c r="F55" s="5">
        <f>pima_data!D55/$B55</f>
        <v>0.108952585207631</v>
      </c>
      <c r="G55" s="5">
        <f>pima_data!E55/$B55</f>
        <v>0.887185336690711</v>
      </c>
      <c r="H55" s="5">
        <f>pima_data!F55/$B55</f>
        <v>0.0900155882548763</v>
      </c>
      <c r="I55" s="5">
        <f>pima_data!G55/$B55</f>
        <v>0.00186257038521617</v>
      </c>
      <c r="J55" s="5">
        <f>pima_data!H55/$B55</f>
        <v>0.108952585207631</v>
      </c>
    </row>
    <row r="56" spans="1:10">
      <c r="A56" s="4" cm="1">
        <f t="array" ref="A56">SUM(POWER(pima_data!A56:H56,2))</f>
        <v>8900.061504</v>
      </c>
      <c r="B56" s="4">
        <f t="shared" si="0"/>
        <v>94.3401372905509</v>
      </c>
      <c r="C56" s="5">
        <f>pima_data!A56/$B56</f>
        <v>0.0105999421743492</v>
      </c>
      <c r="D56" s="5">
        <f>pima_data!B56/$B56</f>
        <v>0.773795778727488</v>
      </c>
      <c r="E56" s="5">
        <f>pima_data!C56/$B56</f>
        <v>0.529997108717458</v>
      </c>
      <c r="F56" s="5">
        <f>pima_data!D56/$B56</f>
        <v>0.105999421743492</v>
      </c>
      <c r="G56" s="5">
        <f>pima_data!E56/$B56</f>
        <v>0</v>
      </c>
      <c r="H56" s="5">
        <f>pima_data!F56/$B56</f>
        <v>0.24379867001003</v>
      </c>
      <c r="I56" s="5">
        <f>pima_data!G56/$B56</f>
        <v>0.00262878565923859</v>
      </c>
      <c r="J56" s="5">
        <f>pima_data!H56/$B56</f>
        <v>0.222598785661332</v>
      </c>
    </row>
    <row r="57" spans="1:10">
      <c r="A57" s="4" cm="1">
        <f t="array" ref="A57">SUM(POWER(pima_data!A57:H57,2))</f>
        <v>136681.354516</v>
      </c>
      <c r="B57" s="4">
        <f t="shared" si="0"/>
        <v>369.704415061546</v>
      </c>
      <c r="C57" s="5">
        <f>pima_data!A57/$B57</f>
        <v>0.0189340449148671</v>
      </c>
      <c r="D57" s="5">
        <f>pima_data!B57/$B57</f>
        <v>0.505809485582879</v>
      </c>
      <c r="E57" s="5">
        <f>pima_data!C57/$B57</f>
        <v>0.183930722030138</v>
      </c>
      <c r="F57" s="5">
        <f>pima_data!D57/$B57</f>
        <v>0.105489678811403</v>
      </c>
      <c r="G57" s="5">
        <f>pima_data!E57/$B57</f>
        <v>0.822278522017087</v>
      </c>
      <c r="H57" s="5">
        <f>pima_data!F57/$B57</f>
        <v>0.101973356184356</v>
      </c>
      <c r="I57" s="5">
        <f>pima_data!G57/$B57</f>
        <v>0.000687035344053751</v>
      </c>
      <c r="J57" s="5">
        <f>pima_data!H57/$B57</f>
        <v>0.110899405929936</v>
      </c>
    </row>
    <row r="58" spans="1:10">
      <c r="A58" s="4" cm="1">
        <f t="array" ref="A58">SUM(POWER(pima_data!A58:H58,2))</f>
        <v>36596.165444</v>
      </c>
      <c r="B58" s="4">
        <f t="shared" si="0"/>
        <v>191.301242661934</v>
      </c>
      <c r="C58" s="5">
        <f>pima_data!A58/$B58</f>
        <v>0</v>
      </c>
      <c r="D58" s="5">
        <f>pima_data!B58/$B58</f>
        <v>0.522735757533574</v>
      </c>
      <c r="E58" s="5">
        <f>pima_data!C58/$B58</f>
        <v>0.460007466629546</v>
      </c>
      <c r="F58" s="5">
        <f>pima_data!D58/$B58</f>
        <v>0.313641454520145</v>
      </c>
      <c r="G58" s="5">
        <f>pima_data!E58/$B58</f>
        <v>0.575009333286932</v>
      </c>
      <c r="H58" s="5">
        <f>pima_data!F58/$B58</f>
        <v>0.244640334525713</v>
      </c>
      <c r="I58" s="5">
        <f>pima_data!G58/$B58</f>
        <v>0.00502871798747299</v>
      </c>
      <c r="J58" s="5">
        <f>pima_data!H58/$B58</f>
        <v>0.162048084835408</v>
      </c>
    </row>
    <row r="59" spans="1:10">
      <c r="A59" s="4" cm="1">
        <f t="array" ref="A59">SUM(POWER(pima_data!A59:H59,2))</f>
        <v>31619.421961</v>
      </c>
      <c r="B59" s="4">
        <f t="shared" si="0"/>
        <v>177.81850848829</v>
      </c>
      <c r="C59" s="5">
        <f>pima_data!A59/$B59</f>
        <v>0</v>
      </c>
      <c r="D59" s="5">
        <f>pima_data!B59/$B59</f>
        <v>0.821061886308729</v>
      </c>
      <c r="E59" s="5">
        <f>pima_data!C59/$B59</f>
        <v>0.461144347104903</v>
      </c>
      <c r="F59" s="5">
        <f>pima_data!D59/$B59</f>
        <v>0</v>
      </c>
      <c r="G59" s="5">
        <f>pima_data!E59/$B59</f>
        <v>0</v>
      </c>
      <c r="H59" s="5">
        <f>pima_data!F59/$B59</f>
        <v>0.227760317777421</v>
      </c>
      <c r="I59" s="5">
        <f>pima_data!G59/$B59</f>
        <v>0.0100158302706565</v>
      </c>
      <c r="J59" s="5">
        <f>pima_data!H59/$B59</f>
        <v>0.247443308202631</v>
      </c>
    </row>
    <row r="60" spans="1:10">
      <c r="A60" s="4" cm="1">
        <f t="array" ref="A60">SUM(POWER(pima_data!A60:H60,2))</f>
        <v>39172.279929</v>
      </c>
      <c r="B60" s="4">
        <f t="shared" si="0"/>
        <v>197.919882601521</v>
      </c>
      <c r="C60" s="5">
        <f>pima_data!A60/$B60</f>
        <v>0</v>
      </c>
      <c r="D60" s="5">
        <f>pima_data!B60/$B60</f>
        <v>0.530517695442453</v>
      </c>
      <c r="E60" s="5">
        <f>pima_data!C60/$B60</f>
        <v>0.323363166745876</v>
      </c>
      <c r="F60" s="5">
        <f>pima_data!D60/$B60</f>
        <v>0.207154528696577</v>
      </c>
      <c r="G60" s="5">
        <f>pima_data!E60/$B60</f>
        <v>0.717462026217413</v>
      </c>
      <c r="H60" s="5">
        <f>pima_data!F60/$B60</f>
        <v>0.209680803436779</v>
      </c>
      <c r="I60" s="5">
        <f>pima_data!G60/$B60</f>
        <v>0.000874091060109947</v>
      </c>
      <c r="J60" s="5">
        <f>pima_data!H60/$B60</f>
        <v>0.111156088568895</v>
      </c>
    </row>
    <row r="61" spans="1:10">
      <c r="A61" s="4" cm="1">
        <f t="array" ref="A61">SUM(POWER(pima_data!A61:H61,2))</f>
        <v>7501.092416</v>
      </c>
      <c r="B61" s="4">
        <f t="shared" si="0"/>
        <v>86.6088472155126</v>
      </c>
      <c r="C61" s="5">
        <f>pima_data!A61/$B61</f>
        <v>0.0230923290668367</v>
      </c>
      <c r="D61" s="5">
        <f>pima_data!B61/$B61</f>
        <v>0.969877820807142</v>
      </c>
      <c r="E61" s="5">
        <f>pima_data!C61/$B61</f>
        <v>0</v>
      </c>
      <c r="F61" s="5">
        <f>pima_data!D61/$B61</f>
        <v>0</v>
      </c>
      <c r="G61" s="5">
        <f>pima_data!E61/$B61</f>
        <v>0</v>
      </c>
      <c r="H61" s="5">
        <f>pima_data!F61/$B61</f>
        <v>0</v>
      </c>
      <c r="I61" s="5">
        <f>pima_data!G61/$B61</f>
        <v>0.00351003401815918</v>
      </c>
      <c r="J61" s="5">
        <f>pima_data!H61/$B61</f>
        <v>0.242469455201785</v>
      </c>
    </row>
    <row r="62" spans="1:10">
      <c r="A62" s="4" cm="1">
        <f t="array" ref="A62">SUM(POWER(pima_data!A62:H62,2))</f>
        <v>25540.4829</v>
      </c>
      <c r="B62" s="4">
        <f t="shared" si="0"/>
        <v>159.81390083469</v>
      </c>
      <c r="C62" s="5">
        <f>pima_data!A62/$B62</f>
        <v>0.0500582237103088</v>
      </c>
      <c r="D62" s="5">
        <f>pima_data!B62/$B62</f>
        <v>0.832217969183884</v>
      </c>
      <c r="E62" s="5">
        <f>pima_data!C62/$B62</f>
        <v>0.450524013392779</v>
      </c>
      <c r="F62" s="5">
        <f>pima_data!D62/$B62</f>
        <v>0</v>
      </c>
      <c r="G62" s="5">
        <f>pima_data!E62/$B62</f>
        <v>0</v>
      </c>
      <c r="H62" s="5">
        <f>pima_data!F62/$B62</f>
        <v>0.205864445008645</v>
      </c>
      <c r="I62" s="5">
        <f>pima_data!G62/$B62</f>
        <v>0.00168946505022292</v>
      </c>
      <c r="J62" s="5">
        <f>pima_data!H62/$B62</f>
        <v>0.244033840587755</v>
      </c>
    </row>
    <row r="63" spans="1:10">
      <c r="A63" s="4" cm="1">
        <f t="array" ref="A63">SUM(POWER(pima_data!A63:H63,2))</f>
        <v>7726.344569</v>
      </c>
      <c r="B63" s="4">
        <f t="shared" si="0"/>
        <v>87.8996278092234</v>
      </c>
      <c r="C63" s="5">
        <f>pima_data!A63/$B63</f>
        <v>0.0568830622451776</v>
      </c>
      <c r="D63" s="5">
        <f>pima_data!B63/$B63</f>
        <v>0.500570947757563</v>
      </c>
      <c r="E63" s="5">
        <f>pima_data!C63/$B63</f>
        <v>0.705349971840202</v>
      </c>
      <c r="F63" s="5">
        <f>pima_data!D63/$B63</f>
        <v>0</v>
      </c>
      <c r="G63" s="5">
        <f>pima_data!E63/$B63</f>
        <v>0</v>
      </c>
      <c r="H63" s="5">
        <f>pima_data!F63/$B63</f>
        <v>0.284415311225888</v>
      </c>
      <c r="I63" s="5">
        <f>pima_data!G63/$B63</f>
        <v>0.00667807150758385</v>
      </c>
      <c r="J63" s="5">
        <f>pima_data!H63/$B63</f>
        <v>0.409558048165279</v>
      </c>
    </row>
    <row r="64" spans="1:10">
      <c r="A64" s="4" cm="1">
        <f t="array" ref="A64">SUM(POWER(pima_data!A64:H64,2))</f>
        <v>42010.648601</v>
      </c>
      <c r="B64" s="4">
        <f t="shared" si="0"/>
        <v>204.964993598907</v>
      </c>
      <c r="C64" s="5">
        <f>pima_data!A64/$B64</f>
        <v>0.00975776382533776</v>
      </c>
      <c r="D64" s="5">
        <f>pima_data!B64/$B64</f>
        <v>0.687922349686312</v>
      </c>
      <c r="E64" s="5">
        <f>pima_data!C64/$B64</f>
        <v>0.282975150934795</v>
      </c>
      <c r="F64" s="5">
        <f>pima_data!D64/$B64</f>
        <v>0.165881985030742</v>
      </c>
      <c r="G64" s="5">
        <f>pima_data!E64/$B64</f>
        <v>0.624496884821616</v>
      </c>
      <c r="H64" s="5">
        <f>pima_data!F64/$B64</f>
        <v>0.12392360058179</v>
      </c>
      <c r="I64" s="5">
        <f>pima_data!G64/$B64</f>
        <v>0.00341033845695555</v>
      </c>
      <c r="J64" s="5">
        <f>pima_data!H64/$B64</f>
        <v>0.117093165904053</v>
      </c>
    </row>
    <row r="65" spans="1:10">
      <c r="A65" s="4" cm="1">
        <f t="array" ref="A65">SUM(POWER(pima_data!A65:H65,2))</f>
        <v>20240.906564</v>
      </c>
      <c r="B65" s="4">
        <f t="shared" ref="B65:B128" si="1">A65^0.5</f>
        <v>142.270540042554</v>
      </c>
      <c r="C65" s="5">
        <f>pima_data!A65/$B65</f>
        <v>0.0492020343628853</v>
      </c>
      <c r="D65" s="5">
        <f>pima_data!B65/$B65</f>
        <v>0.801290273909847</v>
      </c>
      <c r="E65" s="5">
        <f>pima_data!C65/$B65</f>
        <v>0.46390489542149</v>
      </c>
      <c r="F65" s="5">
        <f>pima_data!D65/$B65</f>
        <v>0</v>
      </c>
      <c r="G65" s="5">
        <f>pima_data!E65/$B65</f>
        <v>0</v>
      </c>
      <c r="H65" s="5">
        <f>pima_data!F65/$B65</f>
        <v>0.230546675300377</v>
      </c>
      <c r="I65" s="5">
        <f>pima_data!G65/$B65</f>
        <v>0.00181344640937492</v>
      </c>
      <c r="J65" s="5">
        <f>pima_data!H65/$B65</f>
        <v>0.295212206177312</v>
      </c>
    </row>
    <row r="66" spans="1:10">
      <c r="A66" s="4" cm="1">
        <f t="array" ref="A66">SUM(POWER(pima_data!A66:H66,2))</f>
        <v>17896.041209</v>
      </c>
      <c r="B66" s="4">
        <f t="shared" si="1"/>
        <v>133.77608608791</v>
      </c>
      <c r="C66" s="5">
        <f>pima_data!A66/$B66</f>
        <v>0.0373758879200149</v>
      </c>
      <c r="D66" s="5">
        <f>pima_data!B66/$B66</f>
        <v>0.740042580816295</v>
      </c>
      <c r="E66" s="5">
        <f>pima_data!C66/$B66</f>
        <v>0.55316314121622</v>
      </c>
      <c r="F66" s="5">
        <f>pima_data!D66/$B66</f>
        <v>0.20182979476808</v>
      </c>
      <c r="G66" s="5">
        <f>pima_data!E66/$B66</f>
        <v>0</v>
      </c>
      <c r="H66" s="5">
        <f>pima_data!F66/$B66</f>
        <v>0.216780149936086</v>
      </c>
      <c r="I66" s="5">
        <f>pima_data!G66/$B66</f>
        <v>0.0015174610495526</v>
      </c>
      <c r="J66" s="5">
        <f>pima_data!H66/$B66</f>
        <v>0.239205682688095</v>
      </c>
    </row>
    <row r="67" spans="1:10">
      <c r="A67" s="4" cm="1">
        <f t="array" ref="A67">SUM(POWER(pima_data!A67:H67,2))</f>
        <v>23025.981025</v>
      </c>
      <c r="B67" s="4">
        <f t="shared" si="1"/>
        <v>151.743141607784</v>
      </c>
      <c r="C67" s="5">
        <f>pima_data!A67/$B67</f>
        <v>0</v>
      </c>
      <c r="D67" s="5">
        <f>pima_data!B67/$B67</f>
        <v>0.718319120357586</v>
      </c>
      <c r="E67" s="5">
        <f>pima_data!C67/$B67</f>
        <v>0.579927363224473</v>
      </c>
      <c r="F67" s="5">
        <f>pima_data!D67/$B67</f>
        <v>0.197702510190161</v>
      </c>
      <c r="G67" s="5">
        <f>pima_data!E67/$B67</f>
        <v>0</v>
      </c>
      <c r="H67" s="5">
        <f>pima_data!F67/$B67</f>
        <v>0.214177719372675</v>
      </c>
      <c r="I67" s="5">
        <f>pima_data!G67/$B67</f>
        <v>0.00563452154041959</v>
      </c>
      <c r="J67" s="5">
        <f>pima_data!H67/$B67</f>
        <v>0.250423179574204</v>
      </c>
    </row>
    <row r="68" spans="1:10">
      <c r="A68" s="4" cm="1">
        <f t="array" ref="A68">SUM(POWER(pima_data!A68:H68,2))</f>
        <v>25089.004025</v>
      </c>
      <c r="B68" s="4">
        <f t="shared" si="1"/>
        <v>158.395088386604</v>
      </c>
      <c r="C68" s="5">
        <f>pima_data!A68/$B68</f>
        <v>0.0126266541492656</v>
      </c>
      <c r="D68" s="5">
        <f>pima_data!B68/$B68</f>
        <v>0.688152651134975</v>
      </c>
      <c r="E68" s="5">
        <f>pima_data!C68/$B68</f>
        <v>0.580826090866217</v>
      </c>
      <c r="F68" s="5">
        <f>pima_data!D68/$B68</f>
        <v>0</v>
      </c>
      <c r="G68" s="5">
        <f>pima_data!E68/$B68</f>
        <v>0</v>
      </c>
      <c r="H68" s="5">
        <f>pima_data!F68/$B68</f>
        <v>0.26957906608682</v>
      </c>
      <c r="I68" s="5">
        <f>pima_data!G68/$B68</f>
        <v>0.00533476137806471</v>
      </c>
      <c r="J68" s="5">
        <f>pima_data!H68/$B68</f>
        <v>0.340919662030171</v>
      </c>
    </row>
    <row r="69" spans="1:10">
      <c r="A69" s="4" cm="1">
        <f t="array" ref="A69">SUM(POWER(pima_data!A69:H69,2))</f>
        <v>16004.271556</v>
      </c>
      <c r="B69" s="4">
        <f t="shared" si="1"/>
        <v>126.507990087583</v>
      </c>
      <c r="C69" s="5">
        <f>pima_data!A69/$B69</f>
        <v>0.00790463906119833</v>
      </c>
      <c r="D69" s="5">
        <f>pima_data!B69/$B69</f>
        <v>0.750940710813842</v>
      </c>
      <c r="E69" s="5">
        <f>pima_data!C69/$B69</f>
        <v>0.52170617803909</v>
      </c>
      <c r="F69" s="5">
        <f>pima_data!D69/$B69</f>
        <v>0.102760307795578</v>
      </c>
      <c r="G69" s="5">
        <f>pima_data!E69/$B69</f>
        <v>0.300376284325537</v>
      </c>
      <c r="H69" s="5">
        <f>pima_data!F69/$B69</f>
        <v>0.154930925599487</v>
      </c>
      <c r="I69" s="5">
        <f>pima_data!G69/$B69</f>
        <v>0.00264014944644024</v>
      </c>
      <c r="J69" s="5">
        <f>pima_data!H69/$B69</f>
        <v>0.197615976529958</v>
      </c>
    </row>
    <row r="70" spans="1:10">
      <c r="A70" s="4" cm="1">
        <f t="array" ref="A70">SUM(POWER(pima_data!A70:H70,2))</f>
        <v>40850.245721</v>
      </c>
      <c r="B70" s="4">
        <f t="shared" si="1"/>
        <v>202.114437190914</v>
      </c>
      <c r="C70" s="5">
        <f>pima_data!A70/$B70</f>
        <v>0.0197907683171671</v>
      </c>
      <c r="D70" s="5">
        <f>pima_data!B70/$B70</f>
        <v>0.722363043576598</v>
      </c>
      <c r="E70" s="5">
        <f>pima_data!C70/$B70</f>
        <v>0.4205538267398</v>
      </c>
      <c r="F70" s="5">
        <f>pima_data!D70/$B70</f>
        <v>0.133587686140878</v>
      </c>
      <c r="G70" s="5">
        <f>pima_data!E70/$B70</f>
        <v>0.494769207929177</v>
      </c>
      <c r="H70" s="5">
        <f>pima_data!F70/$B70</f>
        <v>0.142988301091532</v>
      </c>
      <c r="I70" s="5">
        <f>pima_data!G70/$B70</f>
        <v>0.000935113802986144</v>
      </c>
      <c r="J70" s="5">
        <f>pima_data!H70/$B70</f>
        <v>0.133587686140878</v>
      </c>
    </row>
    <row r="71" spans="1:10">
      <c r="A71" s="4" cm="1">
        <f t="array" ref="A71">SUM(POWER(pima_data!A71:H71,2))</f>
        <v>24727.161689</v>
      </c>
      <c r="B71" s="4">
        <f t="shared" si="1"/>
        <v>157.248725556044</v>
      </c>
      <c r="C71" s="5">
        <f>pima_data!A71/$B71</f>
        <v>0.0127187040335484</v>
      </c>
      <c r="D71" s="5">
        <f>pima_data!B71/$B71</f>
        <v>0.63593520167742</v>
      </c>
      <c r="E71" s="5">
        <f>pima_data!C71/$B71</f>
        <v>0.419717233107097</v>
      </c>
      <c r="F71" s="5">
        <f>pima_data!D71/$B71</f>
        <v>0.127187040335484</v>
      </c>
      <c r="G71" s="5">
        <f>pima_data!E71/$B71</f>
        <v>0.572341681509678</v>
      </c>
      <c r="H71" s="5">
        <f>pima_data!F71/$B71</f>
        <v>0.209222681351871</v>
      </c>
      <c r="I71" s="5">
        <f>pima_data!G71/$B71</f>
        <v>0.00551355819854323</v>
      </c>
      <c r="J71" s="5">
        <f>pima_data!H71/$B71</f>
        <v>0.178061856469678</v>
      </c>
    </row>
    <row r="72" spans="1:10">
      <c r="A72" s="4" cm="1">
        <f t="array" ref="A72">SUM(POWER(pima_data!A72:H72,2))</f>
        <v>45761.128921</v>
      </c>
      <c r="B72" s="4">
        <f t="shared" si="1"/>
        <v>213.918510000888</v>
      </c>
      <c r="C72" s="5">
        <f>pima_data!A72/$B72</f>
        <v>0.0233733864357004</v>
      </c>
      <c r="D72" s="5">
        <f>pima_data!B72/$B72</f>
        <v>0.649780142912472</v>
      </c>
      <c r="E72" s="5">
        <f>pima_data!C72/$B72</f>
        <v>0.299179346376965</v>
      </c>
      <c r="F72" s="5">
        <f>pima_data!D72/$B72</f>
        <v>0.163613705049903</v>
      </c>
      <c r="G72" s="5">
        <f>pima_data!E72/$B72</f>
        <v>0.654454820199612</v>
      </c>
      <c r="H72" s="5">
        <f>pima_data!F72/$B72</f>
        <v>0.133695770412206</v>
      </c>
      <c r="I72" s="5">
        <f>pima_data!G72/$B72</f>
        <v>0.00192129236501457</v>
      </c>
      <c r="J72" s="5">
        <f>pima_data!H72/$B72</f>
        <v>0.121541609465642</v>
      </c>
    </row>
    <row r="73" spans="1:10">
      <c r="A73" s="4" cm="1">
        <f t="array" ref="A73">SUM(POWER(pima_data!A73:H73,2))</f>
        <v>27792.899889</v>
      </c>
      <c r="B73" s="4">
        <f t="shared" si="1"/>
        <v>166.712026827701</v>
      </c>
      <c r="C73" s="5">
        <f>pima_data!A73/$B73</f>
        <v>0.0779787772206482</v>
      </c>
      <c r="D73" s="5">
        <f>pima_data!B73/$B73</f>
        <v>0.755794302292436</v>
      </c>
      <c r="E73" s="5">
        <f>pima_data!C73/$B73</f>
        <v>0.539853073066026</v>
      </c>
      <c r="F73" s="5">
        <f>pima_data!D73/$B73</f>
        <v>0</v>
      </c>
      <c r="G73" s="5">
        <f>pima_data!E73/$B73</f>
        <v>0</v>
      </c>
      <c r="H73" s="5">
        <f>pima_data!F73/$B73</f>
        <v>0.260329148567395</v>
      </c>
      <c r="I73" s="5">
        <f>pima_data!G73/$B73</f>
        <v>0.00349704823997215</v>
      </c>
      <c r="J73" s="5">
        <f>pima_data!H73/$B73</f>
        <v>0.251931434097479</v>
      </c>
    </row>
    <row r="74" spans="1:10">
      <c r="A74" s="4" cm="1">
        <f t="array" ref="A74">SUM(POWER(pima_data!A74:H74,2))</f>
        <v>99114.063361</v>
      </c>
      <c r="B74" s="4">
        <f t="shared" si="1"/>
        <v>314.823860850794</v>
      </c>
      <c r="C74" s="5">
        <f>pima_data!A74/$B74</f>
        <v>0.0127055172666717</v>
      </c>
      <c r="D74" s="5">
        <f>pima_data!B74/$B74</f>
        <v>0.409752931850161</v>
      </c>
      <c r="E74" s="5">
        <f>pima_data!C74/$B74</f>
        <v>0.273168621233441</v>
      </c>
      <c r="F74" s="5">
        <f>pima_data!D74/$B74</f>
        <v>0.0635275863333584</v>
      </c>
      <c r="G74" s="5">
        <f>pima_data!E74/$B74</f>
        <v>0.857622415500338</v>
      </c>
      <c r="H74" s="5">
        <f>pima_data!F74/$B74</f>
        <v>0.111490914015044</v>
      </c>
      <c r="I74" s="5">
        <f>pima_data!G74/$B74</f>
        <v>0.000733743622150289</v>
      </c>
      <c r="J74" s="5">
        <f>pima_data!H74/$B74</f>
        <v>0.0730567242833621</v>
      </c>
    </row>
    <row r="75" spans="1:10">
      <c r="A75" s="4" cm="1">
        <f t="array" ref="A75">SUM(POWER(pima_data!A75:H75,2))</f>
        <v>14275.156816</v>
      </c>
      <c r="B75" s="4">
        <f t="shared" si="1"/>
        <v>119.478687706218</v>
      </c>
      <c r="C75" s="5">
        <f>pima_data!A75/$B75</f>
        <v>0.00836969353445582</v>
      </c>
      <c r="D75" s="5">
        <f>pima_data!B75/$B75</f>
        <v>0.66120578922201</v>
      </c>
      <c r="E75" s="5">
        <f>pima_data!C75/$B75</f>
        <v>0.627727015084186</v>
      </c>
      <c r="F75" s="5">
        <f>pima_data!D75/$B75</f>
        <v>0.251090806033675</v>
      </c>
      <c r="G75" s="5">
        <f>pima_data!E75/$B75</f>
        <v>0</v>
      </c>
      <c r="H75" s="5">
        <f>pima_data!F75/$B75</f>
        <v>0.267830193102586</v>
      </c>
      <c r="I75" s="5">
        <f>pima_data!G75/$B75</f>
        <v>0.0033143986396445</v>
      </c>
      <c r="J75" s="5">
        <f>pima_data!H75/$B75</f>
        <v>0.184133257758028</v>
      </c>
    </row>
    <row r="76" spans="1:10">
      <c r="A76" s="4" cm="1">
        <f t="array" ref="A76">SUM(POWER(pima_data!A76:H76,2))</f>
        <v>3799.1096</v>
      </c>
      <c r="B76" s="4">
        <f t="shared" si="1"/>
        <v>61.6369175089086</v>
      </c>
      <c r="C76" s="5">
        <f>pima_data!A76/$B76</f>
        <v>0.0162240429991566</v>
      </c>
      <c r="D76" s="5">
        <f>pima_data!B76/$B76</f>
        <v>0</v>
      </c>
      <c r="E76" s="5">
        <f>pima_data!C76/$B76</f>
        <v>0.778754063959516</v>
      </c>
      <c r="F76" s="5">
        <f>pima_data!D76/$B76</f>
        <v>0.324480859983132</v>
      </c>
      <c r="G76" s="5">
        <f>pima_data!E76/$B76</f>
        <v>0</v>
      </c>
      <c r="H76" s="5">
        <f>pima_data!F76/$B76</f>
        <v>0.400733862079168</v>
      </c>
      <c r="I76" s="5">
        <f>pima_data!G76/$B76</f>
        <v>0.00227136601988192</v>
      </c>
      <c r="J76" s="5">
        <f>pima_data!H76/$B76</f>
        <v>0.356928945981445</v>
      </c>
    </row>
    <row r="77" spans="1:10">
      <c r="A77" s="4" cm="1">
        <f t="array" ref="A77">SUM(POWER(pima_data!A77:H77,2))</f>
        <v>12720.912881</v>
      </c>
      <c r="B77" s="4">
        <f t="shared" si="1"/>
        <v>112.787024435438</v>
      </c>
      <c r="C77" s="5">
        <f>pima_data!A77/$B77</f>
        <v>0.0620638768957593</v>
      </c>
      <c r="D77" s="5">
        <f>pima_data!B77/$B77</f>
        <v>0.549708623933868</v>
      </c>
      <c r="E77" s="5">
        <f>pima_data!C77/$B77</f>
        <v>0.691568913981318</v>
      </c>
      <c r="F77" s="5">
        <f>pima_data!D77/$B77</f>
        <v>0</v>
      </c>
      <c r="G77" s="5">
        <f>pima_data!E77/$B77</f>
        <v>0</v>
      </c>
      <c r="H77" s="5">
        <f>pima_data!F77/$B77</f>
        <v>0.289040340971679</v>
      </c>
      <c r="I77" s="5">
        <f>pima_data!G77/$B77</f>
        <v>0.00346671083803456</v>
      </c>
      <c r="J77" s="5">
        <f>pima_data!H77/$B77</f>
        <v>0.36351699324659</v>
      </c>
    </row>
    <row r="78" spans="1:10">
      <c r="A78" s="4" cm="1">
        <f t="array" ref="A78">SUM(POWER(pima_data!A78:H78,2))</f>
        <v>17473.4269</v>
      </c>
      <c r="B78" s="4">
        <f t="shared" si="1"/>
        <v>132.18709051946</v>
      </c>
      <c r="C78" s="5">
        <f>pima_data!A78/$B78</f>
        <v>0.0378251762736537</v>
      </c>
      <c r="D78" s="5">
        <f>pima_data!B78/$B78</f>
        <v>0.718678349199419</v>
      </c>
      <c r="E78" s="5">
        <f>pima_data!C78/$B78</f>
        <v>0.544682538340613</v>
      </c>
      <c r="F78" s="5">
        <f>pima_data!D78/$B78</f>
        <v>0.249646163406114</v>
      </c>
      <c r="G78" s="5">
        <f>pima_data!E78/$B78</f>
        <v>0</v>
      </c>
      <c r="H78" s="5">
        <f>pima_data!F78/$B78</f>
        <v>0.285201829103349</v>
      </c>
      <c r="I78" s="5">
        <f>pima_data!G78/$B78</f>
        <v>0.00279906304425037</v>
      </c>
      <c r="J78" s="5">
        <f>pima_data!H78/$B78</f>
        <v>0.20425595187773</v>
      </c>
    </row>
    <row r="79" spans="1:10">
      <c r="A79" s="4" cm="1">
        <f t="array" ref="A79">SUM(POWER(pima_data!A79:H79,2))</f>
        <v>19703.3129</v>
      </c>
      <c r="B79" s="4">
        <f t="shared" si="1"/>
        <v>140.368489697653</v>
      </c>
      <c r="C79" s="5">
        <f>pima_data!A79/$B79</f>
        <v>0</v>
      </c>
      <c r="D79" s="5">
        <f>pima_data!B79/$B79</f>
        <v>0.933257886311722</v>
      </c>
      <c r="E79" s="5">
        <f>pima_data!C79/$B79</f>
        <v>0</v>
      </c>
      <c r="F79" s="5">
        <f>pima_data!D79/$B79</f>
        <v>0</v>
      </c>
      <c r="G79" s="5">
        <f>pima_data!E79/$B79</f>
        <v>0</v>
      </c>
      <c r="H79" s="5">
        <f>pima_data!F79/$B79</f>
        <v>0.307761379302797</v>
      </c>
      <c r="I79" s="5">
        <f>pima_data!G79/$B79</f>
        <v>0.00192350862064248</v>
      </c>
      <c r="J79" s="5">
        <f>pima_data!H79/$B79</f>
        <v>0.185226756061869</v>
      </c>
    </row>
    <row r="80" spans="1:10">
      <c r="A80" s="4" cm="1">
        <f t="array" ref="A80">SUM(POWER(pima_data!A80:H80,2))</f>
        <v>18589.094249</v>
      </c>
      <c r="B80" s="4">
        <f t="shared" si="1"/>
        <v>136.341828684377</v>
      </c>
      <c r="C80" s="5">
        <f>pima_data!A80/$B80</f>
        <v>0.0146690125788901</v>
      </c>
      <c r="D80" s="5">
        <f>pima_data!B80/$B80</f>
        <v>0.821464704417843</v>
      </c>
      <c r="E80" s="5">
        <f>pima_data!C80/$B80</f>
        <v>0.484077415103372</v>
      </c>
      <c r="F80" s="5">
        <f>pima_data!D80/$B80</f>
        <v>0.161359138367791</v>
      </c>
      <c r="G80" s="5">
        <f>pima_data!E80/$B80</f>
        <v>0</v>
      </c>
      <c r="H80" s="5">
        <f>pima_data!F80/$B80</f>
        <v>0.183362657236126</v>
      </c>
      <c r="I80" s="5">
        <f>pima_data!G80/$B80</f>
        <v>0.00225169343085962</v>
      </c>
      <c r="J80" s="5">
        <f>pima_data!H80/$B80</f>
        <v>0.176028150946681</v>
      </c>
    </row>
    <row r="81" spans="1:10">
      <c r="A81" s="4" cm="1">
        <f t="array" ref="A81">SUM(POWER(pima_data!A81:H81,2))</f>
        <v>15868.7796</v>
      </c>
      <c r="B81" s="4">
        <f t="shared" si="1"/>
        <v>125.971344360533</v>
      </c>
      <c r="C81" s="5">
        <f>pima_data!A81/$B81</f>
        <v>0.0238149399391494</v>
      </c>
      <c r="D81" s="5">
        <f>pima_data!B81/$B81</f>
        <v>0.897029404374627</v>
      </c>
      <c r="E81" s="5">
        <f>pima_data!C81/$B81</f>
        <v>0.349285785774191</v>
      </c>
      <c r="F81" s="5">
        <f>pima_data!D81/$B81</f>
        <v>0.103198073069647</v>
      </c>
      <c r="G81" s="5">
        <f>pima_data!E81/$B81</f>
        <v>0</v>
      </c>
      <c r="H81" s="5">
        <f>pima_data!F81/$B81</f>
        <v>0.177818218212315</v>
      </c>
      <c r="I81" s="5">
        <f>pima_data!G81/$B81</f>
        <v>0.00111136386382697</v>
      </c>
      <c r="J81" s="5">
        <f>pima_data!H81/$B81</f>
        <v>0.174642892887096</v>
      </c>
    </row>
    <row r="82" spans="1:10">
      <c r="A82" s="4" cm="1">
        <f t="array" ref="A82">SUM(POWER(pima_data!A82:H82,2))</f>
        <v>5964.010404</v>
      </c>
      <c r="B82" s="4">
        <f t="shared" si="1"/>
        <v>77.2270056651169</v>
      </c>
      <c r="C82" s="5">
        <f>pima_data!A82/$B82</f>
        <v>0.0258976763733751</v>
      </c>
      <c r="D82" s="5">
        <f>pima_data!B82/$B82</f>
        <v>0.958214025814877</v>
      </c>
      <c r="E82" s="5">
        <f>pima_data!C82/$B82</f>
        <v>0</v>
      </c>
      <c r="F82" s="5">
        <f>pima_data!D82/$B82</f>
        <v>0</v>
      </c>
      <c r="G82" s="5">
        <f>pima_data!E82/$B82</f>
        <v>0</v>
      </c>
      <c r="H82" s="5">
        <f>pima_data!F82/$B82</f>
        <v>0</v>
      </c>
      <c r="I82" s="5">
        <f>pima_data!G82/$B82</f>
        <v>0.00132078149504213</v>
      </c>
      <c r="J82" s="5">
        <f>pima_data!H82/$B82</f>
        <v>0.284874440107126</v>
      </c>
    </row>
    <row r="83" spans="1:10">
      <c r="A83" s="4" cm="1">
        <f t="array" ref="A83">SUM(POWER(pima_data!A83:H83,2))</f>
        <v>20894.078289</v>
      </c>
      <c r="B83" s="4">
        <f t="shared" si="1"/>
        <v>144.547840831332</v>
      </c>
      <c r="C83" s="5">
        <f>pima_data!A83/$B83</f>
        <v>0.0484268734817567</v>
      </c>
      <c r="D83" s="5">
        <f>pima_data!B83/$B83</f>
        <v>0.574204356997972</v>
      </c>
      <c r="E83" s="5">
        <f>pima_data!C83/$B83</f>
        <v>0.539613733082431</v>
      </c>
      <c r="F83" s="5">
        <f>pima_data!D83/$B83</f>
        <v>0.17987124436081</v>
      </c>
      <c r="G83" s="5">
        <f>pima_data!E83/$B83</f>
        <v>0.491186859600675</v>
      </c>
      <c r="H83" s="5">
        <f>pima_data!F83/$B83</f>
        <v>0.202701056145067</v>
      </c>
      <c r="I83" s="5">
        <f>pima_data!G83/$B83</f>
        <v>0.00530620170864391</v>
      </c>
      <c r="J83" s="5">
        <f>pima_data!H83/$B83</f>
        <v>0.249052492191891</v>
      </c>
    </row>
    <row r="84" spans="1:10">
      <c r="A84" s="4" cm="1">
        <f t="array" ref="A84">SUM(POWER(pima_data!A84:H84,2))</f>
        <v>16299.216169</v>
      </c>
      <c r="B84" s="4">
        <f t="shared" si="1"/>
        <v>127.668383592023</v>
      </c>
      <c r="C84" s="5">
        <f>pima_data!A84/$B84</f>
        <v>0</v>
      </c>
      <c r="D84" s="5">
        <f>pima_data!B84/$B84</f>
        <v>0.791112076132767</v>
      </c>
      <c r="E84" s="5">
        <f>pima_data!C84/$B84</f>
        <v>0.50913153414485</v>
      </c>
      <c r="F84" s="5">
        <f>pima_data!D84/$B84</f>
        <v>0.219318199323935</v>
      </c>
      <c r="G84" s="5">
        <f>pima_data!E84/$B84</f>
        <v>0</v>
      </c>
      <c r="H84" s="5">
        <f>pima_data!F84/$B84</f>
        <v>0.192686703691743</v>
      </c>
      <c r="I84" s="5">
        <f>pima_data!G84/$B84</f>
        <v>0.00185637190142045</v>
      </c>
      <c r="J84" s="5">
        <f>pima_data!H84/$B84</f>
        <v>0.172321442325949</v>
      </c>
    </row>
    <row r="85" spans="1:10">
      <c r="A85" s="4" cm="1">
        <f t="array" ref="A85">SUM(POWER(pima_data!A85:H85,2))</f>
        <v>34208.491529</v>
      </c>
      <c r="B85" s="4">
        <f t="shared" si="1"/>
        <v>184.955377129188</v>
      </c>
      <c r="C85" s="5">
        <f>pima_data!A85/$B85</f>
        <v>0.0270335476459687</v>
      </c>
      <c r="D85" s="5">
        <f>pima_data!B85/$B85</f>
        <v>0.740719205499542</v>
      </c>
      <c r="E85" s="5">
        <f>pima_data!C85/$B85</f>
        <v>0.583924629152924</v>
      </c>
      <c r="F85" s="5">
        <f>pima_data!D85/$B85</f>
        <v>0</v>
      </c>
      <c r="G85" s="5">
        <f>pima_data!E85/$B85</f>
        <v>0</v>
      </c>
      <c r="H85" s="5">
        <f>pima_data!F85/$B85</f>
        <v>0.263847425024654</v>
      </c>
      <c r="I85" s="5">
        <f>pima_data!G85/$B85</f>
        <v>0.00122732306312698</v>
      </c>
      <c r="J85" s="5">
        <f>pima_data!H85/$B85</f>
        <v>0.200048252580168</v>
      </c>
    </row>
    <row r="86" spans="1:10">
      <c r="A86" s="4" cm="1">
        <f t="array" ref="A86">SUM(POWER(pima_data!A86:H86,2))</f>
        <v>35825.247204</v>
      </c>
      <c r="B86" s="4">
        <f t="shared" si="1"/>
        <v>189.275585335246</v>
      </c>
      <c r="C86" s="5">
        <f>pima_data!A86/$B86</f>
        <v>0.0105666031699629</v>
      </c>
      <c r="D86" s="5">
        <f>pima_data!B86/$B86</f>
        <v>0.581163174347961</v>
      </c>
      <c r="E86" s="5">
        <f>pima_data!C86/$B86</f>
        <v>0.390964317288628</v>
      </c>
      <c r="F86" s="5">
        <f>pima_data!D86/$B86</f>
        <v>0.153215745964462</v>
      </c>
      <c r="G86" s="5">
        <f>pima_data!E86/$B86</f>
        <v>0.660412698122683</v>
      </c>
      <c r="H86" s="5">
        <f>pima_data!F86/$B86</f>
        <v>0.171178971353399</v>
      </c>
      <c r="I86" s="5">
        <f>pima_data!G86/$B86</f>
        <v>0.00368774450631706</v>
      </c>
      <c r="J86" s="5">
        <f>pima_data!H86/$B86</f>
        <v>0.1426491427945</v>
      </c>
    </row>
    <row r="87" spans="1:10">
      <c r="A87" s="4" cm="1">
        <f t="array" ref="A87">SUM(POWER(pima_data!A87:H87,2))</f>
        <v>22869.591684</v>
      </c>
      <c r="B87" s="4">
        <f t="shared" si="1"/>
        <v>151.226954224437</v>
      </c>
      <c r="C87" s="5">
        <f>pima_data!A87/$B87</f>
        <v>0.0859635113771226</v>
      </c>
      <c r="D87" s="5">
        <f>pima_data!B87/$B87</f>
        <v>0.700933246613461</v>
      </c>
      <c r="E87" s="5">
        <f>pima_data!C87/$B87</f>
        <v>0.476105601473294</v>
      </c>
      <c r="F87" s="5">
        <f>pima_data!D87/$B87</f>
        <v>0.357079201104971</v>
      </c>
      <c r="G87" s="5">
        <f>pima_data!E87/$B87</f>
        <v>0</v>
      </c>
      <c r="H87" s="5">
        <f>pima_data!F87/$B87</f>
        <v>0.242020347415591</v>
      </c>
      <c r="I87" s="5">
        <f>pima_data!G87/$B87</f>
        <v>0.00117703884808676</v>
      </c>
      <c r="J87" s="5">
        <f>pima_data!H87/$B87</f>
        <v>0.297566000920809</v>
      </c>
    </row>
    <row r="88" spans="1:10">
      <c r="A88" s="4" cm="1">
        <f t="array" ref="A88">SUM(POWER(pima_data!A88:H88,2))</f>
        <v>22452.354976</v>
      </c>
      <c r="B88" s="4">
        <f t="shared" si="1"/>
        <v>149.841099088334</v>
      </c>
      <c r="C88" s="5">
        <f>pima_data!A88/$B88</f>
        <v>0.0133474728373486</v>
      </c>
      <c r="D88" s="5">
        <f>pima_data!B88/$B88</f>
        <v>0.66737364186743</v>
      </c>
      <c r="E88" s="5">
        <f>pima_data!C88/$B88</f>
        <v>0.453814076469852</v>
      </c>
      <c r="F88" s="5">
        <f>pima_data!D88/$B88</f>
        <v>0.166843410466857</v>
      </c>
      <c r="G88" s="5">
        <f>pima_data!E88/$B88</f>
        <v>0.473835285725875</v>
      </c>
      <c r="H88" s="5">
        <f>pima_data!F88/$B88</f>
        <v>0.25693885211896</v>
      </c>
      <c r="I88" s="5">
        <f>pima_data!G88/$B88</f>
        <v>0.00216229059965047</v>
      </c>
      <c r="J88" s="5">
        <f>pima_data!H88/$B88</f>
        <v>0.173517146885532</v>
      </c>
    </row>
    <row r="89" spans="1:10">
      <c r="A89" s="4" cm="1">
        <f t="array" ref="A89">SUM(POWER(pima_data!A89:H89,2))</f>
        <v>39970.433409</v>
      </c>
      <c r="B89" s="4">
        <f t="shared" si="1"/>
        <v>199.926069858335</v>
      </c>
      <c r="C89" s="5">
        <f>pima_data!A89/$B89</f>
        <v>0.0750277340550373</v>
      </c>
      <c r="D89" s="5">
        <f>pima_data!B89/$B89</f>
        <v>0.680251455432338</v>
      </c>
      <c r="E89" s="5">
        <f>pima_data!C89/$B89</f>
        <v>0.350129425590174</v>
      </c>
      <c r="F89" s="5">
        <f>pima_data!D89/$B89</f>
        <v>0.16005916598408</v>
      </c>
      <c r="G89" s="5">
        <f>pima_data!E89/$B89</f>
        <v>0.550203383070274</v>
      </c>
      <c r="H89" s="5">
        <f>pima_data!F89/$B89</f>
        <v>0.185568595562792</v>
      </c>
      <c r="I89" s="5">
        <f>pima_data!G89/$B89</f>
        <v>0.000765282887361381</v>
      </c>
      <c r="J89" s="5">
        <f>pima_data!H89/$B89</f>
        <v>0.215079504291107</v>
      </c>
    </row>
    <row r="90" spans="1:10">
      <c r="A90" s="4" cm="1">
        <f t="array" ref="A90">SUM(POWER(pima_data!A90:H90,2))</f>
        <v>17713.277225</v>
      </c>
      <c r="B90" s="4">
        <f t="shared" si="1"/>
        <v>133.091236469574</v>
      </c>
      <c r="C90" s="5">
        <f>pima_data!A90/$B90</f>
        <v>0.00751364272003448</v>
      </c>
      <c r="D90" s="5">
        <f>pima_data!B90/$B90</f>
        <v>0.803959771043689</v>
      </c>
      <c r="E90" s="5">
        <f>pima_data!C90/$B90</f>
        <v>0.510927704962344</v>
      </c>
      <c r="F90" s="5">
        <f>pima_data!D90/$B90</f>
        <v>0.142759211680655</v>
      </c>
      <c r="G90" s="5">
        <f>pima_data!E90/$B90</f>
        <v>0</v>
      </c>
      <c r="H90" s="5">
        <f>pima_data!F90/$B90</f>
        <v>0.199111532080914</v>
      </c>
      <c r="I90" s="5">
        <f>pima_data!G90/$B90</f>
        <v>0.00123975104880569</v>
      </c>
      <c r="J90" s="5">
        <f>pima_data!H90/$B90</f>
        <v>0.180327425280827</v>
      </c>
    </row>
    <row r="91" spans="1:10">
      <c r="A91" s="4" cm="1">
        <f t="array" ref="A91">SUM(POWER(pima_data!A91:H91,2))</f>
        <v>10231.876564</v>
      </c>
      <c r="B91" s="4">
        <f t="shared" si="1"/>
        <v>101.152738786451</v>
      </c>
      <c r="C91" s="5">
        <f>pima_data!A91/$B91</f>
        <v>0.00988603978495484</v>
      </c>
      <c r="D91" s="5">
        <f>pima_data!B91/$B91</f>
        <v>0.790883182796387</v>
      </c>
      <c r="E91" s="5">
        <f>pima_data!C91/$B91</f>
        <v>0.543732188172516</v>
      </c>
      <c r="F91" s="5">
        <f>pima_data!D91/$B91</f>
        <v>0</v>
      </c>
      <c r="G91" s="5">
        <f>pima_data!E91/$B91</f>
        <v>0</v>
      </c>
      <c r="H91" s="5">
        <f>pima_data!F91/$B91</f>
        <v>0.188823359892638</v>
      </c>
      <c r="I91" s="5">
        <f>pima_data!G91/$B91</f>
        <v>0.00255059826451835</v>
      </c>
      <c r="J91" s="5">
        <f>pima_data!H91/$B91</f>
        <v>0.207606835484052</v>
      </c>
    </row>
    <row r="92" spans="1:10">
      <c r="A92" s="4" cm="1">
        <f t="array" ref="A92">SUM(POWER(pima_data!A92:H92,2))</f>
        <v>54926.196249</v>
      </c>
      <c r="B92" s="4">
        <f t="shared" si="1"/>
        <v>234.363385043398</v>
      </c>
      <c r="C92" s="5">
        <f>pima_data!A92/$B92</f>
        <v>0.0170675124839117</v>
      </c>
      <c r="D92" s="5">
        <f>pima_data!B92/$B92</f>
        <v>0.524826008880285</v>
      </c>
      <c r="E92" s="5">
        <f>pima_data!C92/$B92</f>
        <v>0.341350249678234</v>
      </c>
      <c r="F92" s="5">
        <f>pima_data!D92/$B92</f>
        <v>0.0640031718146689</v>
      </c>
      <c r="G92" s="5">
        <f>pima_data!E92/$B92</f>
        <v>0.750970549292115</v>
      </c>
      <c r="H92" s="5">
        <f>pima_data!F92/$B92</f>
        <v>0.136540099871294</v>
      </c>
      <c r="I92" s="5">
        <f>pima_data!G92/$B92</f>
        <v>0.00189022700759322</v>
      </c>
      <c r="J92" s="5">
        <f>pima_data!H92/$B92</f>
        <v>0.145073856113249</v>
      </c>
    </row>
    <row r="93" spans="1:10">
      <c r="A93" s="4" cm="1">
        <f t="array" ref="A93">SUM(POWER(pima_data!A93:H93,2))</f>
        <v>20542.958121</v>
      </c>
      <c r="B93" s="4">
        <f t="shared" si="1"/>
        <v>143.328148390328</v>
      </c>
      <c r="C93" s="5">
        <f>pima_data!A93/$B93</f>
        <v>0.0488389760044675</v>
      </c>
      <c r="D93" s="5">
        <f>pima_data!B93/$B93</f>
        <v>0.565136722337409</v>
      </c>
      <c r="E93" s="5">
        <f>pima_data!C93/$B93</f>
        <v>0.544205732621209</v>
      </c>
      <c r="F93" s="5">
        <f>pima_data!D93/$B93</f>
        <v>0.279079862882671</v>
      </c>
      <c r="G93" s="5">
        <f>pima_data!E93/$B93</f>
        <v>0.334895835459205</v>
      </c>
      <c r="H93" s="5">
        <f>pima_data!F93/$B93</f>
        <v>0.325825739915519</v>
      </c>
      <c r="I93" s="5">
        <f>pima_data!G93/$B93</f>
        <v>0.00182099610530943</v>
      </c>
      <c r="J93" s="5">
        <f>pima_data!H93/$B93</f>
        <v>0.293033856026805</v>
      </c>
    </row>
    <row r="94" spans="1:10">
      <c r="A94" s="4" cm="1">
        <f t="array" ref="A94">SUM(POWER(pima_data!A94:H94,2))</f>
        <v>27322.516729</v>
      </c>
      <c r="B94" s="4">
        <f t="shared" si="1"/>
        <v>165.295241096046</v>
      </c>
      <c r="C94" s="5">
        <f>pima_data!A94/$B94</f>
        <v>0.0241991237828545</v>
      </c>
      <c r="D94" s="5">
        <f>pima_data!B94/$B94</f>
        <v>0.810670646725626</v>
      </c>
      <c r="E94" s="5">
        <f>pima_data!C94/$B94</f>
        <v>0.435584228091381</v>
      </c>
      <c r="F94" s="5">
        <f>pima_data!D94/$B94</f>
        <v>0</v>
      </c>
      <c r="G94" s="5">
        <f>pima_data!E94/$B94</f>
        <v>0</v>
      </c>
      <c r="H94" s="5">
        <f>pima_data!F94/$B94</f>
        <v>0.143984786507984</v>
      </c>
      <c r="I94" s="5">
        <f>pima_data!G94/$B94</f>
        <v>0.00167578932196268</v>
      </c>
      <c r="J94" s="5">
        <f>pima_data!H94/$B94</f>
        <v>0.362986856742818</v>
      </c>
    </row>
    <row r="95" spans="1:10">
      <c r="A95" s="4" cm="1">
        <f t="array" ref="A95">SUM(POWER(pima_data!A95:H95,2))</f>
        <v>32363.669121</v>
      </c>
      <c r="B95" s="4">
        <f t="shared" si="1"/>
        <v>179.899052585054</v>
      </c>
      <c r="C95" s="5">
        <f>pima_data!A95/$B95</f>
        <v>0.0111173459296259</v>
      </c>
      <c r="D95" s="5">
        <f>pima_data!B95/$B95</f>
        <v>0.789331561003437</v>
      </c>
      <c r="E95" s="5">
        <f>pima_data!C95/$B95</f>
        <v>0.455811183114661</v>
      </c>
      <c r="F95" s="5">
        <f>pima_data!D95/$B95</f>
        <v>0.100056113366633</v>
      </c>
      <c r="G95" s="5">
        <f>pima_data!E95/$B95</f>
        <v>0.355755069748028</v>
      </c>
      <c r="H95" s="5">
        <f>pima_data!F95/$B95</f>
        <v>0.13729922223088</v>
      </c>
      <c r="I95" s="5">
        <f>pima_data!G95/$B95</f>
        <v>0.00423015012622264</v>
      </c>
      <c r="J95" s="5">
        <f>pima_data!H95/$B95</f>
        <v>0.116732132261072</v>
      </c>
    </row>
    <row r="96" spans="1:10">
      <c r="A96" s="4" cm="1">
        <f t="array" ref="A96">SUM(POWER(pima_data!A96:H96,2))</f>
        <v>81418.275025</v>
      </c>
      <c r="B96" s="4">
        <f t="shared" si="1"/>
        <v>285.338877521098</v>
      </c>
      <c r="C96" s="5">
        <f>pima_data!A96/$B96</f>
        <v>0.0210276288044778</v>
      </c>
      <c r="D96" s="5">
        <f>pima_data!B96/$B96</f>
        <v>0.504663091307467</v>
      </c>
      <c r="E96" s="5">
        <f>pima_data!C96/$B96</f>
        <v>0.252331545653734</v>
      </c>
      <c r="F96" s="5">
        <f>pima_data!D96/$B96</f>
        <v>0.0946243296201501</v>
      </c>
      <c r="G96" s="5">
        <f>pima_data!E96/$B96</f>
        <v>0.799049894570157</v>
      </c>
      <c r="H96" s="5">
        <f>pima_data!F96/$B96</f>
        <v>0.1188061027453</v>
      </c>
      <c r="I96" s="5">
        <f>pima_data!G96/$B96</f>
        <v>0.000893674224190307</v>
      </c>
      <c r="J96" s="5">
        <f>pima_data!H96/$B96</f>
        <v>0.140184192029852</v>
      </c>
    </row>
    <row r="97" spans="1:10">
      <c r="A97" s="4" cm="1">
        <f t="array" ref="A97">SUM(POWER(pima_data!A97:H97,2))</f>
        <v>14670.5769</v>
      </c>
      <c r="B97" s="4">
        <f t="shared" si="1"/>
        <v>121.122156932578</v>
      </c>
      <c r="C97" s="5">
        <f>pima_data!A97/$B97</f>
        <v>0.0165122554836378</v>
      </c>
      <c r="D97" s="5">
        <f>pima_data!B97/$B97</f>
        <v>0.75956375224734</v>
      </c>
      <c r="E97" s="5">
        <f>pima_data!C97/$B97</f>
        <v>0.511879919992773</v>
      </c>
      <c r="F97" s="5">
        <f>pima_data!D97/$B97</f>
        <v>0.23117157677093</v>
      </c>
      <c r="G97" s="5">
        <f>pima_data!E97/$B97</f>
        <v>0</v>
      </c>
      <c r="H97" s="5">
        <f>pima_data!F97/$B97</f>
        <v>0.260893636641478</v>
      </c>
      <c r="I97" s="5">
        <f>pima_data!G97/$B97</f>
        <v>0.00107329660643646</v>
      </c>
      <c r="J97" s="5">
        <f>pima_data!H97/$B97</f>
        <v>0.198147065803654</v>
      </c>
    </row>
    <row r="98" spans="1:10">
      <c r="A98" s="4" cm="1">
        <f t="array" ref="A98">SUM(POWER(pima_data!A98:H98,2))</f>
        <v>14346.264329</v>
      </c>
      <c r="B98" s="4">
        <f t="shared" si="1"/>
        <v>119.77589210271</v>
      </c>
      <c r="C98" s="5">
        <f>pima_data!A98/$B98</f>
        <v>0.0083489255011558</v>
      </c>
      <c r="D98" s="5">
        <f>pima_data!B98/$B98</f>
        <v>0.592773710582062</v>
      </c>
      <c r="E98" s="5">
        <f>pima_data!C98/$B98</f>
        <v>0.400748424055478</v>
      </c>
      <c r="F98" s="5">
        <f>pima_data!D98/$B98</f>
        <v>0.150280659020804</v>
      </c>
      <c r="G98" s="5">
        <f>pima_data!E98/$B98</f>
        <v>0.634518338087841</v>
      </c>
      <c r="H98" s="5">
        <f>pima_data!F98/$B98</f>
        <v>0.170318080223578</v>
      </c>
      <c r="I98" s="5">
        <f>pima_data!G98/$B98</f>
        <v>0.00269670293687332</v>
      </c>
      <c r="J98" s="5">
        <f>pima_data!H98/$B98</f>
        <v>0.183676361025428</v>
      </c>
    </row>
    <row r="99" spans="1:10">
      <c r="A99" s="4" cm="1">
        <f t="array" ref="A99">SUM(POWER(pima_data!A99:H99,2))</f>
        <v>17533.816736</v>
      </c>
      <c r="B99" s="4">
        <f t="shared" si="1"/>
        <v>132.415319113764</v>
      </c>
      <c r="C99" s="5">
        <f>pima_data!A99/$B99</f>
        <v>0.0453119777995258</v>
      </c>
      <c r="D99" s="5">
        <f>pima_data!B99/$B99</f>
        <v>0.702335655892649</v>
      </c>
      <c r="E99" s="5">
        <f>pima_data!C99/$B99</f>
        <v>0.377599814996048</v>
      </c>
      <c r="F99" s="5">
        <f>pima_data!D99/$B99</f>
        <v>0.226559888997629</v>
      </c>
      <c r="G99" s="5">
        <f>pima_data!E99/$B99</f>
        <v>0.483327763194941</v>
      </c>
      <c r="H99" s="5">
        <f>pima_data!F99/$B99</f>
        <v>0.216742293807732</v>
      </c>
      <c r="I99" s="5">
        <f>pima_data!G99/$B99</f>
        <v>0.00268851068277186</v>
      </c>
      <c r="J99" s="5">
        <f>pima_data!H99/$B99</f>
        <v>0.173695914898182</v>
      </c>
    </row>
    <row r="100" spans="1:10">
      <c r="A100" s="4" cm="1">
        <f t="array" ref="A100">SUM(POWER(pima_data!A100:H100,2))</f>
        <v>77417.195625</v>
      </c>
      <c r="B100" s="4">
        <f t="shared" si="1"/>
        <v>278.239457347444</v>
      </c>
      <c r="C100" s="5">
        <f>pima_data!A100/$B100</f>
        <v>0.00359402656091037</v>
      </c>
      <c r="D100" s="5">
        <f>pima_data!B100/$B100</f>
        <v>0.438471240431065</v>
      </c>
      <c r="E100" s="5">
        <f>pima_data!C100/$B100</f>
        <v>0.323462390481933</v>
      </c>
      <c r="F100" s="5">
        <f>pima_data!D100/$B100</f>
        <v>0.183295354606429</v>
      </c>
      <c r="G100" s="5">
        <f>pima_data!E100/$B100</f>
        <v>0.790685843400281</v>
      </c>
      <c r="H100" s="5">
        <f>pima_data!F100/$B100</f>
        <v>0.178623120077245</v>
      </c>
      <c r="I100" s="5">
        <f>pima_data!G100/$B100</f>
        <v>0.00116805863229587</v>
      </c>
      <c r="J100" s="5">
        <f>pima_data!H100/$B100</f>
        <v>0.111414823388221</v>
      </c>
    </row>
    <row r="101" spans="1:10">
      <c r="A101" s="4" cm="1">
        <f t="array" ref="A101">SUM(POWER(pima_data!A101:H101,2))</f>
        <v>34365.493284</v>
      </c>
      <c r="B101" s="4">
        <f t="shared" si="1"/>
        <v>185.379322698083</v>
      </c>
      <c r="C101" s="5">
        <f>pima_data!A101/$B101</f>
        <v>0.00539434487862837</v>
      </c>
      <c r="D101" s="5">
        <f>pima_data!B101/$B101</f>
        <v>0.879278215216424</v>
      </c>
      <c r="E101" s="5">
        <f>pima_data!C101/$B101</f>
        <v>0.388392831261243</v>
      </c>
      <c r="F101" s="5">
        <f>pima_data!D101/$B101</f>
        <v>0</v>
      </c>
      <c r="G101" s="5">
        <f>pima_data!E101/$B101</f>
        <v>0</v>
      </c>
      <c r="H101" s="5">
        <f>pima_data!F101/$B101</f>
        <v>0.210379450266506</v>
      </c>
      <c r="I101" s="5">
        <f>pima_data!G101/$B101</f>
        <v>0.00659188944168387</v>
      </c>
      <c r="J101" s="5">
        <f>pima_data!H101/$B101</f>
        <v>0.178013380994736</v>
      </c>
    </row>
    <row r="102" spans="1:10">
      <c r="A102" s="4" cm="1">
        <f t="array" ref="A102">SUM(POWER(pima_data!A102:H102,2))</f>
        <v>27567.242041</v>
      </c>
      <c r="B102" s="4">
        <f t="shared" si="1"/>
        <v>166.033858116349</v>
      </c>
      <c r="C102" s="5">
        <f>pima_data!A102/$B102</f>
        <v>0.00602286793395624</v>
      </c>
      <c r="D102" s="5">
        <f>pima_data!B102/$B102</f>
        <v>0.909453058027392</v>
      </c>
      <c r="E102" s="5">
        <f>pima_data!C102/$B102</f>
        <v>0.361372076037374</v>
      </c>
      <c r="F102" s="5">
        <f>pima_data!D102/$B102</f>
        <v>0</v>
      </c>
      <c r="G102" s="5">
        <f>pima_data!E102/$B102</f>
        <v>0</v>
      </c>
      <c r="H102" s="5">
        <f>pima_data!F102/$B102</f>
        <v>0.157196853076258</v>
      </c>
      <c r="I102" s="5">
        <f>pima_data!G102/$B102</f>
        <v>0.00107809336017817</v>
      </c>
      <c r="J102" s="5">
        <f>pima_data!H102/$B102</f>
        <v>0.132503094547037</v>
      </c>
    </row>
    <row r="103" spans="1:10">
      <c r="A103" s="4" cm="1">
        <f t="array" ref="A103">SUM(POWER(pima_data!A103:H103,2))</f>
        <v>25788.318644</v>
      </c>
      <c r="B103" s="4">
        <f t="shared" si="1"/>
        <v>160.587417452302</v>
      </c>
      <c r="C103" s="5">
        <f>pima_data!A103/$B103</f>
        <v>0</v>
      </c>
      <c r="D103" s="5">
        <f>pima_data!B103/$B103</f>
        <v>0.778392242574843</v>
      </c>
      <c r="E103" s="5">
        <f>pima_data!C103/$B103</f>
        <v>0.597805242297479</v>
      </c>
      <c r="F103" s="5">
        <f>pima_data!D103/$B103</f>
        <v>0</v>
      </c>
      <c r="G103" s="5">
        <f>pima_data!E103/$B103</f>
        <v>0</v>
      </c>
      <c r="H103" s="5">
        <f>pima_data!F103/$B103</f>
        <v>0.140110603663472</v>
      </c>
      <c r="I103" s="5">
        <f>pima_data!G103/$B103</f>
        <v>0.00163151014043687</v>
      </c>
      <c r="J103" s="5">
        <f>pima_data!H103/$B103</f>
        <v>0.130769896752574</v>
      </c>
    </row>
    <row r="104" spans="1:10">
      <c r="A104" s="4" cm="1">
        <f t="array" ref="A104">SUM(POWER(pima_data!A104:H104,2))</f>
        <v>14953.640089</v>
      </c>
      <c r="B104" s="4">
        <f t="shared" si="1"/>
        <v>122.285077131267</v>
      </c>
      <c r="C104" s="5">
        <f>pima_data!A104/$B104</f>
        <v>0.00817761270188795</v>
      </c>
      <c r="D104" s="5">
        <f>pima_data!B104/$B104</f>
        <v>0.662386628852924</v>
      </c>
      <c r="E104" s="5">
        <f>pima_data!C104/$B104</f>
        <v>0.588788114535933</v>
      </c>
      <c r="F104" s="5">
        <f>pima_data!D104/$B104</f>
        <v>0.147197028633983</v>
      </c>
      <c r="G104" s="5">
        <f>pima_data!E104/$B104</f>
        <v>0.327104508075518</v>
      </c>
      <c r="H104" s="5">
        <f>pima_data!F104/$B104</f>
        <v>0.21752449787022</v>
      </c>
      <c r="I104" s="5">
        <f>pima_data!G104/$B104</f>
        <v>0.00231426439463429</v>
      </c>
      <c r="J104" s="5">
        <f>pima_data!H104/$B104</f>
        <v>0.196262704845311</v>
      </c>
    </row>
    <row r="105" spans="1:10">
      <c r="A105" s="4" cm="1">
        <f t="array" ref="A105">SUM(POWER(pima_data!A105:H105,2))</f>
        <v>13752.0249</v>
      </c>
      <c r="B105" s="4">
        <f t="shared" si="1"/>
        <v>117.26902788034</v>
      </c>
      <c r="C105" s="5">
        <f>pima_data!A105/$B105</f>
        <v>0.0170548015631269</v>
      </c>
      <c r="D105" s="5">
        <f>pima_data!B105/$B105</f>
        <v>0.724829066432894</v>
      </c>
      <c r="E105" s="5">
        <f>pima_data!C105/$B105</f>
        <v>0.554281050801625</v>
      </c>
      <c r="F105" s="5">
        <f>pima_data!D105/$B105</f>
        <v>0</v>
      </c>
      <c r="G105" s="5">
        <f>pima_data!E105/$B105</f>
        <v>0</v>
      </c>
      <c r="H105" s="5">
        <f>pima_data!F105/$B105</f>
        <v>0.337685070949913</v>
      </c>
      <c r="I105" s="5">
        <f>pima_data!G105/$B105</f>
        <v>0.00793048272685402</v>
      </c>
      <c r="J105" s="5">
        <f>pima_data!H105/$B105</f>
        <v>0.230239821102213</v>
      </c>
    </row>
    <row r="106" spans="1:10">
      <c r="A106" s="4" cm="1">
        <f t="array" ref="A106">SUM(POWER(pima_data!A106:H106,2))</f>
        <v>44223.331601</v>
      </c>
      <c r="B106" s="4">
        <f t="shared" si="1"/>
        <v>210.293441649995</v>
      </c>
      <c r="C106" s="5">
        <f>pima_data!A106/$B106</f>
        <v>0.0047552600411779</v>
      </c>
      <c r="D106" s="5">
        <f>pima_data!B106/$B106</f>
        <v>0.599162765188416</v>
      </c>
      <c r="E106" s="5">
        <f>pima_data!C106/$B106</f>
        <v>0.266294562305963</v>
      </c>
      <c r="F106" s="5">
        <f>pima_data!D106/$B106</f>
        <v>0.137902541194159</v>
      </c>
      <c r="G106" s="5">
        <f>pima_data!E106/$B106</f>
        <v>0.722799526259041</v>
      </c>
      <c r="H106" s="5">
        <f>pima_data!F106/$B106</f>
        <v>0.136475963181806</v>
      </c>
      <c r="I106" s="5">
        <f>pima_data!G106/$B106</f>
        <v>0.0038089632929835</v>
      </c>
      <c r="J106" s="5">
        <f>pima_data!H106/$B106</f>
        <v>0.099860460864736</v>
      </c>
    </row>
    <row r="107" spans="1:10">
      <c r="A107" s="4" cm="1">
        <f t="array" ref="A107">SUM(POWER(pima_data!A107:H107,2))</f>
        <v>25331.802849</v>
      </c>
      <c r="B107" s="4">
        <f t="shared" si="1"/>
        <v>159.159677208142</v>
      </c>
      <c r="C107" s="5">
        <f>pima_data!A107/$B107</f>
        <v>0.00628299841732051</v>
      </c>
      <c r="D107" s="5">
        <f>pima_data!B107/$B107</f>
        <v>0.603167848062769</v>
      </c>
      <c r="E107" s="5">
        <f>pima_data!C107/$B107</f>
        <v>0.766525806913102</v>
      </c>
      <c r="F107" s="5">
        <f>pima_data!D107/$B107</f>
        <v>0</v>
      </c>
      <c r="G107" s="5">
        <f>pima_data!E107/$B107</f>
        <v>0</v>
      </c>
      <c r="H107" s="5">
        <f>pima_data!F107/$B107</f>
        <v>0.140739164547979</v>
      </c>
      <c r="I107" s="5">
        <f>pima_data!G107/$B107</f>
        <v>0.00130058067238535</v>
      </c>
      <c r="J107" s="5">
        <f>pima_data!H107/$B107</f>
        <v>0.169640957267654</v>
      </c>
    </row>
    <row r="108" spans="1:10">
      <c r="A108" s="4" cm="1">
        <f t="array" ref="A108">SUM(POWER(pima_data!A108:H108,2))</f>
        <v>46739.332369</v>
      </c>
      <c r="B108" s="4">
        <f t="shared" si="1"/>
        <v>216.192812944834</v>
      </c>
      <c r="C108" s="5">
        <f>pima_data!A108/$B108</f>
        <v>0.0185020026591757</v>
      </c>
      <c r="D108" s="5">
        <f>pima_data!B108/$B108</f>
        <v>0.666072095730326</v>
      </c>
      <c r="E108" s="5">
        <f>pima_data!C108/$B108</f>
        <v>0.268279038558048</v>
      </c>
      <c r="F108" s="5">
        <f>pima_data!D108/$B108</f>
        <v>0.12951401861423</v>
      </c>
      <c r="G108" s="5">
        <f>pima_data!E108/$B108</f>
        <v>0.64757009307115</v>
      </c>
      <c r="H108" s="5">
        <f>pima_data!F108/$B108</f>
        <v>0.136452269611421</v>
      </c>
      <c r="I108" s="5">
        <f>pima_data!G108/$B108</f>
        <v>0.00132751869079586</v>
      </c>
      <c r="J108" s="5">
        <f>pima_data!H108/$B108</f>
        <v>0.171143524597375</v>
      </c>
    </row>
    <row r="109" spans="1:10">
      <c r="A109" s="4" cm="1">
        <f t="array" ref="A109">SUM(POWER(pima_data!A109:H109,2))</f>
        <v>13348.602896</v>
      </c>
      <c r="B109" s="4">
        <f t="shared" si="1"/>
        <v>115.536154064431</v>
      </c>
      <c r="C109" s="5">
        <f>pima_data!A109/$B109</f>
        <v>0.0259658980714122</v>
      </c>
      <c r="D109" s="5">
        <f>pima_data!B109/$B109</f>
        <v>0.718389846642404</v>
      </c>
      <c r="E109" s="5">
        <f>pima_data!C109/$B109</f>
        <v>0.502007362713969</v>
      </c>
      <c r="F109" s="5">
        <f>pima_data!D109/$B109</f>
        <v>0.26831428007126</v>
      </c>
      <c r="G109" s="5">
        <f>pima_data!E109/$B109</f>
        <v>0.155795388428473</v>
      </c>
      <c r="H109" s="5">
        <f>pima_data!F109/$B109</f>
        <v>0.296876767949813</v>
      </c>
      <c r="I109" s="5">
        <f>pima_data!G109/$B109</f>
        <v>0.00290818058399817</v>
      </c>
      <c r="J109" s="5">
        <f>pima_data!H109/$B109</f>
        <v>0.216382483928435</v>
      </c>
    </row>
    <row r="110" spans="1:10">
      <c r="A110" s="4" cm="1">
        <f t="array" ref="A110">SUM(POWER(pima_data!A110:H110,2))</f>
        <v>20145.821009</v>
      </c>
      <c r="B110" s="4">
        <f t="shared" si="1"/>
        <v>141.93597503452</v>
      </c>
      <c r="C110" s="5">
        <f>pima_data!A110/$B110</f>
        <v>0</v>
      </c>
      <c r="D110" s="5">
        <f>pima_data!B110/$B110</f>
        <v>0.669315865670384</v>
      </c>
      <c r="E110" s="5">
        <f>pima_data!C110/$B110</f>
        <v>0.59886156402087</v>
      </c>
      <c r="F110" s="5">
        <f>pima_data!D110/$B110</f>
        <v>0.176135754123785</v>
      </c>
      <c r="G110" s="5">
        <f>pima_data!E110/$B110</f>
        <v>0.253635485938251</v>
      </c>
      <c r="H110" s="5">
        <f>pima_data!F110/$B110</f>
        <v>0.263499088169183</v>
      </c>
      <c r="I110" s="5">
        <f>pima_data!G110/$B110</f>
        <v>0.001740221250743</v>
      </c>
      <c r="J110" s="5">
        <f>pima_data!H110/$B110</f>
        <v>0.169090323958834</v>
      </c>
    </row>
    <row r="111" spans="1:10">
      <c r="A111" s="4" cm="1">
        <f t="array" ref="A111">SUM(POWER(pima_data!A111:H111,2))</f>
        <v>55432.929601</v>
      </c>
      <c r="B111" s="4">
        <f t="shared" si="1"/>
        <v>235.441987761317</v>
      </c>
      <c r="C111" s="5">
        <f>pima_data!A111/$B111</f>
        <v>0.0127419923205936</v>
      </c>
      <c r="D111" s="5">
        <f>pima_data!B111/$B111</f>
        <v>0.726293562273838</v>
      </c>
      <c r="E111" s="5">
        <f>pima_data!C111/$B111</f>
        <v>0.305807815694247</v>
      </c>
      <c r="F111" s="5">
        <f>pima_data!D111/$B111</f>
        <v>0.14016191552653</v>
      </c>
      <c r="G111" s="5">
        <f>pima_data!E111/$B111</f>
        <v>0.573389654426714</v>
      </c>
      <c r="H111" s="5">
        <f>pima_data!F111/$B111</f>
        <v>0.141436114758589</v>
      </c>
      <c r="I111" s="5">
        <f>pima_data!G111/$B111</f>
        <v>0.000845218823932712</v>
      </c>
      <c r="J111" s="5">
        <f>pima_data!H111/$B111</f>
        <v>0.101935938564749</v>
      </c>
    </row>
    <row r="112" spans="1:10">
      <c r="A112" s="4" cm="1">
        <f t="array" ref="A112">SUM(POWER(pima_data!A112:H112,2))</f>
        <v>276906.294849</v>
      </c>
      <c r="B112" s="4">
        <f t="shared" si="1"/>
        <v>526.218865918925</v>
      </c>
      <c r="C112" s="5">
        <f>pima_data!A112/$B112</f>
        <v>0.0152027996678336</v>
      </c>
      <c r="D112" s="5">
        <f>pima_data!B112/$B112</f>
        <v>0.294554243564276</v>
      </c>
      <c r="E112" s="5">
        <f>pima_data!C112/$B112</f>
        <v>0.11782169742571</v>
      </c>
      <c r="F112" s="5">
        <f>pima_data!D112/$B112</f>
        <v>0.0494090989204591</v>
      </c>
      <c r="G112" s="5">
        <f>pima_data!E112/$B112</f>
        <v>0.940673229447202</v>
      </c>
      <c r="H112" s="5">
        <f>pima_data!F112/$B112</f>
        <v>0.0646118985882927</v>
      </c>
      <c r="I112" s="5">
        <f>pima_data!G112/$B112</f>
        <v>0.0010318900274542</v>
      </c>
      <c r="J112" s="5">
        <f>pima_data!H112/$B112</f>
        <v>0.0874160980900431</v>
      </c>
    </row>
    <row r="113" spans="1:10">
      <c r="A113" s="4" cm="1">
        <f t="array" ref="A113">SUM(POWER(pima_data!A113:H113,2))</f>
        <v>17725.476864</v>
      </c>
      <c r="B113" s="4">
        <f t="shared" si="1"/>
        <v>133.137060445242</v>
      </c>
      <c r="C113" s="5">
        <f>pima_data!A113/$B113</f>
        <v>0.00751105662582426</v>
      </c>
      <c r="D113" s="5">
        <f>pima_data!B113/$B113</f>
        <v>0.66848403969836</v>
      </c>
      <c r="E113" s="5">
        <f>pima_data!C113/$B113</f>
        <v>0.570840303562644</v>
      </c>
      <c r="F113" s="5">
        <f>pima_data!D113/$B113</f>
        <v>0.255375925278025</v>
      </c>
      <c r="G113" s="5">
        <f>pima_data!E113/$B113</f>
        <v>0.277909095155498</v>
      </c>
      <c r="H113" s="5">
        <f>pima_data!F113/$B113</f>
        <v>0.234344966725717</v>
      </c>
      <c r="I113" s="5">
        <f>pima_data!G113/$B113</f>
        <v>0.00144212287215826</v>
      </c>
      <c r="J113" s="5">
        <f>pima_data!H113/$B113</f>
        <v>0.172754302393958</v>
      </c>
    </row>
    <row r="114" spans="1:10">
      <c r="A114" s="4" cm="1">
        <f t="array" ref="A114">SUM(POWER(pima_data!A114:H114,2))</f>
        <v>11417.152881</v>
      </c>
      <c r="B114" s="4">
        <f t="shared" si="1"/>
        <v>106.851078052587</v>
      </c>
      <c r="C114" s="5">
        <f>pima_data!A114/$B114</f>
        <v>0.0374352797641536</v>
      </c>
      <c r="D114" s="5">
        <f>pima_data!B114/$B114</f>
        <v>0.711270315518918</v>
      </c>
      <c r="E114" s="5">
        <f>pima_data!C114/$B114</f>
        <v>0.580246836344381</v>
      </c>
      <c r="F114" s="5">
        <f>pima_data!D114/$B114</f>
        <v>0</v>
      </c>
      <c r="G114" s="5">
        <f>pima_data!E114/$B114</f>
        <v>0</v>
      </c>
      <c r="H114" s="5">
        <f>pima_data!F114/$B114</f>
        <v>0.318199877995306</v>
      </c>
      <c r="I114" s="5">
        <f>pima_data!G114/$B114</f>
        <v>0.00365929859694601</v>
      </c>
      <c r="J114" s="5">
        <f>pima_data!H114/$B114</f>
        <v>0.23397049852596</v>
      </c>
    </row>
    <row r="115" spans="1:10">
      <c r="A115" s="4" cm="1">
        <f t="array" ref="A115">SUM(POWER(pima_data!A115:H115,2))</f>
        <v>62665.595744</v>
      </c>
      <c r="B115" s="4">
        <f t="shared" si="1"/>
        <v>250.330972402538</v>
      </c>
      <c r="C115" s="5">
        <f>pima_data!A115/$B115</f>
        <v>0.0279629801011752</v>
      </c>
      <c r="D115" s="5">
        <f>pima_data!B115/$B115</f>
        <v>0.639153830884005</v>
      </c>
      <c r="E115" s="5">
        <f>pima_data!C115/$B115</f>
        <v>0.215714417923352</v>
      </c>
      <c r="F115" s="5">
        <f>pima_data!D115/$B115</f>
        <v>0.127830766176801</v>
      </c>
      <c r="G115" s="5">
        <f>pima_data!E115/$B115</f>
        <v>0.699074502529381</v>
      </c>
      <c r="H115" s="5">
        <f>pima_data!F115/$B115</f>
        <v>0.121838699012263</v>
      </c>
      <c r="I115" s="5">
        <f>pima_data!G115/$B115</f>
        <v>0.00234889032849872</v>
      </c>
      <c r="J115" s="5">
        <f>pima_data!H115/$B115</f>
        <v>0.155793746277976</v>
      </c>
    </row>
    <row r="116" spans="1:10">
      <c r="A116" s="4" cm="1">
        <f t="array" ref="A116">SUM(POWER(pima_data!A116:H116,2))</f>
        <v>34490.730521</v>
      </c>
      <c r="B116" s="4">
        <f t="shared" si="1"/>
        <v>185.716801935097</v>
      </c>
      <c r="C116" s="5">
        <f>pima_data!A116/$B116</f>
        <v>0.0215381697203568</v>
      </c>
      <c r="D116" s="5">
        <f>pima_data!B116/$B116</f>
        <v>0.786143194793022</v>
      </c>
      <c r="E116" s="5">
        <f>pima_data!C116/$B116</f>
        <v>0.495377903568206</v>
      </c>
      <c r="F116" s="5">
        <f>pima_data!D116/$B116</f>
        <v>0</v>
      </c>
      <c r="G116" s="5">
        <f>pima_data!E116/$B116</f>
        <v>0</v>
      </c>
      <c r="H116" s="5">
        <f>pima_data!F116/$B116</f>
        <v>0.167997723818783</v>
      </c>
      <c r="I116" s="5">
        <f>pima_data!G116/$B116</f>
        <v>0.00290226836981808</v>
      </c>
      <c r="J116" s="5">
        <f>pima_data!H116/$B116</f>
        <v>0.328457088235441</v>
      </c>
    </row>
    <row r="117" spans="1:10">
      <c r="A117" s="4" cm="1">
        <f t="array" ref="A117">SUM(POWER(pima_data!A117:H117,2))</f>
        <v>23477.0484</v>
      </c>
      <c r="B117" s="4">
        <f t="shared" si="1"/>
        <v>153.22221901539</v>
      </c>
      <c r="C117" s="5">
        <f>pima_data!A117/$B117</f>
        <v>0.0326323429599842</v>
      </c>
      <c r="D117" s="5">
        <f>pima_data!B117/$B117</f>
        <v>0.809282105407608</v>
      </c>
      <c r="E117" s="5">
        <f>pima_data!C117/$B117</f>
        <v>0.482958675807766</v>
      </c>
      <c r="F117" s="5">
        <f>pima_data!D117/$B117</f>
        <v>0</v>
      </c>
      <c r="G117" s="5">
        <f>pima_data!E117/$B117</f>
        <v>0</v>
      </c>
      <c r="H117" s="5">
        <f>pima_data!F117/$B117</f>
        <v>0.221899932127892</v>
      </c>
      <c r="I117" s="5">
        <f>pima_data!G117/$B117</f>
        <v>0.0014358230902393</v>
      </c>
      <c r="J117" s="5">
        <f>pima_data!H117/$B117</f>
        <v>0.24800580649588</v>
      </c>
    </row>
    <row r="118" spans="1:10">
      <c r="A118" s="4" cm="1">
        <f t="array" ref="A118">SUM(POWER(pima_data!A118:H118,2))</f>
        <v>10174.117716</v>
      </c>
      <c r="B118" s="4">
        <f t="shared" si="1"/>
        <v>100.86683159493</v>
      </c>
      <c r="C118" s="5">
        <f>pima_data!A118/$B118</f>
        <v>0.0495703089007439</v>
      </c>
      <c r="D118" s="5">
        <f>pima_data!B118/$B118</f>
        <v>0.773296818851604</v>
      </c>
      <c r="E118" s="5">
        <f>pima_data!C118/$B118</f>
        <v>0.475874965447141</v>
      </c>
      <c r="F118" s="5">
        <f>pima_data!D118/$B118</f>
        <v>0</v>
      </c>
      <c r="G118" s="5">
        <f>pima_data!E118/$B118</f>
        <v>0</v>
      </c>
      <c r="H118" s="5">
        <f>pima_data!F118/$B118</f>
        <v>0.334103881991014</v>
      </c>
      <c r="I118" s="5">
        <f>pima_data!G118/$B118</f>
        <v>0.0064837964042173</v>
      </c>
      <c r="J118" s="5">
        <f>pima_data!H118/$B118</f>
        <v>0.247851544503719</v>
      </c>
    </row>
    <row r="119" spans="1:10">
      <c r="A119" s="4" cm="1">
        <f t="array" ref="A119">SUM(POWER(pima_data!A119:H119,2))</f>
        <v>14833.436249</v>
      </c>
      <c r="B119" s="4">
        <f t="shared" si="1"/>
        <v>121.792595214159</v>
      </c>
      <c r="C119" s="5">
        <f>pima_data!A119/$B119</f>
        <v>0.0328427191568291</v>
      </c>
      <c r="D119" s="5">
        <f>pima_data!B119/$B119</f>
        <v>0.796435939553107</v>
      </c>
      <c r="E119" s="5">
        <f>pima_data!C119/$B119</f>
        <v>0.492640787352437</v>
      </c>
      <c r="F119" s="5">
        <f>pima_data!D119/$B119</f>
        <v>0.188845635151768</v>
      </c>
      <c r="G119" s="5">
        <f>pima_data!E119/$B119</f>
        <v>0</v>
      </c>
      <c r="H119" s="5">
        <f>pima_data!F119/$B119</f>
        <v>0.231541170055646</v>
      </c>
      <c r="I119" s="5">
        <f>pima_data!G119/$B119</f>
        <v>0.00363733114661883</v>
      </c>
      <c r="J119" s="5">
        <f>pima_data!H119/$B119</f>
        <v>0.18063495536256</v>
      </c>
    </row>
    <row r="120" spans="1:10">
      <c r="A120" s="4" cm="1">
        <f t="array" ref="A120">SUM(POWER(pima_data!A120:H120,2))</f>
        <v>19398.289729</v>
      </c>
      <c r="B120" s="4">
        <f t="shared" si="1"/>
        <v>139.277743121433</v>
      </c>
      <c r="C120" s="5">
        <f>pima_data!A120/$B120</f>
        <v>0.0287195923078139</v>
      </c>
      <c r="D120" s="5">
        <f>pima_data!B120/$B120</f>
        <v>0.710809909618394</v>
      </c>
      <c r="E120" s="5">
        <f>pima_data!C120/$B120</f>
        <v>0.545672253848464</v>
      </c>
      <c r="F120" s="5">
        <f>pima_data!D120/$B120</f>
        <v>0.107698471154302</v>
      </c>
      <c r="G120" s="5">
        <f>pima_data!E120/$B120</f>
        <v>0.366174801924627</v>
      </c>
      <c r="H120" s="5">
        <f>pima_data!F120/$B120</f>
        <v>0.166573635385321</v>
      </c>
      <c r="I120" s="5">
        <f>pima_data!G120/$B120</f>
        <v>0.00160111727116062</v>
      </c>
      <c r="J120" s="5">
        <f>pima_data!H120/$B120</f>
        <v>0.150777859616023</v>
      </c>
    </row>
    <row r="121" spans="1:10">
      <c r="A121" s="4" cm="1">
        <f t="array" ref="A121">SUM(POWER(pima_data!A121:H121,2))</f>
        <v>48611.816081</v>
      </c>
      <c r="B121" s="4">
        <f t="shared" si="1"/>
        <v>220.480874637688</v>
      </c>
      <c r="C121" s="5">
        <f>pima_data!A121/$B121</f>
        <v>0</v>
      </c>
      <c r="D121" s="5">
        <f>pima_data!B121/$B121</f>
        <v>0.734757607734509</v>
      </c>
      <c r="E121" s="5">
        <f>pima_data!C121/$B121</f>
        <v>0.344701099924831</v>
      </c>
      <c r="F121" s="5">
        <f>pima_data!D121/$B121</f>
        <v>0.253990284155139</v>
      </c>
      <c r="G121" s="5">
        <f>pima_data!E121/$B121</f>
        <v>0.453554078848462</v>
      </c>
      <c r="H121" s="5">
        <f>pima_data!F121/$B121</f>
        <v>0.241290769947382</v>
      </c>
      <c r="I121" s="5">
        <f>pima_data!G121/$B121</f>
        <v>0.00344247545845983</v>
      </c>
      <c r="J121" s="5">
        <f>pima_data!H121/$B121</f>
        <v>0.113388519712116</v>
      </c>
    </row>
    <row r="122" spans="1:10">
      <c r="A122" s="4" cm="1">
        <f t="array" ref="A122">SUM(POWER(pima_data!A122:H122,2))</f>
        <v>19719.7076</v>
      </c>
      <c r="B122" s="4">
        <f t="shared" si="1"/>
        <v>140.42687634495</v>
      </c>
      <c r="C122" s="5">
        <f>pima_data!A122/$B122</f>
        <v>0.0427268636614928</v>
      </c>
      <c r="D122" s="5">
        <f>pima_data!B122/$B122</f>
        <v>0.790446977737616</v>
      </c>
      <c r="E122" s="5">
        <f>pima_data!C122/$B122</f>
        <v>0.455753212389256</v>
      </c>
      <c r="F122" s="5">
        <f>pima_data!D122/$B122</f>
        <v>0.277724613799703</v>
      </c>
      <c r="G122" s="5">
        <f>pima_data!E122/$B122</f>
        <v>0</v>
      </c>
      <c r="H122" s="5">
        <f>pima_data!F122/$B122</f>
        <v>0.243543122870509</v>
      </c>
      <c r="I122" s="5">
        <f>pima_data!G122/$B122</f>
        <v>0.00185149742533135</v>
      </c>
      <c r="J122" s="5">
        <f>pima_data!H122/$B122</f>
        <v>0.170907454645971</v>
      </c>
    </row>
    <row r="123" spans="1:10">
      <c r="A123" s="4" cm="1">
        <f t="array" ref="A123">SUM(POWER(pima_data!A123:H123,2))</f>
        <v>29487.123216</v>
      </c>
      <c r="B123" s="4">
        <f t="shared" si="1"/>
        <v>171.718150514149</v>
      </c>
      <c r="C123" s="5">
        <f>pima_data!A123/$B123</f>
        <v>0.0116469924350554</v>
      </c>
      <c r="D123" s="5">
        <f>pima_data!B123/$B123</f>
        <v>0.623114095275464</v>
      </c>
      <c r="E123" s="5">
        <f>pima_data!C123/$B123</f>
        <v>0.43093872009705</v>
      </c>
      <c r="F123" s="5">
        <f>pima_data!D123/$B123</f>
        <v>0.174704886525831</v>
      </c>
      <c r="G123" s="5">
        <f>pima_data!E123/$B123</f>
        <v>0.58234962175277</v>
      </c>
      <c r="H123" s="5">
        <f>pima_data!F123/$B123</f>
        <v>0.195669472908931</v>
      </c>
      <c r="I123" s="5">
        <f>pima_data!G123/$B123</f>
        <v>0.00235269247188119</v>
      </c>
      <c r="J123" s="5">
        <f>pima_data!H123/$B123</f>
        <v>0.133940413003137</v>
      </c>
    </row>
    <row r="124" spans="1:10">
      <c r="A124" s="4" cm="1">
        <f t="array" ref="A124">SUM(POWER(pima_data!A124:H124,2))</f>
        <v>29328.274596</v>
      </c>
      <c r="B124" s="4">
        <f t="shared" si="1"/>
        <v>171.254998747482</v>
      </c>
      <c r="C124" s="5">
        <f>pima_data!A124/$B124</f>
        <v>0.0291962280608964</v>
      </c>
      <c r="D124" s="5">
        <f>pima_data!B124/$B124</f>
        <v>0.770780420807664</v>
      </c>
      <c r="E124" s="5">
        <f>pima_data!C124/$B124</f>
        <v>0.467139648974342</v>
      </c>
      <c r="F124" s="5">
        <f>pima_data!D124/$B124</f>
        <v>0</v>
      </c>
      <c r="G124" s="5">
        <f>pima_data!E124/$B124</f>
        <v>0</v>
      </c>
      <c r="H124" s="5">
        <f>pima_data!F124/$B124</f>
        <v>0.156491782406404</v>
      </c>
      <c r="I124" s="5">
        <f>pima_data!G124/$B124</f>
        <v>0.00108609968386534</v>
      </c>
      <c r="J124" s="5">
        <f>pima_data!H124/$B124</f>
        <v>0.40290794724037</v>
      </c>
    </row>
    <row r="125" spans="1:10">
      <c r="A125" s="4" cm="1">
        <f t="array" ref="A125">SUM(POWER(pima_data!A125:H125,2))</f>
        <v>20182.967284</v>
      </c>
      <c r="B125" s="4">
        <f t="shared" si="1"/>
        <v>142.066770513023</v>
      </c>
      <c r="C125" s="5">
        <f>pima_data!A125/$B125</f>
        <v>0</v>
      </c>
      <c r="D125" s="5">
        <f>pima_data!B125/$B125</f>
        <v>0.795400638671105</v>
      </c>
      <c r="E125" s="5">
        <f>pima_data!C125/$B125</f>
        <v>0.534959721584106</v>
      </c>
      <c r="F125" s="5">
        <f>pima_data!D125/$B125</f>
        <v>0</v>
      </c>
      <c r="G125" s="5">
        <f>pima_data!E125/$B125</f>
        <v>0</v>
      </c>
      <c r="H125" s="5">
        <f>pima_data!F125/$B125</f>
        <v>0.234396825378299</v>
      </c>
      <c r="I125" s="5">
        <f>pima_data!G125/$B125</f>
        <v>0.00195682635000502</v>
      </c>
      <c r="J125" s="5">
        <f>pima_data!H125/$B125</f>
        <v>0.161895705216243</v>
      </c>
    </row>
    <row r="126" spans="1:10">
      <c r="A126" s="4" cm="1">
        <f t="array" ref="A126">SUM(POWER(pima_data!A126:H126,2))</f>
        <v>23911.246016</v>
      </c>
      <c r="B126" s="4">
        <f t="shared" si="1"/>
        <v>154.632616274834</v>
      </c>
      <c r="C126" s="5">
        <f>pima_data!A126/$B126</f>
        <v>0.00646694096039005</v>
      </c>
      <c r="D126" s="5">
        <f>pima_data!B126/$B126</f>
        <v>0.569090804514324</v>
      </c>
      <c r="E126" s="5">
        <f>pima_data!C126/$B126</f>
        <v>0.194008228811702</v>
      </c>
      <c r="F126" s="5">
        <f>pima_data!D126/$B126</f>
        <v>0.271611520336382</v>
      </c>
      <c r="G126" s="5">
        <f>pima_data!E126/$B126</f>
        <v>0.640227155078615</v>
      </c>
      <c r="H126" s="5">
        <f>pima_data!F126/$B126</f>
        <v>0.355681752821453</v>
      </c>
      <c r="I126" s="5">
        <f>pima_data!G126/$B126</f>
        <v>0.00320760271635347</v>
      </c>
      <c r="J126" s="5">
        <f>pima_data!H126/$B126</f>
        <v>0.168140464970141</v>
      </c>
    </row>
    <row r="127" spans="1:10">
      <c r="A127" s="4" cm="1">
        <f t="array" ref="A127">SUM(POWER(pima_data!A127:H127,2))</f>
        <v>41174.614304</v>
      </c>
      <c r="B127" s="4">
        <f t="shared" si="1"/>
        <v>202.915288492514</v>
      </c>
      <c r="C127" s="5">
        <f>pima_data!A127/$B127</f>
        <v>0.0147844946641893</v>
      </c>
      <c r="D127" s="5">
        <f>pima_data!B127/$B127</f>
        <v>0.591379786567572</v>
      </c>
      <c r="E127" s="5">
        <f>pima_data!C127/$B127</f>
        <v>0.344971542164417</v>
      </c>
      <c r="F127" s="5">
        <f>pima_data!D127/$B127</f>
        <v>0.147844946641893</v>
      </c>
      <c r="G127" s="5">
        <f>pima_data!E127/$B127</f>
        <v>0.665302259888519</v>
      </c>
      <c r="H127" s="5">
        <f>pima_data!F127/$B127</f>
        <v>0.211418273697907</v>
      </c>
      <c r="I127" s="5">
        <f>pima_data!G127/$B127</f>
        <v>0.00222753052940452</v>
      </c>
      <c r="J127" s="5">
        <f>pima_data!H127/$B127</f>
        <v>0.147844946641893</v>
      </c>
    </row>
    <row r="128" spans="1:10">
      <c r="A128" s="4" cm="1">
        <f t="array" ref="A128">SUM(POWER(pima_data!A128:H128,2))</f>
        <v>29058.958121</v>
      </c>
      <c r="B128" s="4">
        <f t="shared" si="1"/>
        <v>170.466882769059</v>
      </c>
      <c r="C128" s="5">
        <f>pima_data!A128/$B128</f>
        <v>0.0058662420744489</v>
      </c>
      <c r="D128" s="5">
        <f>pima_data!B128/$B128</f>
        <v>0.69221656478497</v>
      </c>
      <c r="E128" s="5">
        <f>pima_data!C128/$B128</f>
        <v>0.340242040318036</v>
      </c>
      <c r="F128" s="5">
        <f>pima_data!D128/$B128</f>
        <v>0.21118471468016</v>
      </c>
      <c r="G128" s="5">
        <f>pima_data!E128/$B128</f>
        <v>0.551426754998196</v>
      </c>
      <c r="H128" s="5">
        <f>pima_data!F128/$B128</f>
        <v>0.195345861079148</v>
      </c>
      <c r="I128" s="5">
        <f>pima_data!G128/$B128</f>
        <v>0.00153108918143116</v>
      </c>
      <c r="J128" s="5">
        <f>pima_data!H128/$B128</f>
        <v>0.134923567712325</v>
      </c>
    </row>
    <row r="129" spans="1:10">
      <c r="A129" s="4" cm="1">
        <f t="array" ref="A129">SUM(POWER(pima_data!A129:H129,2))</f>
        <v>45825.412409</v>
      </c>
      <c r="B129" s="4">
        <f t="shared" ref="B129:B192" si="2">A129^0.5</f>
        <v>214.068709551396</v>
      </c>
      <c r="C129" s="5">
        <f>pima_data!A129/$B129</f>
        <v>0.00467139733824531</v>
      </c>
      <c r="D129" s="5">
        <f>pima_data!B129/$B129</f>
        <v>0.546553488574701</v>
      </c>
      <c r="E129" s="5">
        <f>pima_data!C129/$B129</f>
        <v>0.411082965765587</v>
      </c>
      <c r="F129" s="5">
        <f>pima_data!D129/$B129</f>
        <v>0.112113536117887</v>
      </c>
      <c r="G129" s="5">
        <f>pima_data!E129/$B129</f>
        <v>0.67735261404557</v>
      </c>
      <c r="H129" s="5">
        <f>pima_data!F129/$B129</f>
        <v>0.161163208169463</v>
      </c>
      <c r="I129" s="5">
        <f>pima_data!G129/$B129</f>
        <v>0.00188257312731286</v>
      </c>
      <c r="J129" s="5">
        <f>pima_data!H129/$B129</f>
        <v>0.186855893529812</v>
      </c>
    </row>
    <row r="130" spans="1:10">
      <c r="A130" s="4" cm="1">
        <f t="array" ref="A130">SUM(POWER(pima_data!A130:H130,2))</f>
        <v>22703.959081</v>
      </c>
      <c r="B130" s="4">
        <f t="shared" si="2"/>
        <v>150.678329832129</v>
      </c>
      <c r="C130" s="5">
        <f>pima_data!A130/$B130</f>
        <v>0</v>
      </c>
      <c r="D130" s="5">
        <f>pima_data!B130/$B130</f>
        <v>0.696848711536558</v>
      </c>
      <c r="E130" s="5">
        <f>pima_data!C130/$B130</f>
        <v>0.557478969229247</v>
      </c>
      <c r="F130" s="5">
        <f>pima_data!D130/$B130</f>
        <v>0</v>
      </c>
      <c r="G130" s="5">
        <f>pima_data!E130/$B130</f>
        <v>0</v>
      </c>
      <c r="H130" s="5">
        <f>pima_data!F130/$B130</f>
        <v>0.185162657636857</v>
      </c>
      <c r="I130" s="5">
        <f>pima_data!G130/$B130</f>
        <v>0.00491776090712943</v>
      </c>
      <c r="J130" s="5">
        <f>pima_data!H130/$B130</f>
        <v>0.411472572526349</v>
      </c>
    </row>
    <row r="131" spans="1:10">
      <c r="A131" s="4" cm="1">
        <f t="array" ref="A131">SUM(POWER(pima_data!A131:H131,2))</f>
        <v>65236.220321</v>
      </c>
      <c r="B131" s="4">
        <f t="shared" si="2"/>
        <v>255.413821710964</v>
      </c>
      <c r="C131" s="5">
        <f>pima_data!A131/$B131</f>
        <v>0.0156608595932861</v>
      </c>
      <c r="D131" s="5">
        <f>pima_data!B131/$B131</f>
        <v>0.677332177409622</v>
      </c>
      <c r="E131" s="5">
        <f>pima_data!C131/$B131</f>
        <v>0.274065042882506</v>
      </c>
      <c r="F131" s="5">
        <f>pima_data!D131/$B131</f>
        <v>0.0548130085765012</v>
      </c>
      <c r="G131" s="5">
        <f>pima_data!E131/$B131</f>
        <v>0.657756102918014</v>
      </c>
      <c r="H131" s="5">
        <f>pima_data!F131/$B131</f>
        <v>0.116281882480149</v>
      </c>
      <c r="I131" s="5">
        <f>pima_data!G131/$B131</f>
        <v>0.00141339257829407</v>
      </c>
      <c r="J131" s="5">
        <f>pima_data!H131/$B131</f>
        <v>0.12920209164461</v>
      </c>
    </row>
    <row r="132" spans="1:10">
      <c r="A132" s="4" cm="1">
        <f t="array" ref="A132">SUM(POWER(pima_data!A132:H132,2))</f>
        <v>20300.130996</v>
      </c>
      <c r="B132" s="4">
        <f t="shared" si="2"/>
        <v>142.478528192847</v>
      </c>
      <c r="C132" s="5">
        <f>pima_data!A132/$B132</f>
        <v>0.0631674127614396</v>
      </c>
      <c r="D132" s="5">
        <f>pima_data!B132/$B132</f>
        <v>0.856269372988404</v>
      </c>
      <c r="E132" s="5">
        <f>pima_data!C132/$B132</f>
        <v>0.393041679404513</v>
      </c>
      <c r="F132" s="5">
        <f>pima_data!D132/$B132</f>
        <v>0</v>
      </c>
      <c r="G132" s="5">
        <f>pima_data!E132/$B132</f>
        <v>0</v>
      </c>
      <c r="H132" s="5">
        <f>pima_data!F132/$B132</f>
        <v>0.233719427217327</v>
      </c>
      <c r="I132" s="5">
        <f>pima_data!G132/$B132</f>
        <v>0.00781872197958264</v>
      </c>
      <c r="J132" s="5">
        <f>pima_data!H132/$B132</f>
        <v>0.231613846791945</v>
      </c>
    </row>
    <row r="133" spans="1:10">
      <c r="A133" s="4" cm="1">
        <f t="array" ref="A133">SUM(POWER(pima_data!A133:H133,2))</f>
        <v>87089.376736</v>
      </c>
      <c r="B133" s="4">
        <f t="shared" si="2"/>
        <v>295.109092940221</v>
      </c>
      <c r="C133" s="5">
        <f>pima_data!A133/$B133</f>
        <v>0.0101657321708067</v>
      </c>
      <c r="D133" s="5">
        <f>pima_data!B133/$B133</f>
        <v>0.576058156345715</v>
      </c>
      <c r="E133" s="5">
        <f>pima_data!C133/$B133</f>
        <v>0.21686895297721</v>
      </c>
      <c r="F133" s="5">
        <f>pima_data!D133/$B133</f>
        <v>0.12537736343995</v>
      </c>
      <c r="G133" s="5">
        <f>pima_data!E133/$B133</f>
        <v>0.762429912810505</v>
      </c>
      <c r="H133" s="5">
        <f>pima_data!F133/$B133</f>
        <v>0.116905919964277</v>
      </c>
      <c r="I133" s="5">
        <f>pima_data!G133/$B133</f>
        <v>0.00120633355093573</v>
      </c>
      <c r="J133" s="5">
        <f>pima_data!H133/$B133</f>
        <v>0.101657321708067</v>
      </c>
    </row>
    <row r="134" spans="1:10">
      <c r="A134" s="4" cm="1">
        <f t="array" ref="A134">SUM(POWER(pima_data!A134:H134,2))</f>
        <v>16545.098849</v>
      </c>
      <c r="B134" s="4">
        <f t="shared" si="2"/>
        <v>128.627753027875</v>
      </c>
      <c r="C134" s="5">
        <f>pima_data!A134/$B134</f>
        <v>0.0621949759028</v>
      </c>
      <c r="D134" s="5">
        <f>pima_data!B134/$B134</f>
        <v>0.653047246979401</v>
      </c>
      <c r="E134" s="5">
        <f>pima_data!C134/$B134</f>
        <v>0.5753035271009</v>
      </c>
      <c r="F134" s="5">
        <f>pima_data!D134/$B134</f>
        <v>0.24100553162335</v>
      </c>
      <c r="G134" s="5">
        <f>pima_data!E134/$B134</f>
        <v>0</v>
      </c>
      <c r="H134" s="5">
        <f>pima_data!F134/$B134</f>
        <v>0.297758447134655</v>
      </c>
      <c r="I134" s="5">
        <f>pima_data!G134/$B134</f>
        <v>0.00355288799844745</v>
      </c>
      <c r="J134" s="5">
        <f>pima_data!H134/$B134</f>
        <v>0.30320050752615</v>
      </c>
    </row>
    <row r="135" spans="1:10">
      <c r="A135" s="4" cm="1">
        <f t="array" ref="A135">SUM(POWER(pima_data!A135:H135,2))</f>
        <v>17535.628609</v>
      </c>
      <c r="B135" s="4">
        <f t="shared" si="2"/>
        <v>132.422160566123</v>
      </c>
      <c r="C135" s="5">
        <f>pima_data!A135/$B135</f>
        <v>0.0151032122678691</v>
      </c>
      <c r="D135" s="5">
        <f>pima_data!B135/$B135</f>
        <v>0.724954188857718</v>
      </c>
      <c r="E135" s="5">
        <f>pima_data!C135/$B135</f>
        <v>0.51350921710755</v>
      </c>
      <c r="F135" s="5">
        <f>pima_data!D135/$B135</f>
        <v>0.0981708797411493</v>
      </c>
      <c r="G135" s="5">
        <f>pima_data!E135/$B135</f>
        <v>0.370028700562794</v>
      </c>
      <c r="H135" s="5">
        <f>pima_data!F135/$B135</f>
        <v>0.159338889426019</v>
      </c>
      <c r="I135" s="5">
        <f>pima_data!G135/$B135</f>
        <v>0.00488588916865566</v>
      </c>
      <c r="J135" s="5">
        <f>pima_data!H135/$B135</f>
        <v>0.196341759482299</v>
      </c>
    </row>
    <row r="136" spans="1:10">
      <c r="A136" s="4" cm="1">
        <f t="array" ref="A136">SUM(POWER(pima_data!A136:H136,2))</f>
        <v>41332.447744</v>
      </c>
      <c r="B136" s="4">
        <f t="shared" si="2"/>
        <v>203.303831109992</v>
      </c>
      <c r="C136" s="5">
        <f>pima_data!A136/$B136</f>
        <v>0.00983749292416412</v>
      </c>
      <c r="D136" s="5">
        <f>pima_data!B136/$B136</f>
        <v>0.614843307760257</v>
      </c>
      <c r="E136" s="5">
        <f>pima_data!C136/$B136</f>
        <v>0.295124787724924</v>
      </c>
      <c r="F136" s="5">
        <f>pima_data!D136/$B136</f>
        <v>0.0983749292416412</v>
      </c>
      <c r="G136" s="5">
        <f>pima_data!E136/$B136</f>
        <v>0.688624504691488</v>
      </c>
      <c r="H136" s="5">
        <f>pima_data!F136/$B136</f>
        <v>0.166253630418374</v>
      </c>
      <c r="I136" s="5">
        <f>pima_data!G136/$B136</f>
        <v>0.000432849688663221</v>
      </c>
      <c r="J136" s="5">
        <f>pima_data!H136/$B136</f>
        <v>0.152481140324544</v>
      </c>
    </row>
    <row r="137" spans="1:10">
      <c r="A137" s="4" cm="1">
        <f t="array" ref="A137">SUM(POWER(pima_data!A137:H137,2))</f>
        <v>19465.996409</v>
      </c>
      <c r="B137" s="4">
        <f t="shared" si="2"/>
        <v>139.520594927774</v>
      </c>
      <c r="C137" s="5">
        <f>pima_data!A137/$B137</f>
        <v>0</v>
      </c>
      <c r="D137" s="5">
        <f>pima_data!B137/$B137</f>
        <v>0.716740063011968</v>
      </c>
      <c r="E137" s="5">
        <f>pima_data!C137/$B137</f>
        <v>0.501718044108378</v>
      </c>
      <c r="F137" s="5">
        <f>pima_data!D137/$B137</f>
        <v>0.186352416383112</v>
      </c>
      <c r="G137" s="5">
        <f>pima_data!E137/$B137</f>
        <v>0.358370031505984</v>
      </c>
      <c r="H137" s="5">
        <f>pima_data!F137/$B137</f>
        <v>0.220755939407686</v>
      </c>
      <c r="I137" s="5">
        <f>pima_data!G137/$B137</f>
        <v>0.00427893817618145</v>
      </c>
      <c r="J137" s="5">
        <f>pima_data!H137/$B137</f>
        <v>0.150515413232513</v>
      </c>
    </row>
    <row r="138" spans="1:10">
      <c r="A138" s="4" cm="1">
        <f t="array" ref="A138">SUM(POWER(pima_data!A138:H138,2))</f>
        <v>22645.973024</v>
      </c>
      <c r="B138" s="4">
        <f t="shared" si="2"/>
        <v>150.485790106575</v>
      </c>
      <c r="C138" s="5">
        <f>pima_data!A138/$B138</f>
        <v>0</v>
      </c>
      <c r="D138" s="5">
        <f>pima_data!B138/$B138</f>
        <v>0.617998549458637</v>
      </c>
      <c r="E138" s="5">
        <f>pima_data!C138/$B138</f>
        <v>0.398708741586218</v>
      </c>
      <c r="F138" s="5">
        <f>pima_data!D138/$B138</f>
        <v>0.166128642327591</v>
      </c>
      <c r="G138" s="5">
        <f>pima_data!E138/$B138</f>
        <v>0.611353403765534</v>
      </c>
      <c r="H138" s="5">
        <f>pima_data!F138/$B138</f>
        <v>0.190715681392074</v>
      </c>
      <c r="I138" s="5">
        <f>pima_data!G138/$B138</f>
        <v>0.00353521750873113</v>
      </c>
      <c r="J138" s="5">
        <f>pima_data!H138/$B138</f>
        <v>0.14619320524828</v>
      </c>
    </row>
    <row r="139" spans="1:10">
      <c r="A139" s="4" cm="1">
        <f t="array" ref="A139">SUM(POWER(pima_data!A139:H139,2))</f>
        <v>24855.934209</v>
      </c>
      <c r="B139" s="4">
        <f t="shared" si="2"/>
        <v>157.6576487488</v>
      </c>
      <c r="C139" s="5">
        <f>pima_data!A139/$B139</f>
        <v>0</v>
      </c>
      <c r="D139" s="5">
        <f>pima_data!B139/$B139</f>
        <v>0.818228617664716</v>
      </c>
      <c r="E139" s="5">
        <f>pima_data!C139/$B139</f>
        <v>0.50742860010215</v>
      </c>
      <c r="F139" s="5">
        <f>pima_data!D139/$B139</f>
        <v>0</v>
      </c>
      <c r="G139" s="5">
        <f>pima_data!E139/$B139</f>
        <v>0</v>
      </c>
      <c r="H139" s="5">
        <f>pima_data!F139/$B139</f>
        <v>0.197897154039838</v>
      </c>
      <c r="I139" s="5">
        <f>pima_data!G139/$B139</f>
        <v>0.00445902882339764</v>
      </c>
      <c r="J139" s="5">
        <f>pima_data!H139/$B139</f>
        <v>0.183942867537029</v>
      </c>
    </row>
    <row r="140" spans="1:10">
      <c r="A140" s="4" cm="1">
        <f t="array" ref="A140">SUM(POWER(pima_data!A140:H140,2))</f>
        <v>124845.635281</v>
      </c>
      <c r="B140" s="4">
        <f t="shared" si="2"/>
        <v>353.335018475384</v>
      </c>
      <c r="C140" s="5">
        <f>pima_data!A140/$B140</f>
        <v>0.0141508759068791</v>
      </c>
      <c r="D140" s="5">
        <f>pima_data!B140/$B140</f>
        <v>0.297168394044461</v>
      </c>
      <c r="E140" s="5">
        <f>pima_data!C140/$B140</f>
        <v>0.203772613059059</v>
      </c>
      <c r="F140" s="5">
        <f>pima_data!D140/$B140</f>
        <v>0.0820750802598989</v>
      </c>
      <c r="G140" s="5">
        <f>pima_data!E140/$B140</f>
        <v>0.919806933947143</v>
      </c>
      <c r="H140" s="5">
        <f>pima_data!F140/$B140</f>
        <v>0.104433464192768</v>
      </c>
      <c r="I140" s="5">
        <f>pima_data!G140/$B140</f>
        <v>0.000449997853838756</v>
      </c>
      <c r="J140" s="5">
        <f>pima_data!H140/$B140</f>
        <v>0.0792449050785231</v>
      </c>
    </row>
    <row r="141" spans="1:10">
      <c r="A141" s="4" cm="1">
        <f t="array" ref="A141">SUM(POWER(pima_data!A141:H141,2))</f>
        <v>25947.281824</v>
      </c>
      <c r="B141" s="4">
        <f t="shared" si="2"/>
        <v>161.081599892725</v>
      </c>
      <c r="C141" s="5">
        <f>pima_data!A141/$B141</f>
        <v>0.0186241010891244</v>
      </c>
      <c r="D141" s="5">
        <f>pima_data!B141/$B141</f>
        <v>0.794628313135973</v>
      </c>
      <c r="E141" s="5">
        <f>pima_data!C141/$B141</f>
        <v>0.484226628317234</v>
      </c>
      <c r="F141" s="5">
        <f>pima_data!D141/$B141</f>
        <v>0</v>
      </c>
      <c r="G141" s="5">
        <f>pima_data!E141/$B141</f>
        <v>0</v>
      </c>
      <c r="H141" s="5">
        <f>pima_data!F141/$B141</f>
        <v>0.130989510993508</v>
      </c>
      <c r="I141" s="5">
        <f>pima_data!G141/$B141</f>
        <v>0.00166375303062844</v>
      </c>
      <c r="J141" s="5">
        <f>pima_data!H141/$B141</f>
        <v>0.341441853300614</v>
      </c>
    </row>
    <row r="142" spans="1:10">
      <c r="A142" s="4" cm="1">
        <f t="array" ref="A142">SUM(POWER(pima_data!A142:H142,2))</f>
        <v>21889.331796</v>
      </c>
      <c r="B142" s="4">
        <f t="shared" si="2"/>
        <v>147.950436957787</v>
      </c>
      <c r="C142" s="5">
        <f>pima_data!A142/$B142</f>
        <v>0.0337951012704789</v>
      </c>
      <c r="D142" s="5">
        <f>pima_data!B142/$B142</f>
        <v>0.716456146934152</v>
      </c>
      <c r="E142" s="5">
        <f>pima_data!C142/$B142</f>
        <v>0.554239660835854</v>
      </c>
      <c r="F142" s="5">
        <f>pima_data!D142/$B142</f>
        <v>0.202770607622873</v>
      </c>
      <c r="G142" s="5">
        <f>pima_data!E142/$B142</f>
        <v>0</v>
      </c>
      <c r="H142" s="5">
        <f>pima_data!F142/$B142</f>
        <v>0.266981300036783</v>
      </c>
      <c r="I142" s="5">
        <f>pima_data!G142/$B142</f>
        <v>0.00193307979267139</v>
      </c>
      <c r="J142" s="5">
        <f>pima_data!H142/$B142</f>
        <v>0.256842769655639</v>
      </c>
    </row>
    <row r="143" spans="1:10">
      <c r="A143" s="4" cm="1">
        <f t="array" ref="A143">SUM(POWER(pima_data!A143:H143,2))</f>
        <v>20557.351124</v>
      </c>
      <c r="B143" s="4">
        <f t="shared" si="2"/>
        <v>143.378349565058</v>
      </c>
      <c r="C143" s="5">
        <f>pima_data!A143/$B143</f>
        <v>0.0139491074214974</v>
      </c>
      <c r="D143" s="5">
        <f>pima_data!B143/$B143</f>
        <v>0.753251800760859</v>
      </c>
      <c r="E143" s="5">
        <f>pima_data!C143/$B143</f>
        <v>0.362676792958932</v>
      </c>
      <c r="F143" s="5">
        <f>pima_data!D143/$B143</f>
        <v>0.181338396479466</v>
      </c>
      <c r="G143" s="5">
        <f>pima_data!E143/$B143</f>
        <v>0.439396883777168</v>
      </c>
      <c r="H143" s="5">
        <f>pima_data!F143/$B143</f>
        <v>0.226672995599333</v>
      </c>
      <c r="I143" s="5">
        <f>pima_data!G143/$B143</f>
        <v>0.00221790808001809</v>
      </c>
      <c r="J143" s="5">
        <f>pima_data!H143/$B143</f>
        <v>0.153440181636471</v>
      </c>
    </row>
    <row r="144" spans="1:10">
      <c r="A144" s="4" cm="1">
        <f t="array" ref="A144">SUM(POWER(pima_data!A144:H144,2))</f>
        <v>18933.833984</v>
      </c>
      <c r="B144" s="4">
        <f t="shared" si="2"/>
        <v>137.600268836947</v>
      </c>
      <c r="C144" s="5">
        <f>pima_data!A144/$B144</f>
        <v>0.0726742766167832</v>
      </c>
      <c r="D144" s="5">
        <f>pima_data!B144/$B144</f>
        <v>0.784882187461259</v>
      </c>
      <c r="E144" s="5">
        <f>pima_data!C144/$B144</f>
        <v>0.479650225670769</v>
      </c>
      <c r="F144" s="5">
        <f>pima_data!D144/$B144</f>
        <v>0</v>
      </c>
      <c r="G144" s="5">
        <f>pima_data!E144/$B144</f>
        <v>0</v>
      </c>
      <c r="H144" s="5">
        <f>pima_data!F144/$B144</f>
        <v>0.235464656238378</v>
      </c>
      <c r="I144" s="5">
        <f>pima_data!G144/$B144</f>
        <v>0.0019767403239765</v>
      </c>
      <c r="J144" s="5">
        <f>pima_data!H144/$B144</f>
        <v>0.30523196179049</v>
      </c>
    </row>
    <row r="145" spans="1:10">
      <c r="A145" s="4" cm="1">
        <f t="array" ref="A145">SUM(POWER(pima_data!A145:H145,2))</f>
        <v>110797.896169</v>
      </c>
      <c r="B145" s="4">
        <f t="shared" si="2"/>
        <v>332.863179353019</v>
      </c>
      <c r="C145" s="5">
        <f>pima_data!A145/$B145</f>
        <v>0.0120169494498452</v>
      </c>
      <c r="D145" s="5">
        <f>pima_data!B145/$B145</f>
        <v>0.462652553819042</v>
      </c>
      <c r="E145" s="5">
        <f>pima_data!C145/$B145</f>
        <v>0.186262716472601</v>
      </c>
      <c r="F145" s="5">
        <f>pima_data!D145/$B145</f>
        <v>0.0931313582363007</v>
      </c>
      <c r="G145" s="5">
        <f>pima_data!E145/$B145</f>
        <v>0.853203410939013</v>
      </c>
      <c r="H145" s="5">
        <f>pima_data!F145/$B145</f>
        <v>0.098538985488731</v>
      </c>
      <c r="I145" s="5">
        <f>pima_data!G145/$B145</f>
        <v>0.000712004254903331</v>
      </c>
      <c r="J145" s="5">
        <f>pima_data!H145/$B145</f>
        <v>0.0690974593366102</v>
      </c>
    </row>
    <row r="146" spans="1:10">
      <c r="A146" s="4" cm="1">
        <f t="array" ref="A146">SUM(POWER(pima_data!A146:H146,2))</f>
        <v>16999.327184</v>
      </c>
      <c r="B146" s="4">
        <f t="shared" si="2"/>
        <v>130.381467946944</v>
      </c>
      <c r="C146" s="5">
        <f>pima_data!A146/$B146</f>
        <v>0</v>
      </c>
      <c r="D146" s="5">
        <f>pima_data!B146/$B146</f>
        <v>0.782319769873328</v>
      </c>
      <c r="E146" s="5">
        <f>pima_data!C146/$B146</f>
        <v>0.575235124906859</v>
      </c>
      <c r="F146" s="5">
        <f>pima_data!D146/$B146</f>
        <v>0.17640543830477</v>
      </c>
      <c r="G146" s="5">
        <f>pima_data!E146/$B146</f>
        <v>0</v>
      </c>
      <c r="H146" s="5">
        <f>pima_data!F146/$B146</f>
        <v>0</v>
      </c>
      <c r="I146" s="5">
        <f>pima_data!G146/$B146</f>
        <v>0.00438712655262298</v>
      </c>
      <c r="J146" s="5">
        <f>pima_data!H146/$B146</f>
        <v>0.161065834973921</v>
      </c>
    </row>
    <row r="147" spans="1:10">
      <c r="A147" s="4" cm="1">
        <f t="array" ref="A147">SUM(POWER(pima_data!A147:H147,2))</f>
        <v>13855.849216</v>
      </c>
      <c r="B147" s="4">
        <f t="shared" si="2"/>
        <v>117.710871273642</v>
      </c>
      <c r="C147" s="5">
        <f>pima_data!A147/$B147</f>
        <v>0.0764585284487251</v>
      </c>
      <c r="D147" s="5">
        <f>pima_data!B147/$B147</f>
        <v>0.484237346841926</v>
      </c>
      <c r="E147" s="5">
        <f>pima_data!C147/$B147</f>
        <v>0.679631363988667</v>
      </c>
      <c r="F147" s="5">
        <f>pima_data!D147/$B147</f>
        <v>0.314329505844759</v>
      </c>
      <c r="G147" s="5">
        <f>pima_data!E147/$B147</f>
        <v>0</v>
      </c>
      <c r="H147" s="5">
        <f>pima_data!F147/$B147</f>
        <v>0.278648859235354</v>
      </c>
      <c r="I147" s="5">
        <f>pima_data!G147/$B147</f>
        <v>0.000815557636786401</v>
      </c>
      <c r="J147" s="5">
        <f>pima_data!H147/$B147</f>
        <v>0.348311074044192</v>
      </c>
    </row>
    <row r="148" spans="1:10">
      <c r="A148" s="4" cm="1">
        <f t="array" ref="A148">SUM(POWER(pima_data!A148:H148,2))</f>
        <v>32810.21</v>
      </c>
      <c r="B148" s="4">
        <f t="shared" si="2"/>
        <v>181.135888216554</v>
      </c>
      <c r="C148" s="5">
        <f>pima_data!A148/$B148</f>
        <v>0.0110414342496774</v>
      </c>
      <c r="D148" s="5">
        <f>pima_data!B148/$B148</f>
        <v>0.585196015232903</v>
      </c>
      <c r="E148" s="5">
        <f>pima_data!C148/$B148</f>
        <v>0.353325895989677</v>
      </c>
      <c r="F148" s="5">
        <f>pima_data!D148/$B148</f>
        <v>0.193225099369355</v>
      </c>
      <c r="G148" s="5">
        <f>pima_data!E148/$B148</f>
        <v>0.656965337855806</v>
      </c>
      <c r="H148" s="5">
        <f>pima_data!F148/$B148</f>
        <v>0.168381872307581</v>
      </c>
      <c r="I148" s="5">
        <f>pima_data!G148/$B148</f>
        <v>0.00772900397477419</v>
      </c>
      <c r="J148" s="5">
        <f>pima_data!H148/$B148</f>
        <v>0.187704382244516</v>
      </c>
    </row>
    <row r="149" spans="1:10">
      <c r="A149" s="4" cm="1">
        <f t="array" ref="A149">SUM(POWER(pima_data!A149:H149,2))</f>
        <v>33078.737524</v>
      </c>
      <c r="B149" s="4">
        <f t="shared" si="2"/>
        <v>181.875610030592</v>
      </c>
      <c r="C149" s="5">
        <f>pima_data!A149/$B149</f>
        <v>0.0274913167255301</v>
      </c>
      <c r="D149" s="5">
        <f>pima_data!B149/$B149</f>
        <v>0.808244711730584</v>
      </c>
      <c r="E149" s="5">
        <f>pima_data!C149/$B149</f>
        <v>0.428864540918269</v>
      </c>
      <c r="F149" s="5">
        <f>pima_data!D149/$B149</f>
        <v>0</v>
      </c>
      <c r="G149" s="5">
        <f>pima_data!E149/$B149</f>
        <v>0</v>
      </c>
      <c r="H149" s="5">
        <f>pima_data!F149/$B149</f>
        <v>0.185291474730073</v>
      </c>
      <c r="I149" s="5">
        <f>pima_data!G149/$B149</f>
        <v>0.00119862140923311</v>
      </c>
      <c r="J149" s="5">
        <f>pima_data!H149/$B149</f>
        <v>0.357387117431891</v>
      </c>
    </row>
    <row r="150" spans="1:10">
      <c r="A150" s="4" cm="1">
        <f t="array" ref="A150">SUM(POWER(pima_data!A150:H150,2))</f>
        <v>14522.297225</v>
      </c>
      <c r="B150" s="4">
        <f t="shared" si="2"/>
        <v>120.508494410145</v>
      </c>
      <c r="C150" s="5">
        <f>pima_data!A150/$B150</f>
        <v>0.0165963404471148</v>
      </c>
      <c r="D150" s="5">
        <f>pima_data!B150/$B150</f>
        <v>0.746835320120166</v>
      </c>
      <c r="E150" s="5">
        <f>pima_data!C150/$B150</f>
        <v>0.580871915649018</v>
      </c>
      <c r="F150" s="5">
        <f>pima_data!D150/$B150</f>
        <v>0.141068893800476</v>
      </c>
      <c r="G150" s="5">
        <f>pima_data!E150/$B150</f>
        <v>0</v>
      </c>
      <c r="H150" s="5">
        <f>pima_data!F150/$B150</f>
        <v>0.226540047103117</v>
      </c>
      <c r="I150" s="5">
        <f>pima_data!G150/$B150</f>
        <v>0.000705344469002379</v>
      </c>
      <c r="J150" s="5">
        <f>pima_data!H150/$B150</f>
        <v>0.182559744918263</v>
      </c>
    </row>
    <row r="151" spans="1:10">
      <c r="A151" s="4" cm="1">
        <f t="array" ref="A151">SUM(POWER(pima_data!A151:H151,2))</f>
        <v>70063.919201</v>
      </c>
      <c r="B151" s="4">
        <f t="shared" si="2"/>
        <v>264.695899479006</v>
      </c>
      <c r="C151" s="5">
        <f>pima_data!A151/$B151</f>
        <v>0.00377792025478398</v>
      </c>
      <c r="D151" s="5">
        <f>pima_data!B151/$B151</f>
        <v>0.513797154650621</v>
      </c>
      <c r="E151" s="5">
        <f>pima_data!C151/$B151</f>
        <v>0.279566098854014</v>
      </c>
      <c r="F151" s="5">
        <f>pima_data!D151/$B151</f>
        <v>0.188896012739199</v>
      </c>
      <c r="G151" s="5">
        <f>pima_data!E151/$B151</f>
        <v>0.770695731975931</v>
      </c>
      <c r="H151" s="5">
        <f>pima_data!F151/$B151</f>
        <v>0.141294217528921</v>
      </c>
      <c r="I151" s="5">
        <f>pima_data!G151/$B151</f>
        <v>0.00150739018165881</v>
      </c>
      <c r="J151" s="5">
        <f>pima_data!H151/$B151</f>
        <v>0.0906700861148155</v>
      </c>
    </row>
    <row r="152" spans="1:10">
      <c r="A152" s="4" cm="1">
        <f t="array" ref="A152">SUM(POWER(pima_data!A152:H152,2))</f>
        <v>19085.796624</v>
      </c>
      <c r="B152" s="4">
        <f t="shared" si="2"/>
        <v>138.15135404331</v>
      </c>
      <c r="C152" s="5">
        <f>pima_data!A152/$B152</f>
        <v>0.0289537516856043</v>
      </c>
      <c r="D152" s="5">
        <f>pima_data!B152/$B152</f>
        <v>0.825181923039722</v>
      </c>
      <c r="E152" s="5">
        <f>pima_data!C152/$B152</f>
        <v>0.470498464891069</v>
      </c>
      <c r="F152" s="5">
        <f>pima_data!D152/$B152</f>
        <v>0</v>
      </c>
      <c r="G152" s="5">
        <f>pima_data!E152/$B152</f>
        <v>0</v>
      </c>
      <c r="H152" s="5">
        <f>pima_data!F152/$B152</f>
        <v>0.158521790478683</v>
      </c>
      <c r="I152" s="5">
        <f>pima_data!G152/$B152</f>
        <v>0.00312700518204526</v>
      </c>
      <c r="J152" s="5">
        <f>pima_data!H152/$B152</f>
        <v>0.267822203091839</v>
      </c>
    </row>
    <row r="153" spans="1:10">
      <c r="A153" s="4" cm="1">
        <f t="array" ref="A153">SUM(POWER(pima_data!A153:H153,2))</f>
        <v>59563.903721</v>
      </c>
      <c r="B153" s="4">
        <f t="shared" si="2"/>
        <v>244.057173057872</v>
      </c>
      <c r="C153" s="5">
        <f>pima_data!A153/$B153</f>
        <v>0.0368766051300032</v>
      </c>
      <c r="D153" s="5">
        <f>pima_data!B153/$B153</f>
        <v>0.639194488920056</v>
      </c>
      <c r="E153" s="5">
        <f>pima_data!C153/$B153</f>
        <v>0.352376449020031</v>
      </c>
      <c r="F153" s="5">
        <f>pima_data!D153/$B153</f>
        <v>0.11472721596001</v>
      </c>
      <c r="G153" s="5">
        <f>pima_data!E153/$B153</f>
        <v>0.635097088350056</v>
      </c>
      <c r="H153" s="5">
        <f>pima_data!F153/$B153</f>
        <v>0.140540839551012</v>
      </c>
      <c r="I153" s="5">
        <f>pima_data!G153/$B153</f>
        <v>0.00487180927773043</v>
      </c>
      <c r="J153" s="5">
        <f>pima_data!H153/$B153</f>
        <v>0.172090823940015</v>
      </c>
    </row>
    <row r="154" spans="1:10">
      <c r="A154" s="4" cm="1">
        <f t="array" ref="A154">SUM(POWER(pima_data!A154:H154,2))</f>
        <v>269300.831969</v>
      </c>
      <c r="B154" s="4">
        <f t="shared" si="2"/>
        <v>518.942031414878</v>
      </c>
      <c r="C154" s="5">
        <f>pima_data!A154/$B154</f>
        <v>0.00192699750543145</v>
      </c>
      <c r="D154" s="5">
        <f>pima_data!B154/$B154</f>
        <v>0.294830618331012</v>
      </c>
      <c r="E154" s="5">
        <f>pima_data!C154/$B154</f>
        <v>0.158013795445379</v>
      </c>
      <c r="F154" s="5">
        <f>pima_data!D154/$B154</f>
        <v>0.080933895228121</v>
      </c>
      <c r="G154" s="5">
        <f>pima_data!E154/$B154</f>
        <v>0.934593790134255</v>
      </c>
      <c r="H154" s="5">
        <f>pima_data!F154/$B154</f>
        <v>0.078236098720517</v>
      </c>
      <c r="I154" s="5">
        <f>pima_data!G154/$B154</f>
        <v>0.00132384728623141</v>
      </c>
      <c r="J154" s="5">
        <f>pima_data!H154/$B154</f>
        <v>0.0443209426249234</v>
      </c>
    </row>
    <row r="155" spans="1:10">
      <c r="A155" s="4" cm="1">
        <f t="array" ref="A155">SUM(POWER(pima_data!A155:H155,2))</f>
        <v>45635.428769</v>
      </c>
      <c r="B155" s="4">
        <f t="shared" si="2"/>
        <v>213.624504139858</v>
      </c>
      <c r="C155" s="5">
        <f>pima_data!A155/$B155</f>
        <v>0.0374488873933792</v>
      </c>
      <c r="D155" s="5">
        <f>pima_data!B155/$B155</f>
        <v>0.880048853744412</v>
      </c>
      <c r="E155" s="5">
        <f>pima_data!C155/$B155</f>
        <v>0.365126652085448</v>
      </c>
      <c r="F155" s="5">
        <f>pima_data!D155/$B155</f>
        <v>0</v>
      </c>
      <c r="G155" s="5">
        <f>pima_data!E155/$B155</f>
        <v>0</v>
      </c>
      <c r="H155" s="5">
        <f>pima_data!F155/$B155</f>
        <v>0.224225213267858</v>
      </c>
      <c r="I155" s="5">
        <f>pima_data!G155/$B155</f>
        <v>0.000641312196611619</v>
      </c>
      <c r="J155" s="5">
        <f>pima_data!H155/$B155</f>
        <v>0.201287769739413</v>
      </c>
    </row>
    <row r="156" spans="1:10">
      <c r="A156" s="4" cm="1">
        <f t="array" ref="A156">SUM(POWER(pima_data!A156:H156,2))</f>
        <v>36629.113569</v>
      </c>
      <c r="B156" s="4">
        <f t="shared" si="2"/>
        <v>191.387339103191</v>
      </c>
      <c r="C156" s="5">
        <f>pima_data!A156/$B156</f>
        <v>0.0365750421778202</v>
      </c>
      <c r="D156" s="5">
        <f>pima_data!B156/$B156</f>
        <v>0.794200915861238</v>
      </c>
      <c r="E156" s="5">
        <f>pima_data!C156/$B156</f>
        <v>0.459800530235454</v>
      </c>
      <c r="F156" s="5">
        <f>pima_data!D156/$B156</f>
        <v>0.229900265117727</v>
      </c>
      <c r="G156" s="5">
        <f>pima_data!E156/$B156</f>
        <v>0</v>
      </c>
      <c r="H156" s="5">
        <f>pima_data!F156/$B156</f>
        <v>0.261250301270144</v>
      </c>
      <c r="I156" s="5">
        <f>pima_data!G156/$B156</f>
        <v>0.00176082703056077</v>
      </c>
      <c r="J156" s="5">
        <f>pima_data!H156/$B156</f>
        <v>0.188100216914504</v>
      </c>
    </row>
    <row r="157" spans="1:10">
      <c r="A157" s="4" cm="1">
        <f t="array" ref="A157">SUM(POWER(pima_data!A157:H157,2))</f>
        <v>22616.565769</v>
      </c>
      <c r="B157" s="4">
        <f t="shared" si="2"/>
        <v>150.388050619057</v>
      </c>
      <c r="C157" s="5">
        <f>pima_data!A157/$B157</f>
        <v>0.0132989289492563</v>
      </c>
      <c r="D157" s="5">
        <f>pima_data!B157/$B157</f>
        <v>0.658296982988188</v>
      </c>
      <c r="E157" s="5">
        <f>pima_data!C157/$B157</f>
        <v>0.345772152680664</v>
      </c>
      <c r="F157" s="5">
        <f>pima_data!D157/$B157</f>
        <v>0.0997419671194224</v>
      </c>
      <c r="G157" s="5">
        <f>pima_data!E157/$B157</f>
        <v>0.625049660615047</v>
      </c>
      <c r="H157" s="5">
        <f>pima_data!F157/$B157</f>
        <v>0.163576826075853</v>
      </c>
      <c r="I157" s="5">
        <f>pima_data!G157/$B157</f>
        <v>0.00423570887033814</v>
      </c>
      <c r="J157" s="5">
        <f>pima_data!H157/$B157</f>
        <v>0.139638753967191</v>
      </c>
    </row>
    <row r="158" spans="1:10">
      <c r="A158" s="4" cm="1">
        <f t="array" ref="A158">SUM(POWER(pima_data!A158:H158,2))</f>
        <v>34848.733889</v>
      </c>
      <c r="B158" s="4">
        <f t="shared" si="2"/>
        <v>186.67815589672</v>
      </c>
      <c r="C158" s="5">
        <f>pima_data!A158/$B158</f>
        <v>0.00535681314825744</v>
      </c>
      <c r="D158" s="5">
        <f>pima_data!B158/$B158</f>
        <v>0.583892633160061</v>
      </c>
      <c r="E158" s="5">
        <f>pima_data!C158/$B158</f>
        <v>0.299981536302416</v>
      </c>
      <c r="F158" s="5">
        <f>pima_data!D158/$B158</f>
        <v>0.112493076113406</v>
      </c>
      <c r="G158" s="5">
        <f>pima_data!E158/$B158</f>
        <v>0.723169775014754</v>
      </c>
      <c r="H158" s="5">
        <f>pima_data!F158/$B158</f>
        <v>0.134991691336087</v>
      </c>
      <c r="I158" s="5">
        <f>pima_data!G158/$B158</f>
        <v>0.00446222535249845</v>
      </c>
      <c r="J158" s="5">
        <f>pima_data!H158/$B158</f>
        <v>0.123206702409921</v>
      </c>
    </row>
    <row r="159" spans="1:10">
      <c r="A159" s="4" cm="1">
        <f t="array" ref="A159">SUM(POWER(pima_data!A159:H159,2))</f>
        <v>17719.052441</v>
      </c>
      <c r="B159" s="4">
        <f t="shared" si="2"/>
        <v>133.112931156218</v>
      </c>
      <c r="C159" s="5">
        <f>pima_data!A159/$B159</f>
        <v>0.0150248362997345</v>
      </c>
      <c r="D159" s="5">
        <f>pima_data!B159/$B159</f>
        <v>0.661092797188317</v>
      </c>
      <c r="E159" s="5">
        <f>pima_data!C159/$B159</f>
        <v>0.555918943090176</v>
      </c>
      <c r="F159" s="5">
        <f>pima_data!D159/$B159</f>
        <v>0.142735944847478</v>
      </c>
      <c r="G159" s="5">
        <f>pima_data!E159/$B159</f>
        <v>0.398158161942964</v>
      </c>
      <c r="H159" s="5">
        <f>pima_data!F159/$B159</f>
        <v>0.21786012634615</v>
      </c>
      <c r="I159" s="5">
        <f>pima_data!G159/$B159</f>
        <v>0.0017203437563196</v>
      </c>
      <c r="J159" s="5">
        <f>pima_data!H159/$B159</f>
        <v>0.165273199297079</v>
      </c>
    </row>
    <row r="160" spans="1:10">
      <c r="A160" s="4" cm="1">
        <f t="array" ref="A160">SUM(POWER(pima_data!A160:H160,2))</f>
        <v>50601.477489</v>
      </c>
      <c r="B160" s="4">
        <f t="shared" si="2"/>
        <v>224.947721679949</v>
      </c>
      <c r="C160" s="5">
        <f>pima_data!A160/$B160</f>
        <v>0.0755731148243734</v>
      </c>
      <c r="D160" s="5">
        <f>pima_data!B160/$B160</f>
        <v>0.724612806845462</v>
      </c>
      <c r="E160" s="5">
        <f>pima_data!C160/$B160</f>
        <v>0.320074368667934</v>
      </c>
      <c r="F160" s="5">
        <f>pima_data!D160/$B160</f>
        <v>0.182264571047018</v>
      </c>
      <c r="G160" s="5">
        <f>pima_data!E160/$B160</f>
        <v>0.506784417057562</v>
      </c>
      <c r="H160" s="5">
        <f>pima_data!F160/$B160</f>
        <v>0.181820023312757</v>
      </c>
      <c r="I160" s="5">
        <f>pima_data!G160/$B160</f>
        <v>0.00363195498891253</v>
      </c>
      <c r="J160" s="5">
        <f>pima_data!H160/$B160</f>
        <v>0.208937435102679</v>
      </c>
    </row>
    <row r="161" spans="1:10">
      <c r="A161" s="4" cm="1">
        <f t="array" ref="A161">SUM(POWER(pima_data!A161:H161,2))</f>
        <v>34539.176436</v>
      </c>
      <c r="B161" s="4">
        <f t="shared" si="2"/>
        <v>185.84718570912</v>
      </c>
      <c r="C161" s="5">
        <f>pima_data!A161/$B161</f>
        <v>0.0215230593066964</v>
      </c>
      <c r="D161" s="5">
        <f>pima_data!B161/$B161</f>
        <v>0.812495488827789</v>
      </c>
      <c r="E161" s="5">
        <f>pima_data!C161/$B161</f>
        <v>0.484268834400669</v>
      </c>
      <c r="F161" s="5">
        <f>pima_data!D161/$B161</f>
        <v>0.204469063413616</v>
      </c>
      <c r="G161" s="5">
        <f>pima_data!E161/$B161</f>
        <v>0</v>
      </c>
      <c r="H161" s="5">
        <f>pima_data!F161/$B161</f>
        <v>0.159808715352221</v>
      </c>
      <c r="I161" s="5">
        <f>pima_data!G161/$B161</f>
        <v>0.00158194485904218</v>
      </c>
      <c r="J161" s="5">
        <f>pima_data!H161/$B161</f>
        <v>0.193707533760268</v>
      </c>
    </row>
    <row r="162" spans="1:10">
      <c r="A162" s="4" cm="1">
        <f t="array" ref="A162">SUM(POWER(pima_data!A162:H162,2))</f>
        <v>31962.881616</v>
      </c>
      <c r="B162" s="4">
        <f t="shared" si="2"/>
        <v>178.781659059312</v>
      </c>
      <c r="C162" s="5">
        <f>pima_data!A162/$B162</f>
        <v>0.0391539044711388</v>
      </c>
      <c r="D162" s="5">
        <f>pima_data!B162/$B162</f>
        <v>0.570528322293737</v>
      </c>
      <c r="E162" s="5">
        <f>pima_data!C162/$B162</f>
        <v>0.413912704409182</v>
      </c>
      <c r="F162" s="5">
        <f>pima_data!D162/$B162</f>
        <v>0.223736596977936</v>
      </c>
      <c r="G162" s="5">
        <f>pima_data!E162/$B162</f>
        <v>0.587308567067082</v>
      </c>
      <c r="H162" s="5">
        <f>pima_data!F162/$B162</f>
        <v>0.208075035189481</v>
      </c>
      <c r="I162" s="5">
        <f>pima_data!G162/$B162</f>
        <v>0.00114105664458747</v>
      </c>
      <c r="J162" s="5">
        <f>pima_data!H162/$B162</f>
        <v>0.251703671600178</v>
      </c>
    </row>
    <row r="163" spans="1:10">
      <c r="A163" s="4" cm="1">
        <f t="array" ref="A163">SUM(POWER(pima_data!A163:H163,2))</f>
        <v>104459.667889</v>
      </c>
      <c r="B163" s="4">
        <f t="shared" si="2"/>
        <v>323.202208979147</v>
      </c>
      <c r="C163" s="5">
        <f>pima_data!A163/$B163</f>
        <v>0</v>
      </c>
      <c r="D163" s="5">
        <f>pima_data!B163/$B163</f>
        <v>0.352720361534891</v>
      </c>
      <c r="E163" s="5">
        <f>pima_data!C163/$B163</f>
        <v>0.247523060726239</v>
      </c>
      <c r="F163" s="5">
        <f>pima_data!D163/$B163</f>
        <v>0.105197300808652</v>
      </c>
      <c r="G163" s="5">
        <f>pima_data!E163/$B163</f>
        <v>0.881800903837227</v>
      </c>
      <c r="H163" s="5">
        <f>pima_data!F163/$B163</f>
        <v>0.136756491051247</v>
      </c>
      <c r="I163" s="5">
        <f>pima_data!G163/$B163</f>
        <v>0.000516704389266024</v>
      </c>
      <c r="J163" s="5">
        <f>pima_data!H163/$B163</f>
        <v>0.0835390329951057</v>
      </c>
    </row>
    <row r="164" spans="1:10">
      <c r="A164" s="4" cm="1">
        <f t="array" ref="A164">SUM(POWER(pima_data!A164:H164,2))</f>
        <v>15952.225424</v>
      </c>
      <c r="B164" s="4">
        <f t="shared" si="2"/>
        <v>126.302119633837</v>
      </c>
      <c r="C164" s="5">
        <f>pima_data!A164/$B164</f>
        <v>0.0158350469952382</v>
      </c>
      <c r="D164" s="5">
        <f>pima_data!B164/$B164</f>
        <v>0.791752349761909</v>
      </c>
      <c r="E164" s="5">
        <f>pima_data!C164/$B164</f>
        <v>0.506721503847622</v>
      </c>
      <c r="F164" s="5">
        <f>pima_data!D164/$B164</f>
        <v>0.182103040445239</v>
      </c>
      <c r="G164" s="5">
        <f>pima_data!E164/$B164</f>
        <v>0</v>
      </c>
      <c r="H164" s="5">
        <f>pima_data!F164/$B164</f>
        <v>0.235150447879287</v>
      </c>
      <c r="I164" s="5">
        <f>pima_data!G164/$B164</f>
        <v>0.00291364864712383</v>
      </c>
      <c r="J164" s="5">
        <f>pima_data!H164/$B164</f>
        <v>0.166267993450001</v>
      </c>
    </row>
    <row r="165" spans="1:10">
      <c r="A165" s="4" cm="1">
        <f t="array" ref="A165">SUM(POWER(pima_data!A165:H165,2))</f>
        <v>26928.112049</v>
      </c>
      <c r="B165" s="4">
        <f t="shared" si="2"/>
        <v>164.097873383539</v>
      </c>
      <c r="C165" s="5">
        <f>pima_data!A165/$B165</f>
        <v>0</v>
      </c>
      <c r="D165" s="5">
        <f>pima_data!B165/$B165</f>
        <v>0.798304068778632</v>
      </c>
      <c r="E165" s="5">
        <f>pima_data!C165/$B165</f>
        <v>0.536265328645188</v>
      </c>
      <c r="F165" s="5">
        <f>pima_data!D165/$B165</f>
        <v>0</v>
      </c>
      <c r="G165" s="5">
        <f>pima_data!E165/$B165</f>
        <v>0</v>
      </c>
      <c r="H165" s="5">
        <f>pima_data!F165/$B165</f>
        <v>0.192568004377136</v>
      </c>
      <c r="I165" s="5">
        <f>pima_data!G165/$B165</f>
        <v>0.00452778567253835</v>
      </c>
      <c r="J165" s="5">
        <f>pima_data!H165/$B165</f>
        <v>0.195005574052796</v>
      </c>
    </row>
    <row r="166" spans="1:10">
      <c r="A166" s="4" cm="1">
        <f t="array" ref="A166">SUM(POWER(pima_data!A166:H166,2))</f>
        <v>43563.531284</v>
      </c>
      <c r="B166" s="4">
        <f t="shared" si="2"/>
        <v>208.718785172777</v>
      </c>
      <c r="C166" s="5">
        <f>pima_data!A166/$B166</f>
        <v>0.0287468135416426</v>
      </c>
      <c r="D166" s="5">
        <f>pima_data!B166/$B166</f>
        <v>0.498278101388473</v>
      </c>
      <c r="E166" s="5">
        <f>pima_data!C166/$B166</f>
        <v>0.354544033680259</v>
      </c>
      <c r="F166" s="5">
        <f>pima_data!D166/$B166</f>
        <v>0.0862404406249279</v>
      </c>
      <c r="G166" s="5">
        <f>pima_data!E166/$B166</f>
        <v>0.747417152082709</v>
      </c>
      <c r="H166" s="5">
        <f>pima_data!F166/$B166</f>
        <v>0.143254954149186</v>
      </c>
      <c r="I166" s="5">
        <f>pima_data!G166/$B166</f>
        <v>0.00345919989617766</v>
      </c>
      <c r="J166" s="5">
        <f>pima_data!H166/$B166</f>
        <v>0.196436559201225</v>
      </c>
    </row>
    <row r="167" spans="1:10">
      <c r="A167" s="4" cm="1">
        <f t="array" ref="A167">SUM(POWER(pima_data!A167:H167,2))</f>
        <v>28434.315536</v>
      </c>
      <c r="B167" s="4">
        <f t="shared" si="2"/>
        <v>168.624777349001</v>
      </c>
      <c r="C167" s="5">
        <f>pima_data!A167/$B167</f>
        <v>0.0177909797549558</v>
      </c>
      <c r="D167" s="5">
        <f>pima_data!B167/$B167</f>
        <v>0.87768833457782</v>
      </c>
      <c r="E167" s="5">
        <f>pima_data!C167/$B167</f>
        <v>0.391401554609028</v>
      </c>
      <c r="F167" s="5">
        <f>pima_data!D167/$B167</f>
        <v>0.148258164624632</v>
      </c>
      <c r="G167" s="5">
        <f>pima_data!E167/$B167</f>
        <v>0</v>
      </c>
      <c r="H167" s="5">
        <f>pima_data!F167/$B167</f>
        <v>0.192735614012021</v>
      </c>
      <c r="I167" s="5">
        <f>pima_data!G167/$B167</f>
        <v>0.00151816360575623</v>
      </c>
      <c r="J167" s="5">
        <f>pima_data!H167/$B167</f>
        <v>0.130467184869676</v>
      </c>
    </row>
    <row r="168" spans="1:10">
      <c r="A168" s="4" cm="1">
        <f t="array" ref="A168">SUM(POWER(pima_data!A168:H168,2))</f>
        <v>21072.662681</v>
      </c>
      <c r="B168" s="4">
        <f t="shared" si="2"/>
        <v>145.164261032115</v>
      </c>
      <c r="C168" s="5">
        <f>pima_data!A168/$B168</f>
        <v>0.0275549916457404</v>
      </c>
      <c r="D168" s="5">
        <f>pima_data!B168/$B168</f>
        <v>0.826649749372211</v>
      </c>
      <c r="E168" s="5">
        <f>pima_data!C168/$B168</f>
        <v>0.468434857977586</v>
      </c>
      <c r="F168" s="5">
        <f>pima_data!D168/$B168</f>
        <v>0</v>
      </c>
      <c r="G168" s="5">
        <f>pima_data!E168/$B168</f>
        <v>0</v>
      </c>
      <c r="H168" s="5">
        <f>pima_data!F168/$B168</f>
        <v>0.203906938178479</v>
      </c>
      <c r="I168" s="5">
        <f>pima_data!G168/$B168</f>
        <v>0.00488412226920748</v>
      </c>
      <c r="J168" s="5">
        <f>pima_data!H168/$B168</f>
        <v>0.234217428988793</v>
      </c>
    </row>
    <row r="169" spans="1:10">
      <c r="A169" s="4" cm="1">
        <f t="array" ref="A169">SUM(POWER(pima_data!A169:H169,2))</f>
        <v>18330.831841</v>
      </c>
      <c r="B169" s="4">
        <f t="shared" si="2"/>
        <v>135.391402389517</v>
      </c>
      <c r="C169" s="5">
        <f>pima_data!A169/$B169</f>
        <v>0.0295439734680651</v>
      </c>
      <c r="D169" s="5">
        <f>pima_data!B169/$B169</f>
        <v>0.812459270371789</v>
      </c>
      <c r="E169" s="5">
        <f>pima_data!C169/$B169</f>
        <v>0.487475562223074</v>
      </c>
      <c r="F169" s="5">
        <f>pima_data!D169/$B169</f>
        <v>0</v>
      </c>
      <c r="G169" s="5">
        <f>pima_data!E169/$B169</f>
        <v>0</v>
      </c>
      <c r="H169" s="5">
        <f>pima_data!F169/$B169</f>
        <v>0.235613188407819</v>
      </c>
      <c r="I169" s="5">
        <f>pima_data!G169/$B169</f>
        <v>0.00347880287586466</v>
      </c>
      <c r="J169" s="5">
        <f>pima_data!H169/$B169</f>
        <v>0.214193807643472</v>
      </c>
    </row>
    <row r="170" spans="1:10">
      <c r="A170" s="4" cm="1">
        <f t="array" ref="A170">SUM(POWER(pima_data!A170:H170,2))</f>
        <v>28305.805025</v>
      </c>
      <c r="B170" s="4">
        <f t="shared" si="2"/>
        <v>168.243291173824</v>
      </c>
      <c r="C170" s="5">
        <f>pima_data!A170/$B170</f>
        <v>0.0178313202212651</v>
      </c>
      <c r="D170" s="5">
        <f>pima_data!B170/$B170</f>
        <v>0.65975884818681</v>
      </c>
      <c r="E170" s="5">
        <f>pima_data!C170/$B170</f>
        <v>0.534939606637954</v>
      </c>
      <c r="F170" s="5">
        <f>pima_data!D170/$B170</f>
        <v>0.0713252808850606</v>
      </c>
      <c r="G170" s="5">
        <f>pima_data!E170/$B170</f>
        <v>0.463614325752894</v>
      </c>
      <c r="H170" s="5">
        <f>pima_data!F170/$B170</f>
        <v>0.16880316476131</v>
      </c>
      <c r="I170" s="5">
        <f>pima_data!G170/$B170</f>
        <v>0.00294216783650875</v>
      </c>
      <c r="J170" s="5">
        <f>pima_data!H170/$B170</f>
        <v>0.172369428805563</v>
      </c>
    </row>
    <row r="171" spans="1:10">
      <c r="A171" s="4" cm="1">
        <f t="array" ref="A171">SUM(POWER(pima_data!A171:H171,2))</f>
        <v>19408.6724</v>
      </c>
      <c r="B171" s="4">
        <f t="shared" si="2"/>
        <v>139.31501139504</v>
      </c>
      <c r="C171" s="5">
        <f>pima_data!A171/$B171</f>
        <v>0.0430678642589813</v>
      </c>
      <c r="D171" s="5">
        <f>pima_data!B171/$B171</f>
        <v>0.732153692402682</v>
      </c>
      <c r="E171" s="5">
        <f>pima_data!C171/$B171</f>
        <v>0.588594144872745</v>
      </c>
      <c r="F171" s="5">
        <f>pima_data!D171/$B171</f>
        <v>0</v>
      </c>
      <c r="G171" s="5">
        <f>pima_data!E171/$B171</f>
        <v>0</v>
      </c>
      <c r="H171" s="5">
        <f>pima_data!F171/$B171</f>
        <v>0.221081703196104</v>
      </c>
      <c r="I171" s="5">
        <f>pima_data!G171/$B171</f>
        <v>0.00129203592776944</v>
      </c>
      <c r="J171" s="5">
        <f>pima_data!H171/$B171</f>
        <v>0.258407185553888</v>
      </c>
    </row>
    <row r="172" spans="1:10">
      <c r="A172" s="4" cm="1">
        <f t="array" ref="A172">SUM(POWER(pima_data!A172:H172,2))</f>
        <v>42415.453764</v>
      </c>
      <c r="B172" s="4">
        <f t="shared" si="2"/>
        <v>205.950124457355</v>
      </c>
      <c r="C172" s="5">
        <f>pima_data!A172/$B172</f>
        <v>0.029133267172375</v>
      </c>
      <c r="D172" s="5">
        <f>pima_data!B172/$B172</f>
        <v>0.650642966849708</v>
      </c>
      <c r="E172" s="5">
        <f>pima_data!C172/$B172</f>
        <v>0.339888117011041</v>
      </c>
      <c r="F172" s="5">
        <f>pima_data!D172/$B172</f>
        <v>0.111677524160771</v>
      </c>
      <c r="G172" s="5">
        <f>pima_data!E172/$B172</f>
        <v>0.631220788734791</v>
      </c>
      <c r="H172" s="5">
        <f>pima_data!F172/$B172</f>
        <v>0.171886276317012</v>
      </c>
      <c r="I172" s="5">
        <f>pima_data!G172/$B172</f>
        <v>0.00263170513457121</v>
      </c>
      <c r="J172" s="5">
        <f>pima_data!H172/$B172</f>
        <v>0.140810791333146</v>
      </c>
    </row>
    <row r="173" spans="1:10">
      <c r="A173" s="4" cm="1">
        <f t="array" ref="A173">SUM(POWER(pima_data!A173:H173,2))</f>
        <v>9562.807529</v>
      </c>
      <c r="B173" s="4">
        <f t="shared" si="2"/>
        <v>97.7896084919047</v>
      </c>
      <c r="C173" s="5">
        <f>pima_data!A173/$B173</f>
        <v>0.0204520708370109</v>
      </c>
      <c r="D173" s="5">
        <f>pima_data!B173/$B173</f>
        <v>0.889665081409975</v>
      </c>
      <c r="E173" s="5">
        <f>pima_data!C173/$B173</f>
        <v>0</v>
      </c>
      <c r="F173" s="5">
        <f>pima_data!D173/$B173</f>
        <v>0.235198814625626</v>
      </c>
      <c r="G173" s="5">
        <f>pima_data!E173/$B173</f>
        <v>0</v>
      </c>
      <c r="H173" s="5">
        <f>pima_data!F173/$B173</f>
        <v>0.295532423594808</v>
      </c>
      <c r="I173" s="5">
        <f>pima_data!G173/$B173</f>
        <v>0.00790472537850472</v>
      </c>
      <c r="J173" s="5">
        <f>pima_data!H173/$B173</f>
        <v>0.255650885462637</v>
      </c>
    </row>
    <row r="174" spans="1:10">
      <c r="A174" s="4" cm="1">
        <f t="array" ref="A174">SUM(POWER(pima_data!A174:H174,2))</f>
        <v>16331.709684</v>
      </c>
      <c r="B174" s="4">
        <f t="shared" si="2"/>
        <v>127.795577716915</v>
      </c>
      <c r="C174" s="5">
        <f>pima_data!A174/$B174</f>
        <v>0.00782499690415846</v>
      </c>
      <c r="D174" s="5">
        <f>pima_data!B174/$B174</f>
        <v>0.618174755428519</v>
      </c>
      <c r="E174" s="5">
        <f>pima_data!C174/$B174</f>
        <v>0.469499814249508</v>
      </c>
      <c r="F174" s="5">
        <f>pima_data!D174/$B174</f>
        <v>0.328649869974655</v>
      </c>
      <c r="G174" s="5">
        <f>pima_data!E174/$B174</f>
        <v>0.375599851399606</v>
      </c>
      <c r="H174" s="5">
        <f>pima_data!F174/$B174</f>
        <v>0.340387365330893</v>
      </c>
      <c r="I174" s="5">
        <f>pima_data!G174/$B174</f>
        <v>0.00530534790101944</v>
      </c>
      <c r="J174" s="5">
        <f>pima_data!H174/$B174</f>
        <v>0.179974928795645</v>
      </c>
    </row>
    <row r="175" spans="1:10">
      <c r="A175" s="4" cm="1">
        <f t="array" ref="A175">SUM(POWER(pima_data!A175:H175,2))</f>
        <v>15297.2269</v>
      </c>
      <c r="B175" s="4">
        <f t="shared" si="2"/>
        <v>123.681958668191</v>
      </c>
      <c r="C175" s="5">
        <f>pima_data!A175/$B175</f>
        <v>0.0161705071744985</v>
      </c>
      <c r="D175" s="5">
        <f>pima_data!B175/$B175</f>
        <v>0.606394019043693</v>
      </c>
      <c r="E175" s="5">
        <f>pima_data!C175/$B175</f>
        <v>0.517456229583951</v>
      </c>
      <c r="F175" s="5">
        <f>pima_data!D175/$B175</f>
        <v>0.194046086093982</v>
      </c>
      <c r="G175" s="5">
        <f>pima_data!E175/$B175</f>
        <v>0.444688947298708</v>
      </c>
      <c r="H175" s="5">
        <f>pima_data!F175/$B175</f>
        <v>0.240132031541302</v>
      </c>
      <c r="I175" s="5">
        <f>pima_data!G175/$B175</f>
        <v>0.00299154382728222</v>
      </c>
      <c r="J175" s="5">
        <f>pima_data!H175/$B175</f>
        <v>0.266813368379225</v>
      </c>
    </row>
    <row r="176" spans="1:10">
      <c r="A176" s="4" cm="1">
        <f t="array" ref="A176">SUM(POWER(pima_data!A176:H176,2))</f>
        <v>58318.806961</v>
      </c>
      <c r="B176" s="4">
        <f t="shared" si="2"/>
        <v>241.492871449656</v>
      </c>
      <c r="C176" s="5">
        <f>pima_data!A176/$B176</f>
        <v>0.0331272718402695</v>
      </c>
      <c r="D176" s="5">
        <f>pima_data!B176/$B176</f>
        <v>0.741222707426029</v>
      </c>
      <c r="E176" s="5">
        <f>pima_data!C176/$B176</f>
        <v>0.298145446562425</v>
      </c>
      <c r="F176" s="5">
        <f>pima_data!D176/$B176</f>
        <v>0.173918177161415</v>
      </c>
      <c r="G176" s="5">
        <f>pima_data!E176/$B176</f>
        <v>0.538318167404379</v>
      </c>
      <c r="H176" s="5">
        <f>pima_data!F176/$B176</f>
        <v>0.135407723647101</v>
      </c>
      <c r="I176" s="5">
        <f>pima_data!G176/$B176</f>
        <v>0.00297731355664422</v>
      </c>
      <c r="J176" s="5">
        <f>pima_data!H176/$B176</f>
        <v>0.149072723281213</v>
      </c>
    </row>
    <row r="177" spans="1:10">
      <c r="A177" s="4" cm="1">
        <f t="array" ref="A177">SUM(POWER(pima_data!A177:H177,2))</f>
        <v>16082.585924</v>
      </c>
      <c r="B177" s="4">
        <f t="shared" si="2"/>
        <v>126.817135766426</v>
      </c>
      <c r="C177" s="5">
        <f>pima_data!A177/$B177</f>
        <v>0.0473122182088304</v>
      </c>
      <c r="D177" s="5">
        <f>pima_data!B177/$B177</f>
        <v>0.670256424625098</v>
      </c>
      <c r="E177" s="5">
        <f>pima_data!C177/$B177</f>
        <v>0.615058836714796</v>
      </c>
      <c r="F177" s="5">
        <f>pima_data!D177/$B177</f>
        <v>0</v>
      </c>
      <c r="G177" s="5">
        <f>pima_data!E177/$B177</f>
        <v>0</v>
      </c>
      <c r="H177" s="5">
        <f>pima_data!F177/$B177</f>
        <v>0.246023534685918</v>
      </c>
      <c r="I177" s="5">
        <f>pima_data!G177/$B177</f>
        <v>0.00301221122596221</v>
      </c>
      <c r="J177" s="5">
        <f>pima_data!H177/$B177</f>
        <v>0.331185527461813</v>
      </c>
    </row>
    <row r="178" spans="1:10">
      <c r="A178" s="4" cm="1">
        <f t="array" ref="A178">SUM(POWER(pima_data!A178:H178,2))</f>
        <v>52935.511761</v>
      </c>
      <c r="B178" s="4">
        <f t="shared" si="2"/>
        <v>230.077186528782</v>
      </c>
      <c r="C178" s="5">
        <f>pima_data!A178/$B178</f>
        <v>0</v>
      </c>
      <c r="D178" s="5">
        <f>pima_data!B178/$B178</f>
        <v>0.560681404124622</v>
      </c>
      <c r="E178" s="5">
        <f>pima_data!C178/$B178</f>
        <v>0.47810042212177</v>
      </c>
      <c r="F178" s="5">
        <f>pima_data!D178/$B178</f>
        <v>0.199932903796377</v>
      </c>
      <c r="G178" s="5">
        <f>pima_data!E178/$B178</f>
        <v>0.565027771598456</v>
      </c>
      <c r="H178" s="5">
        <f>pima_data!F178/$B178</f>
        <v>0.29164125749428</v>
      </c>
      <c r="I178" s="5">
        <f>pima_data!G178/$B178</f>
        <v>0.00138649122415313</v>
      </c>
      <c r="J178" s="5">
        <f>pima_data!H178/$B178</f>
        <v>0.113005554319691</v>
      </c>
    </row>
    <row r="179" spans="1:10">
      <c r="A179" s="4" cm="1">
        <f t="array" ref="A179">SUM(POWER(pima_data!A179:H179,2))</f>
        <v>30792.0361</v>
      </c>
      <c r="B179" s="4">
        <f t="shared" si="2"/>
        <v>175.476597015101</v>
      </c>
      <c r="C179" s="5">
        <f>pima_data!A179/$B179</f>
        <v>0.0284938281517377</v>
      </c>
      <c r="D179" s="5">
        <f>pima_data!B179/$B179</f>
        <v>0.814923485139698</v>
      </c>
      <c r="E179" s="5">
        <f>pima_data!C179/$B179</f>
        <v>0.444503719167108</v>
      </c>
      <c r="F179" s="5">
        <f>pima_data!D179/$B179</f>
        <v>0</v>
      </c>
      <c r="G179" s="5">
        <f>pima_data!E179/$B179</f>
        <v>0</v>
      </c>
      <c r="H179" s="5">
        <f>pima_data!F179/$B179</f>
        <v>0.256444453365639</v>
      </c>
      <c r="I179" s="5">
        <f>pima_data!G179/$B179</f>
        <v>0.00108276546976603</v>
      </c>
      <c r="J179" s="5">
        <f>pima_data!H179/$B179</f>
        <v>0.267841984626334</v>
      </c>
    </row>
    <row r="180" spans="1:10">
      <c r="A180" s="4" cm="1">
        <f t="array" ref="A180">SUM(POWER(pima_data!A180:H180,2))</f>
        <v>26547.723936</v>
      </c>
      <c r="B180" s="4">
        <f t="shared" si="2"/>
        <v>162.934722929153</v>
      </c>
      <c r="C180" s="5">
        <f>pima_data!A180/$B180</f>
        <v>0.0306871359898778</v>
      </c>
      <c r="D180" s="5">
        <f>pima_data!B180/$B180</f>
        <v>0.797865535736824</v>
      </c>
      <c r="E180" s="5">
        <f>pima_data!C180/$B180</f>
        <v>0.503269030233997</v>
      </c>
      <c r="F180" s="5">
        <f>pima_data!D180/$B180</f>
        <v>0</v>
      </c>
      <c r="G180" s="5">
        <f>pima_data!E180/$B180</f>
        <v>0</v>
      </c>
      <c r="H180" s="5">
        <f>pima_data!F180/$B180</f>
        <v>0.239973403440845</v>
      </c>
      <c r="I180" s="5">
        <f>pima_data!G180/$B180</f>
        <v>0.00586738040126464</v>
      </c>
      <c r="J180" s="5">
        <f>pima_data!H180/$B180</f>
        <v>0.227084806325096</v>
      </c>
    </row>
    <row r="181" spans="1:10">
      <c r="A181" s="4" cm="1">
        <f t="array" ref="A181">SUM(POWER(pima_data!A181:H181,2))</f>
        <v>15567.247056</v>
      </c>
      <c r="B181" s="4">
        <f t="shared" si="2"/>
        <v>124.768774362819</v>
      </c>
      <c r="C181" s="5">
        <f>pima_data!A181/$B181</f>
        <v>0.0480889551944497</v>
      </c>
      <c r="D181" s="5">
        <f>pima_data!B181/$B181</f>
        <v>0.697289850319521</v>
      </c>
      <c r="E181" s="5">
        <f>pima_data!C181/$B181</f>
        <v>0.641186069259329</v>
      </c>
      <c r="F181" s="5">
        <f>pima_data!D181/$B181</f>
        <v>0</v>
      </c>
      <c r="G181" s="5">
        <f>pima_data!E181/$B181</f>
        <v>0</v>
      </c>
      <c r="H181" s="5">
        <f>pima_data!F181/$B181</f>
        <v>0.185943960085206</v>
      </c>
      <c r="I181" s="5">
        <f>pima_data!G181/$B181</f>
        <v>0.000673245372722296</v>
      </c>
      <c r="J181" s="5">
        <f>pima_data!H181/$B181</f>
        <v>0.256474427703732</v>
      </c>
    </row>
    <row r="182" spans="1:10">
      <c r="A182" s="4" cm="1">
        <f t="array" ref="A182">SUM(POWER(pima_data!A182:H182,2))</f>
        <v>28792.535625</v>
      </c>
      <c r="B182" s="4">
        <f t="shared" si="2"/>
        <v>169.683633933859</v>
      </c>
      <c r="C182" s="5">
        <f>pima_data!A182/$B182</f>
        <v>0</v>
      </c>
      <c r="D182" s="5">
        <f>pima_data!B182/$B182</f>
        <v>0.701305112586077</v>
      </c>
      <c r="E182" s="5">
        <f>pima_data!C182/$B182</f>
        <v>0.377172497525285</v>
      </c>
      <c r="F182" s="5">
        <f>pima_data!D182/$B182</f>
        <v>0.106079764928986</v>
      </c>
      <c r="G182" s="5">
        <f>pima_data!E182/$B182</f>
        <v>0.542185465192598</v>
      </c>
      <c r="H182" s="5">
        <f>pima_data!F182/$B182</f>
        <v>0.205676877556757</v>
      </c>
      <c r="I182" s="5">
        <f>pima_data!G182/$B182</f>
        <v>0.00427265719852862</v>
      </c>
      <c r="J182" s="5">
        <f>pima_data!H182/$B182</f>
        <v>0.135546366298149</v>
      </c>
    </row>
    <row r="183" spans="1:10">
      <c r="A183" s="4" cm="1">
        <f t="array" ref="A183">SUM(POWER(pima_data!A183:H183,2))</f>
        <v>7614.379401</v>
      </c>
      <c r="B183" s="4">
        <f t="shared" si="2"/>
        <v>87.2604114189247</v>
      </c>
      <c r="C183" s="5">
        <f>pima_data!A183/$B183</f>
        <v>0.0114599505519077</v>
      </c>
      <c r="D183" s="5">
        <f>pima_data!B183/$B183</f>
        <v>0</v>
      </c>
      <c r="E183" s="5">
        <f>pima_data!C183/$B183</f>
        <v>0.848036340841171</v>
      </c>
      <c r="F183" s="5">
        <f>pima_data!D183/$B183</f>
        <v>0.229199011038154</v>
      </c>
      <c r="G183" s="5">
        <f>pima_data!E183/$B183</f>
        <v>0.263578862693877</v>
      </c>
      <c r="H183" s="5">
        <f>pima_data!F183/$B183</f>
        <v>0.317440630287844</v>
      </c>
      <c r="I183" s="5">
        <f>pima_data!G183/$B183</f>
        <v>0.00342652521502041</v>
      </c>
      <c r="J183" s="5">
        <f>pima_data!H183/$B183</f>
        <v>0.240658961590062</v>
      </c>
    </row>
    <row r="184" spans="1:10">
      <c r="A184" s="4" cm="1">
        <f t="array" ref="A184">SUM(POWER(pima_data!A184:H184,2))</f>
        <v>10401.311824</v>
      </c>
      <c r="B184" s="4">
        <f t="shared" si="2"/>
        <v>101.98682181537</v>
      </c>
      <c r="C184" s="5">
        <f>pima_data!A184/$B184</f>
        <v>0.0490259418913129</v>
      </c>
      <c r="D184" s="5">
        <f>pima_data!B184/$B184</f>
        <v>0.715778751613168</v>
      </c>
      <c r="E184" s="5">
        <f>pima_data!C184/$B184</f>
        <v>0.588311302695754</v>
      </c>
      <c r="F184" s="5">
        <f>pima_data!D184/$B184</f>
        <v>0</v>
      </c>
      <c r="G184" s="5">
        <f>pima_data!E184/$B184</f>
        <v>0</v>
      </c>
      <c r="H184" s="5">
        <f>pima_data!F184/$B184</f>
        <v>0.262779048537437</v>
      </c>
      <c r="I184" s="5">
        <f>pima_data!G184/$B184</f>
        <v>0.00262779048537437</v>
      </c>
      <c r="J184" s="5">
        <f>pima_data!H184/$B184</f>
        <v>0.264740086213089</v>
      </c>
    </row>
    <row r="185" spans="1:10">
      <c r="A185" s="4" cm="1">
        <f t="array" ref="A185">SUM(POWER(pima_data!A185:H185,2))</f>
        <v>27734.819536</v>
      </c>
      <c r="B185" s="4">
        <f t="shared" si="2"/>
        <v>166.537742076684</v>
      </c>
      <c r="C185" s="5">
        <f>pima_data!A185/$B185</f>
        <v>0.0240185795130942</v>
      </c>
      <c r="D185" s="5">
        <f>pima_data!B185/$B185</f>
        <v>0.846654927836571</v>
      </c>
      <c r="E185" s="5">
        <f>pima_data!C185/$B185</f>
        <v>0.444343720992243</v>
      </c>
      <c r="F185" s="5">
        <f>pima_data!D185/$B185</f>
        <v>0</v>
      </c>
      <c r="G185" s="5">
        <f>pima_data!E185/$B185</f>
        <v>0</v>
      </c>
      <c r="H185" s="5">
        <f>pima_data!F185/$B185</f>
        <v>0.16572819864035</v>
      </c>
      <c r="I185" s="5">
        <f>pima_data!G185/$B185</f>
        <v>0.00146513335029875</v>
      </c>
      <c r="J185" s="5">
        <f>pima_data!H185/$B185</f>
        <v>0.240185795130942</v>
      </c>
    </row>
    <row r="186" spans="1:10">
      <c r="A186" s="4" cm="1">
        <f t="array" ref="A186">SUM(POWER(pima_data!A186:H186,2))</f>
        <v>46063.365025</v>
      </c>
      <c r="B186" s="4">
        <f t="shared" si="2"/>
        <v>214.623775535237</v>
      </c>
      <c r="C186" s="5">
        <f>pima_data!A186/$B186</f>
        <v>0.0326152122827171</v>
      </c>
      <c r="D186" s="5">
        <f>pima_data!B186/$B186</f>
        <v>0.903907311835303</v>
      </c>
      <c r="E186" s="5">
        <f>pima_data!C186/$B186</f>
        <v>0.316833490746395</v>
      </c>
      <c r="F186" s="5">
        <f>pima_data!D186/$B186</f>
        <v>0.130460849130868</v>
      </c>
      <c r="G186" s="5">
        <f>pima_data!E186/$B186</f>
        <v>0</v>
      </c>
      <c r="H186" s="5">
        <f>pima_data!F186/$B186</f>
        <v>0.167269445849935</v>
      </c>
      <c r="I186" s="5">
        <f>pima_data!G186/$B186</f>
        <v>0.00347119045008918</v>
      </c>
      <c r="J186" s="5">
        <f>pima_data!H186/$B186</f>
        <v>0.191031957655915</v>
      </c>
    </row>
    <row r="187" spans="1:10">
      <c r="A187" s="4" cm="1">
        <f t="array" ref="A187">SUM(POWER(pima_data!A187:H187,2))</f>
        <v>288276.388225</v>
      </c>
      <c r="B187" s="4">
        <f t="shared" si="2"/>
        <v>536.913762372506</v>
      </c>
      <c r="C187" s="5">
        <f>pima_data!A187/$B187</f>
        <v>0.0148999719520128</v>
      </c>
      <c r="D187" s="5">
        <f>pima_data!B187/$B187</f>
        <v>0.337111865414289</v>
      </c>
      <c r="E187" s="5">
        <f>pima_data!C187/$B187</f>
        <v>0.126649761592109</v>
      </c>
      <c r="F187" s="5">
        <f>pima_data!D187/$B187</f>
        <v>0.0670498737840575</v>
      </c>
      <c r="G187" s="5">
        <f>pima_data!E187/$B187</f>
        <v>0.921935764530791</v>
      </c>
      <c r="H187" s="5">
        <f>pima_data!F187/$B187</f>
        <v>0.0560611444694481</v>
      </c>
      <c r="I187" s="5">
        <f>pima_data!G187/$B187</f>
        <v>0.00114543534381098</v>
      </c>
      <c r="J187" s="5">
        <f>pima_data!H187/$B187</f>
        <v>0.111749789640096</v>
      </c>
    </row>
    <row r="188" spans="1:10">
      <c r="A188" s="4" cm="1">
        <f t="array" ref="A188">SUM(POWER(pima_data!A188:H188,2))</f>
        <v>33148.745041</v>
      </c>
      <c r="B188" s="4">
        <f t="shared" si="2"/>
        <v>182.067968190454</v>
      </c>
      <c r="C188" s="5">
        <f>pima_data!A188/$B188</f>
        <v>0.00549245432867105</v>
      </c>
      <c r="D188" s="5">
        <f>pima_data!B188/$B188</f>
        <v>0.703034154069895</v>
      </c>
      <c r="E188" s="5">
        <f>pima_data!C188/$B188</f>
        <v>0.538260524209763</v>
      </c>
      <c r="F188" s="5">
        <f>pima_data!D188/$B188</f>
        <v>0.225190627475513</v>
      </c>
      <c r="G188" s="5">
        <f>pima_data!E188/$B188</f>
        <v>0.318562351062921</v>
      </c>
      <c r="H188" s="5">
        <f>pima_data!F188/$B188</f>
        <v>0.175758538517474</v>
      </c>
      <c r="I188" s="5">
        <f>pima_data!G188/$B188</f>
        <v>0.00725553216817446</v>
      </c>
      <c r="J188" s="5">
        <f>pima_data!H188/$B188</f>
        <v>0.181250992846145</v>
      </c>
    </row>
    <row r="189" spans="1:10">
      <c r="A189" s="4" cm="1">
        <f t="array" ref="A189">SUM(POWER(pima_data!A189:H189,2))</f>
        <v>33977.8196</v>
      </c>
      <c r="B189" s="4">
        <f t="shared" si="2"/>
        <v>184.330734279447</v>
      </c>
      <c r="C189" s="5">
        <f>pima_data!A189/$B189</f>
        <v>0.0434002502690188</v>
      </c>
      <c r="D189" s="5">
        <f>pima_data!B189/$B189</f>
        <v>0.591328409915382</v>
      </c>
      <c r="E189" s="5">
        <f>pima_data!C189/$B189</f>
        <v>0.412302377555679</v>
      </c>
      <c r="F189" s="5">
        <f>pima_data!D189/$B189</f>
        <v>0.211576220061467</v>
      </c>
      <c r="G189" s="5">
        <f>pima_data!E189/$B189</f>
        <v>0.618453566333519</v>
      </c>
      <c r="H189" s="5">
        <f>pima_data!F189/$B189</f>
        <v>0.151358372813203</v>
      </c>
      <c r="I189" s="5">
        <f>pima_data!G189/$B189</f>
        <v>0.00347202002152151</v>
      </c>
      <c r="J189" s="5">
        <f>pima_data!H189/$B189</f>
        <v>0.168175969792448</v>
      </c>
    </row>
    <row r="190" spans="1:10">
      <c r="A190" s="4" cm="1">
        <f t="array" ref="A190">SUM(POWER(pima_data!A190:H190,2))</f>
        <v>54194.690321</v>
      </c>
      <c r="B190" s="4">
        <f t="shared" si="2"/>
        <v>232.797530745066</v>
      </c>
      <c r="C190" s="5">
        <f>pima_data!A190/$B190</f>
        <v>0.0214778910411874</v>
      </c>
      <c r="D190" s="5">
        <f>pima_data!B190/$B190</f>
        <v>0.597085370945009</v>
      </c>
      <c r="E190" s="5">
        <f>pima_data!C190/$B190</f>
        <v>0.343646256658998</v>
      </c>
      <c r="F190" s="5">
        <f>pima_data!D190/$B190</f>
        <v>0.150345237288312</v>
      </c>
      <c r="G190" s="5">
        <f>pima_data!E190/$B190</f>
        <v>0.687292513317996</v>
      </c>
      <c r="H190" s="5">
        <f>pima_data!F190/$B190</f>
        <v>0.135740271380304</v>
      </c>
      <c r="I190" s="5">
        <f>pima_data!G190/$B190</f>
        <v>0.00155070373317373</v>
      </c>
      <c r="J190" s="5">
        <f>pima_data!H190/$B190</f>
        <v>0.107389455205937</v>
      </c>
    </row>
    <row r="191" spans="1:10">
      <c r="A191" s="4" cm="1">
        <f t="array" ref="A191">SUM(POWER(pima_data!A191:H191,2))</f>
        <v>17125.780164</v>
      </c>
      <c r="B191" s="4">
        <f t="shared" si="2"/>
        <v>130.865504102494</v>
      </c>
      <c r="C191" s="5">
        <f>pima_data!A191/$B191</f>
        <v>0.0229242994215679</v>
      </c>
      <c r="D191" s="5">
        <f>pima_data!B191/$B191</f>
        <v>0.848199078598011</v>
      </c>
      <c r="E191" s="5">
        <f>pima_data!C191/$B191</f>
        <v>0.473768854712402</v>
      </c>
      <c r="F191" s="5">
        <f>pima_data!D191/$B191</f>
        <v>0</v>
      </c>
      <c r="G191" s="5">
        <f>pima_data!E191/$B191</f>
        <v>0</v>
      </c>
      <c r="H191" s="5">
        <f>pima_data!F191/$B191</f>
        <v>0.172696388975811</v>
      </c>
      <c r="I191" s="5">
        <f>pima_data!G191/$B191</f>
        <v>0.00108508350595421</v>
      </c>
      <c r="J191" s="5">
        <f>pima_data!H191/$B191</f>
        <v>0.160470095950975</v>
      </c>
    </row>
    <row r="192" spans="1:10">
      <c r="A192" s="4" cm="1">
        <f t="array" ref="A192">SUM(POWER(pima_data!A192:H192,2))</f>
        <v>33577.749876</v>
      </c>
      <c r="B192" s="4">
        <f t="shared" si="2"/>
        <v>183.242325558262</v>
      </c>
      <c r="C192" s="5">
        <f>pima_data!A192/$B192</f>
        <v>0.0491152902179167</v>
      </c>
      <c r="D192" s="5">
        <f>pima_data!B192/$B192</f>
        <v>0.671242299644861</v>
      </c>
      <c r="E192" s="5">
        <f>pima_data!C192/$B192</f>
        <v>0.382007812806019</v>
      </c>
      <c r="F192" s="5">
        <f>pima_data!D192/$B192</f>
        <v>0.240119196620926</v>
      </c>
      <c r="G192" s="5">
        <f>pima_data!E192/$B192</f>
        <v>0.512981920053797</v>
      </c>
      <c r="H192" s="5">
        <f>pima_data!F192/$B192</f>
        <v>0.18063512291256</v>
      </c>
      <c r="I192" s="5">
        <f>pima_data!G192/$B192</f>
        <v>0.00204101317127787</v>
      </c>
      <c r="J192" s="5">
        <f>pima_data!H192/$B192</f>
        <v>0.218290178746296</v>
      </c>
    </row>
    <row r="193" spans="1:10">
      <c r="A193" s="4" cm="1">
        <f t="array" ref="A193">SUM(POWER(pima_data!A193:H193,2))</f>
        <v>31906.306689</v>
      </c>
      <c r="B193" s="4">
        <f t="shared" ref="B193:B256" si="3">A193^0.5</f>
        <v>178.623365462081</v>
      </c>
      <c r="C193" s="5">
        <f>pima_data!A193/$B193</f>
        <v>0.039188602128796</v>
      </c>
      <c r="D193" s="5">
        <f>pima_data!B193/$B193</f>
        <v>0.890141105496938</v>
      </c>
      <c r="E193" s="5">
        <f>pima_data!C193/$B193</f>
        <v>0.36949253435722</v>
      </c>
      <c r="F193" s="5">
        <f>pima_data!D193/$B193</f>
        <v>0</v>
      </c>
      <c r="G193" s="5">
        <f>pima_data!E193/$B193</f>
        <v>0</v>
      </c>
      <c r="H193" s="5">
        <f>pima_data!F193/$B193</f>
        <v>0.170190500673628</v>
      </c>
      <c r="I193" s="5">
        <f>pima_data!G193/$B193</f>
        <v>0.00214417637361841</v>
      </c>
      <c r="J193" s="5">
        <f>pima_data!H193/$B193</f>
        <v>0.201541382376665</v>
      </c>
    </row>
    <row r="194" spans="1:10">
      <c r="A194" s="4" cm="1">
        <f t="array" ref="A194">SUM(POWER(pima_data!A194:H194,2))</f>
        <v>22681.624084</v>
      </c>
      <c r="B194" s="4">
        <f t="shared" si="3"/>
        <v>150.604196767554</v>
      </c>
      <c r="C194" s="5">
        <f>pima_data!A194/$B194</f>
        <v>0.0730391332784549</v>
      </c>
      <c r="D194" s="5">
        <f>pima_data!B194/$B194</f>
        <v>0.896389362962856</v>
      </c>
      <c r="E194" s="5">
        <f>pima_data!C194/$B194</f>
        <v>0</v>
      </c>
      <c r="F194" s="5">
        <f>pima_data!D194/$B194</f>
        <v>0</v>
      </c>
      <c r="G194" s="5">
        <f>pima_data!E194/$B194</f>
        <v>0</v>
      </c>
      <c r="H194" s="5">
        <f>pima_data!F194/$B194</f>
        <v>0.347267879133018</v>
      </c>
      <c r="I194" s="5">
        <f>pima_data!G194/$B194</f>
        <v>0.00383787445772245</v>
      </c>
      <c r="J194" s="5">
        <f>pima_data!H194/$B194</f>
        <v>0.265596848285291</v>
      </c>
    </row>
    <row r="195" spans="1:10">
      <c r="A195" s="4" cm="1">
        <f t="array" ref="A195">SUM(POWER(pima_data!A195:H195,2))</f>
        <v>13073.378496</v>
      </c>
      <c r="B195" s="4">
        <f t="shared" si="3"/>
        <v>114.338875698513</v>
      </c>
      <c r="C195" s="5">
        <f>pima_data!A195/$B195</f>
        <v>0.0699674537739402</v>
      </c>
      <c r="D195" s="5">
        <f>pima_data!B195/$B195</f>
        <v>0.743404196348114</v>
      </c>
      <c r="E195" s="5">
        <f>pima_data!C195/$B195</f>
        <v>0.481026244695839</v>
      </c>
      <c r="F195" s="5">
        <f>pima_data!D195/$B195</f>
        <v>0.17491863443485</v>
      </c>
      <c r="G195" s="5">
        <f>pima_data!E195/$B195</f>
        <v>0</v>
      </c>
      <c r="H195" s="5">
        <f>pima_data!F195/$B195</f>
        <v>0.213400734010518</v>
      </c>
      <c r="I195" s="5">
        <f>pima_data!G195/$B195</f>
        <v>0.00118944671415698</v>
      </c>
      <c r="J195" s="5">
        <f>pima_data!H195/$B195</f>
        <v>0.367329132313186</v>
      </c>
    </row>
    <row r="196" spans="1:10">
      <c r="A196" s="4" cm="1">
        <f t="array" ref="A196">SUM(POWER(pima_data!A196:H196,2))</f>
        <v>80219.516025</v>
      </c>
      <c r="B196" s="4">
        <f t="shared" si="3"/>
        <v>283.230499814197</v>
      </c>
      <c r="C196" s="5">
        <f>pima_data!A196/$B196</f>
        <v>0.0176534660048267</v>
      </c>
      <c r="D196" s="5">
        <f>pima_data!B196/$B196</f>
        <v>0.557849525752523</v>
      </c>
      <c r="E196" s="5">
        <f>pima_data!C196/$B196</f>
        <v>0.296578228881088</v>
      </c>
      <c r="F196" s="5">
        <f>pima_data!D196/$B196</f>
        <v>0.144758421239579</v>
      </c>
      <c r="G196" s="5">
        <f>pima_data!E196/$B196</f>
        <v>0.74144557220272</v>
      </c>
      <c r="H196" s="5">
        <f>pima_data!F196/$B196</f>
        <v>0.139109312118034</v>
      </c>
      <c r="I196" s="5">
        <f>pima_data!G196/$B196</f>
        <v>0.00139462381438131</v>
      </c>
      <c r="J196" s="5">
        <f>pima_data!H196/$B196</f>
        <v>0.102390102827995</v>
      </c>
    </row>
    <row r="197" spans="1:10">
      <c r="A197" s="4" cm="1">
        <f t="array" ref="A197">SUM(POWER(pima_data!A197:H197,2))</f>
        <v>15421.524969</v>
      </c>
      <c r="B197" s="4">
        <f t="shared" si="3"/>
        <v>124.18343274769</v>
      </c>
      <c r="C197" s="5">
        <f>pima_data!A197/$B197</f>
        <v>0.00805260394139494</v>
      </c>
      <c r="D197" s="5">
        <f>pima_data!B197/$B197</f>
        <v>0.845523413846468</v>
      </c>
      <c r="E197" s="5">
        <f>pima_data!C197/$B197</f>
        <v>0.467051028600906</v>
      </c>
      <c r="F197" s="5">
        <f>pima_data!D197/$B197</f>
        <v>0</v>
      </c>
      <c r="G197" s="5">
        <f>pima_data!E197/$B197</f>
        <v>0</v>
      </c>
      <c r="H197" s="5">
        <f>pima_data!F197/$B197</f>
        <v>0.195678275775897</v>
      </c>
      <c r="I197" s="5">
        <f>pima_data!G197/$B197</f>
        <v>0.00150583693704085</v>
      </c>
      <c r="J197" s="5">
        <f>pima_data!H197/$B197</f>
        <v>0.169104682769294</v>
      </c>
    </row>
    <row r="198" spans="1:10">
      <c r="A198" s="4" cm="1">
        <f t="array" ref="A198">SUM(POWER(pima_data!A198:H198,2))</f>
        <v>18828.869684</v>
      </c>
      <c r="B198" s="4">
        <f t="shared" si="3"/>
        <v>137.218328527934</v>
      </c>
      <c r="C198" s="5">
        <f>pima_data!A198/$B198</f>
        <v>0.021862968542058</v>
      </c>
      <c r="D198" s="5">
        <f>pima_data!B198/$B198</f>
        <v>0.779779211333402</v>
      </c>
      <c r="E198" s="5">
        <f>pima_data!C198/$B198</f>
        <v>0.451834683202532</v>
      </c>
      <c r="F198" s="5">
        <f>pima_data!D198/$B198</f>
        <v>0.094739530348918</v>
      </c>
      <c r="G198" s="5">
        <f>pima_data!E198/$B198</f>
        <v>0.349807496672928</v>
      </c>
      <c r="H198" s="5">
        <f>pima_data!F198/$B198</f>
        <v>0.166887326537709</v>
      </c>
      <c r="I198" s="5">
        <f>pima_data!G198/$B198</f>
        <v>0.00494103089050511</v>
      </c>
      <c r="J198" s="5">
        <f>pima_data!H198/$B198</f>
        <v>0.167616092155778</v>
      </c>
    </row>
    <row r="199" spans="1:10">
      <c r="A199" s="4" cm="1">
        <f t="array" ref="A199">SUM(POWER(pima_data!A199:H199,2))</f>
        <v>29617.859025</v>
      </c>
      <c r="B199" s="4">
        <f t="shared" si="3"/>
        <v>172.098399251707</v>
      </c>
      <c r="C199" s="5">
        <f>pima_data!A199/$B199</f>
        <v>0.0232425171726885</v>
      </c>
      <c r="D199" s="5">
        <f>pima_data!B199/$B199</f>
        <v>0.633358592955761</v>
      </c>
      <c r="E199" s="5">
        <f>pima_data!C199/$B199</f>
        <v>0.371880274763015</v>
      </c>
      <c r="F199" s="5">
        <f>pima_data!D199/$B199</f>
        <v>0.255667688899573</v>
      </c>
      <c r="G199" s="5">
        <f>pima_data!E199/$B199</f>
        <v>0.575252300024039</v>
      </c>
      <c r="H199" s="5">
        <f>pima_data!F199/$B199</f>
        <v>0.20220989940239</v>
      </c>
      <c r="I199" s="5">
        <f>pima_data!G199/$B199</f>
        <v>0.00525861951032077</v>
      </c>
      <c r="J199" s="5">
        <f>pima_data!H199/$B199</f>
        <v>0.151076361622475</v>
      </c>
    </row>
    <row r="200" spans="1:10">
      <c r="A200" s="4" cm="1">
        <f t="array" ref="A200">SUM(POWER(pima_data!A200:H200,2))</f>
        <v>129168.8325</v>
      </c>
      <c r="B200" s="4">
        <f t="shared" si="3"/>
        <v>359.400657344975</v>
      </c>
      <c r="C200" s="5">
        <f>pima_data!A200/$B200</f>
        <v>0.0111296401891679</v>
      </c>
      <c r="D200" s="5">
        <f>pima_data!B200/$B200</f>
        <v>0.411796686999213</v>
      </c>
      <c r="E200" s="5">
        <f>pima_data!C200/$B200</f>
        <v>0.166944602837519</v>
      </c>
      <c r="F200" s="5">
        <f>pima_data!D200/$B200</f>
        <v>0.0751250712768834</v>
      </c>
      <c r="G200" s="5">
        <f>pima_data!E200/$B200</f>
        <v>0.88480639503885</v>
      </c>
      <c r="H200" s="5">
        <f>pima_data!F200/$B200</f>
        <v>0.0859764704613222</v>
      </c>
      <c r="I200" s="5">
        <f>pima_data!G200/$B200</f>
        <v>0.000417361507093797</v>
      </c>
      <c r="J200" s="5">
        <f>pima_data!H200/$B200</f>
        <v>0.0806898913714674</v>
      </c>
    </row>
    <row r="201" spans="1:10">
      <c r="A201" s="4" cm="1">
        <f t="array" ref="A201">SUM(POWER(pima_data!A201:H201,2))</f>
        <v>20827.763876</v>
      </c>
      <c r="B201" s="4">
        <f t="shared" si="3"/>
        <v>144.318272841661</v>
      </c>
      <c r="C201" s="5">
        <f>pima_data!A201/$B201</f>
        <v>0</v>
      </c>
      <c r="D201" s="5">
        <f>pima_data!B201/$B201</f>
        <v>0.78299163214057</v>
      </c>
      <c r="E201" s="5">
        <f>pima_data!C201/$B201</f>
        <v>0.554330359037572</v>
      </c>
      <c r="F201" s="5">
        <f>pima_data!D201/$B201</f>
        <v>0.110866071807514</v>
      </c>
      <c r="G201" s="5">
        <f>pima_data!E201/$B201</f>
        <v>0</v>
      </c>
      <c r="H201" s="5">
        <f>pima_data!F201/$B201</f>
        <v>0.214803014127059</v>
      </c>
      <c r="I201" s="5">
        <f>pima_data!G201/$B201</f>
        <v>0.00605605917248547</v>
      </c>
      <c r="J201" s="5">
        <f>pima_data!H201/$B201</f>
        <v>0.145511719247363</v>
      </c>
    </row>
    <row r="202" spans="1:10">
      <c r="A202" s="4" cm="1">
        <f t="array" ref="A202">SUM(POWER(pima_data!A202:H202,2))</f>
        <v>28161.065696</v>
      </c>
      <c r="B202" s="4">
        <f t="shared" si="3"/>
        <v>167.812590993644</v>
      </c>
      <c r="C202" s="5">
        <f>pima_data!A202/$B202</f>
        <v>0.00595902842616783</v>
      </c>
      <c r="D202" s="5">
        <f>pima_data!B202/$B202</f>
        <v>0.822345922811161</v>
      </c>
      <c r="E202" s="5">
        <f>pima_data!C202/$B202</f>
        <v>0.488640330945762</v>
      </c>
      <c r="F202" s="5">
        <f>pima_data!D202/$B202</f>
        <v>0</v>
      </c>
      <c r="G202" s="5">
        <f>pima_data!E202/$B202</f>
        <v>0</v>
      </c>
      <c r="H202" s="5">
        <f>pima_data!F202/$B202</f>
        <v>0.23895703988933</v>
      </c>
      <c r="I202" s="5">
        <f>pima_data!G202/$B202</f>
        <v>0.00140633070857561</v>
      </c>
      <c r="J202" s="5">
        <f>pima_data!H202/$B202</f>
        <v>0.166852795932699</v>
      </c>
    </row>
    <row r="203" spans="1:10">
      <c r="A203" s="4" cm="1">
        <f t="array" ref="A203">SUM(POWER(pima_data!A203:H203,2))</f>
        <v>18457.909369</v>
      </c>
      <c r="B203" s="4">
        <f t="shared" si="3"/>
        <v>135.859888742042</v>
      </c>
      <c r="C203" s="5">
        <f>pima_data!A203/$B203</f>
        <v>0</v>
      </c>
      <c r="D203" s="5">
        <f>pima_data!B203/$B203</f>
        <v>0.79493661447832</v>
      </c>
      <c r="E203" s="5">
        <f>pima_data!C203/$B203</f>
        <v>0.500515646153016</v>
      </c>
      <c r="F203" s="5">
        <f>pima_data!D203/$B203</f>
        <v>0.147210484162652</v>
      </c>
      <c r="G203" s="5">
        <f>pima_data!E203/$B203</f>
        <v>0</v>
      </c>
      <c r="H203" s="5">
        <f>pima_data!F203/$B203</f>
        <v>0.20094231088202</v>
      </c>
      <c r="I203" s="5">
        <f>pima_data!G203/$B203</f>
        <v>0.00579273255180035</v>
      </c>
      <c r="J203" s="5">
        <f>pima_data!H203/$B203</f>
        <v>0.235536774660243</v>
      </c>
    </row>
    <row r="204" spans="1:10">
      <c r="A204" s="4" cm="1">
        <f t="array" ref="A204">SUM(POWER(pima_data!A204:H204,2))</f>
        <v>18042.215225</v>
      </c>
      <c r="B204" s="4">
        <f t="shared" si="3"/>
        <v>134.321313368356</v>
      </c>
      <c r="C204" s="5">
        <f>pima_data!A204/$B204</f>
        <v>0.0148896697764956</v>
      </c>
      <c r="D204" s="5">
        <f>pima_data!B204/$B204</f>
        <v>0.737038653936532</v>
      </c>
      <c r="E204" s="5">
        <f>pima_data!C204/$B204</f>
        <v>0.521138442177346</v>
      </c>
      <c r="F204" s="5">
        <f>pima_data!D204/$B204</f>
        <v>0.119117358211965</v>
      </c>
      <c r="G204" s="5">
        <f>pima_data!E204/$B204</f>
        <v>0.327572735082903</v>
      </c>
      <c r="H204" s="5">
        <f>pima_data!F204/$B204</f>
        <v>0.151874631720255</v>
      </c>
      <c r="I204" s="5">
        <f>pima_data!G204/$B204</f>
        <v>0.00174953619873823</v>
      </c>
      <c r="J204" s="5">
        <f>pima_data!H204/$B204</f>
        <v>0.201010541982691</v>
      </c>
    </row>
    <row r="205" spans="1:10">
      <c r="A205" s="4" cm="1">
        <f t="array" ref="A205">SUM(POWER(pima_data!A205:H205,2))</f>
        <v>57399.394976</v>
      </c>
      <c r="B205" s="4">
        <f t="shared" si="3"/>
        <v>239.581708350199</v>
      </c>
      <c r="C205" s="5">
        <f>pima_data!A205/$B205</f>
        <v>0.0250436481203721</v>
      </c>
      <c r="D205" s="5">
        <f>pima_data!B205/$B205</f>
        <v>0.42991595939972</v>
      </c>
      <c r="E205" s="5">
        <f>pima_data!C205/$B205</f>
        <v>0.300523777444465</v>
      </c>
      <c r="F205" s="5">
        <f>pima_data!D205/$B205</f>
        <v>0.133566123308651</v>
      </c>
      <c r="G205" s="5">
        <f>pima_data!E205/$B205</f>
        <v>0.793048857145116</v>
      </c>
      <c r="H205" s="5">
        <f>pima_data!F205/$B205</f>
        <v>0.157357589023005</v>
      </c>
      <c r="I205" s="5">
        <f>pima_data!G205/$B205</f>
        <v>0.00135235699850009</v>
      </c>
      <c r="J205" s="5">
        <f>pima_data!H205/$B205</f>
        <v>0.229566774436744</v>
      </c>
    </row>
    <row r="206" spans="1:10">
      <c r="A206" s="4" cm="1">
        <f t="array" ref="A206">SUM(POWER(pima_data!A206:H206,2))</f>
        <v>19614.375649</v>
      </c>
      <c r="B206" s="4">
        <f t="shared" si="3"/>
        <v>140.051332192878</v>
      </c>
      <c r="C206" s="5">
        <f>pima_data!A206/$B206</f>
        <v>0.035701195566737</v>
      </c>
      <c r="D206" s="5">
        <f>pima_data!B206/$B206</f>
        <v>0.792566541581561</v>
      </c>
      <c r="E206" s="5">
        <f>pima_data!C206/$B206</f>
        <v>0.514097216161012</v>
      </c>
      <c r="F206" s="5">
        <f>pima_data!D206/$B206</f>
        <v>0.199926695173727</v>
      </c>
      <c r="G206" s="5">
        <f>pima_data!E206/$B206</f>
        <v>0</v>
      </c>
      <c r="H206" s="5">
        <f>pima_data!F206/$B206</f>
        <v>0.170651714809003</v>
      </c>
      <c r="I206" s="5">
        <f>pima_data!G206/$B206</f>
        <v>0.00290607731913239</v>
      </c>
      <c r="J206" s="5">
        <f>pima_data!H206/$B206</f>
        <v>0.19278645606038</v>
      </c>
    </row>
    <row r="207" spans="1:10">
      <c r="A207" s="4" cm="1">
        <f t="array" ref="A207">SUM(POWER(pima_data!A207:H207,2))</f>
        <v>128152.616025</v>
      </c>
      <c r="B207" s="4">
        <f t="shared" si="3"/>
        <v>357.9841002405</v>
      </c>
      <c r="C207" s="5">
        <f>pima_data!A207/$B207</f>
        <v>0.0223473612225389</v>
      </c>
      <c r="D207" s="5">
        <f>pima_data!B207/$B207</f>
        <v>0.547510349952202</v>
      </c>
      <c r="E207" s="5">
        <f>pima_data!C207/$B207</f>
        <v>0.212299931614119</v>
      </c>
      <c r="F207" s="5">
        <f>pima_data!D207/$B207</f>
        <v>0.0810091844317033</v>
      </c>
      <c r="G207" s="5">
        <f>pima_data!E207/$B207</f>
        <v>0.78215764278886</v>
      </c>
      <c r="H207" s="5">
        <f>pima_data!F207/$B207</f>
        <v>0.104753255730651</v>
      </c>
      <c r="I207" s="5">
        <f>pima_data!G207/$B207</f>
        <v>0.0016900191924545</v>
      </c>
      <c r="J207" s="5">
        <f>pima_data!H207/$B207</f>
        <v>0.159224948710589</v>
      </c>
    </row>
    <row r="208" spans="1:10">
      <c r="A208" s="4" cm="1">
        <f t="array" ref="A208">SUM(POWER(pima_data!A208:H208,2))</f>
        <v>41210.312801</v>
      </c>
      <c r="B208" s="4">
        <f t="shared" si="3"/>
        <v>203.003233474248</v>
      </c>
      <c r="C208" s="5">
        <f>pima_data!A208/$B208</f>
        <v>0.0246301495519493</v>
      </c>
      <c r="D208" s="5">
        <f>pima_data!B208/$B208</f>
        <v>0.798016845483156</v>
      </c>
      <c r="E208" s="5">
        <f>pima_data!C208/$B208</f>
        <v>0.512307110680545</v>
      </c>
      <c r="F208" s="5">
        <f>pima_data!D208/$B208</f>
        <v>0</v>
      </c>
      <c r="G208" s="5">
        <f>pima_data!E208/$B208</f>
        <v>0</v>
      </c>
      <c r="H208" s="5">
        <f>pima_data!F208/$B208</f>
        <v>0.185711327621698</v>
      </c>
      <c r="I208" s="5">
        <f>pima_data!G208/$B208</f>
        <v>0.000743830516468868</v>
      </c>
      <c r="J208" s="5">
        <f>pima_data!H208/$B208</f>
        <v>0.256153555340272</v>
      </c>
    </row>
    <row r="209" spans="1:10">
      <c r="A209" s="4" cm="1">
        <f t="array" ref="A209">SUM(POWER(pima_data!A209:H209,2))</f>
        <v>23154.323521</v>
      </c>
      <c r="B209" s="4">
        <f t="shared" si="3"/>
        <v>152.165447855287</v>
      </c>
      <c r="C209" s="5">
        <f>pima_data!A209/$B209</f>
        <v>0.00657179414968781</v>
      </c>
      <c r="D209" s="5">
        <f>pima_data!B209/$B209</f>
        <v>0.63089223837003</v>
      </c>
      <c r="E209" s="5">
        <f>pima_data!C209/$B209</f>
        <v>0.42059482558002</v>
      </c>
      <c r="F209" s="5">
        <f>pima_data!D209/$B209</f>
        <v>0.177438442041571</v>
      </c>
      <c r="G209" s="5">
        <f>pima_data!E209/$B209</f>
        <v>0.57174609102284</v>
      </c>
      <c r="H209" s="5">
        <f>pima_data!F209/$B209</f>
        <v>0.218183565769635</v>
      </c>
      <c r="I209" s="5">
        <f>pima_data!G209/$B209</f>
        <v>0.00189924850925978</v>
      </c>
      <c r="J209" s="5">
        <f>pima_data!H209/$B209</f>
        <v>0.138007677143444</v>
      </c>
    </row>
    <row r="210" spans="1:10">
      <c r="A210" s="4" cm="1">
        <f t="array" ref="A210">SUM(POWER(pima_data!A210:H210,2))</f>
        <v>44991.376025</v>
      </c>
      <c r="B210" s="4">
        <f t="shared" si="3"/>
        <v>212.111706477978</v>
      </c>
      <c r="C210" s="5">
        <f>pima_data!A210/$B210</f>
        <v>0.0330014788727691</v>
      </c>
      <c r="D210" s="5">
        <f>pima_data!B210/$B210</f>
        <v>0.867467444655645</v>
      </c>
      <c r="E210" s="5">
        <f>pima_data!C210/$B210</f>
        <v>0.396017746473229</v>
      </c>
      <c r="F210" s="5">
        <f>pima_data!D210/$B210</f>
        <v>0.155578400400197</v>
      </c>
      <c r="G210" s="5">
        <f>pima_data!E210/$B210</f>
        <v>0</v>
      </c>
      <c r="H210" s="5">
        <f>pima_data!F210/$B210</f>
        <v>0.167364642854758</v>
      </c>
      <c r="I210" s="5">
        <f>pima_data!G210/$B210</f>
        <v>0.00167364642854758</v>
      </c>
      <c r="J210" s="5">
        <f>pima_data!H210/$B210</f>
        <v>0.19329437625479</v>
      </c>
    </row>
    <row r="211" spans="1:10">
      <c r="A211" s="4" cm="1">
        <f t="array" ref="A211">SUM(POWER(pima_data!A211:H211,2))</f>
        <v>12041.3741</v>
      </c>
      <c r="B211" s="4">
        <f t="shared" si="3"/>
        <v>109.733195068767</v>
      </c>
      <c r="C211" s="5">
        <f>pima_data!A211/$B211</f>
        <v>0.0182260253950198</v>
      </c>
      <c r="D211" s="5">
        <f>pima_data!B211/$B211</f>
        <v>0.738154028498301</v>
      </c>
      <c r="E211" s="5">
        <f>pima_data!C211/$B211</f>
        <v>0.546780761850593</v>
      </c>
      <c r="F211" s="5">
        <f>pima_data!D211/$B211</f>
        <v>0.200486279345217</v>
      </c>
      <c r="G211" s="5">
        <f>pima_data!E211/$B211</f>
        <v>0</v>
      </c>
      <c r="H211" s="5">
        <f>pima_data!F211/$B211</f>
        <v>0.252430451721024</v>
      </c>
      <c r="I211" s="5">
        <f>pima_data!G211/$B211</f>
        <v>0.00264277368227787</v>
      </c>
      <c r="J211" s="5">
        <f>pima_data!H211/$B211</f>
        <v>0.227825317437747</v>
      </c>
    </row>
    <row r="212" spans="1:10">
      <c r="A212" s="4" cm="1">
        <f t="array" ref="A212">SUM(POWER(pima_data!A212:H212,2))</f>
        <v>34157.980625</v>
      </c>
      <c r="B212" s="4">
        <f t="shared" si="3"/>
        <v>184.818777793275</v>
      </c>
      <c r="C212" s="5">
        <f>pima_data!A212/$B212</f>
        <v>0</v>
      </c>
      <c r="D212" s="5">
        <f>pima_data!B212/$B212</f>
        <v>0.795373726388471</v>
      </c>
      <c r="E212" s="5">
        <f>pima_data!C212/$B212</f>
        <v>0.459909977843674</v>
      </c>
      <c r="F212" s="5">
        <f>pima_data!D212/$B212</f>
        <v>0.292178103571275</v>
      </c>
      <c r="G212" s="5">
        <f>pima_data!E212/$B212</f>
        <v>0</v>
      </c>
      <c r="H212" s="5">
        <f>pima_data!F212/$B212</f>
        <v>0.231578200608344</v>
      </c>
      <c r="I212" s="5">
        <f>pima_data!G212/$B212</f>
        <v>0.00202901460813385</v>
      </c>
      <c r="J212" s="5">
        <f>pima_data!H212/$B212</f>
        <v>0.129856934920567</v>
      </c>
    </row>
    <row r="213" spans="1:10">
      <c r="A213" s="4" cm="1">
        <f t="array" ref="A213">SUM(POWER(pima_data!A213:H213,2))</f>
        <v>46845.666896</v>
      </c>
      <c r="B213" s="4">
        <f t="shared" si="3"/>
        <v>216.438598443069</v>
      </c>
      <c r="C213" s="5">
        <f>pima_data!A213/$B213</f>
        <v>0.0323417359489197</v>
      </c>
      <c r="D213" s="5">
        <f>pima_data!B213/$B213</f>
        <v>0.827024390693804</v>
      </c>
      <c r="E213" s="5">
        <f>pima_data!C213/$B213</f>
        <v>0.438923559306768</v>
      </c>
      <c r="F213" s="5">
        <f>pima_data!D213/$B213</f>
        <v>0.143227687773787</v>
      </c>
      <c r="G213" s="5">
        <f>pima_data!E213/$B213</f>
        <v>0</v>
      </c>
      <c r="H213" s="5">
        <f>pima_data!F213/$B213</f>
        <v>0.158012481350436</v>
      </c>
      <c r="I213" s="5">
        <f>pima_data!G213/$B213</f>
        <v>0.000757720670803262</v>
      </c>
      <c r="J213" s="5">
        <f>pima_data!H213/$B213</f>
        <v>0.277214879562169</v>
      </c>
    </row>
    <row r="214" spans="1:10">
      <c r="A214" s="4" cm="1">
        <f t="array" ref="A214">SUM(POWER(pima_data!A214:H214,2))</f>
        <v>43791.945761</v>
      </c>
      <c r="B214" s="4">
        <f t="shared" si="3"/>
        <v>209.265252158594</v>
      </c>
      <c r="C214" s="5">
        <f>pima_data!A214/$B214</f>
        <v>0</v>
      </c>
      <c r="D214" s="5">
        <f>pima_data!B214/$B214</f>
        <v>0.66900738921481</v>
      </c>
      <c r="E214" s="5">
        <f>pima_data!C214/$B214</f>
        <v>0.310610573564019</v>
      </c>
      <c r="F214" s="5">
        <f>pima_data!D214/$B214</f>
        <v>0.124244229425608</v>
      </c>
      <c r="G214" s="5">
        <f>pima_data!E214/$B214</f>
        <v>0.621221147128038</v>
      </c>
      <c r="H214" s="5">
        <f>pima_data!F214/$B214</f>
        <v>0.203569391289649</v>
      </c>
      <c r="I214" s="5">
        <f>pima_data!G214/$B214</f>
        <v>0.00205958703393988</v>
      </c>
      <c r="J214" s="5">
        <f>pima_data!H214/$B214</f>
        <v>0.114686981008253</v>
      </c>
    </row>
    <row r="215" spans="1:10">
      <c r="A215" s="4" cm="1">
        <f t="array" ref="A215">SUM(POWER(pima_data!A215:H215,2))</f>
        <v>53463.7076</v>
      </c>
      <c r="B215" s="4">
        <f t="shared" si="3"/>
        <v>231.222203951091</v>
      </c>
      <c r="C215" s="5">
        <f>pima_data!A215/$B215</f>
        <v>0.0389235975014913</v>
      </c>
      <c r="D215" s="5">
        <f>pima_data!B215/$B215</f>
        <v>0.484382546685225</v>
      </c>
      <c r="E215" s="5">
        <f>pima_data!C215/$B215</f>
        <v>0.354637221680254</v>
      </c>
      <c r="F215" s="5">
        <f>pima_data!D215/$B215</f>
        <v>0.138395013338636</v>
      </c>
      <c r="G215" s="5">
        <f>pima_data!E215/$B215</f>
        <v>0.756847729195664</v>
      </c>
      <c r="H215" s="5">
        <f>pima_data!F215/$B215</f>
        <v>0.147909670505667</v>
      </c>
      <c r="I215" s="5">
        <f>pima_data!G215/$B215</f>
        <v>0.00112445948337641</v>
      </c>
      <c r="J215" s="5">
        <f>pima_data!H215/$B215</f>
        <v>0.155694390005965</v>
      </c>
    </row>
    <row r="216" spans="1:10">
      <c r="A216" s="4" cm="1">
        <f t="array" ref="A216">SUM(POWER(pima_data!A216:H216,2))</f>
        <v>106077.790564</v>
      </c>
      <c r="B216" s="4">
        <f t="shared" si="3"/>
        <v>325.695855920827</v>
      </c>
      <c r="C216" s="5">
        <f>pima_data!A216/$B216</f>
        <v>0.0368441900068789</v>
      </c>
      <c r="D216" s="5">
        <f>pima_data!B216/$B216</f>
        <v>0.463622724253226</v>
      </c>
      <c r="E216" s="5">
        <f>pima_data!C216/$B216</f>
        <v>0.214924441706794</v>
      </c>
      <c r="F216" s="5">
        <f>pima_data!D216/$B216</f>
        <v>0.122813966689596</v>
      </c>
      <c r="G216" s="5">
        <f>pima_data!E216/$B216</f>
        <v>0.832064624322015</v>
      </c>
      <c r="H216" s="5">
        <f>pima_data!F216/$B216</f>
        <v>0.128340595190628</v>
      </c>
      <c r="I216" s="5">
        <f>pima_data!G216/$B216</f>
        <v>0.00227819908209201</v>
      </c>
      <c r="J216" s="5">
        <f>pima_data!H216/$B216</f>
        <v>0.116673268355117</v>
      </c>
    </row>
    <row r="217" spans="1:10">
      <c r="A217" s="4" cm="1">
        <f t="array" ref="A217">SUM(POWER(pima_data!A217:H217,2))</f>
        <v>35978.904196</v>
      </c>
      <c r="B217" s="4">
        <f t="shared" si="3"/>
        <v>189.681059138755</v>
      </c>
      <c r="C217" s="5">
        <f>pima_data!A217/$B217</f>
        <v>0.0263600383860278</v>
      </c>
      <c r="D217" s="5">
        <f>pima_data!B217/$B217</f>
        <v>0.574648836815406</v>
      </c>
      <c r="E217" s="5">
        <f>pima_data!C217/$B217</f>
        <v>0.326864475986745</v>
      </c>
      <c r="F217" s="5">
        <f>pima_data!D217/$B217</f>
        <v>0.216152314765428</v>
      </c>
      <c r="G217" s="5">
        <f>pima_data!E217/$B217</f>
        <v>0.680088990359517</v>
      </c>
      <c r="H217" s="5">
        <f>pima_data!F217/$B217</f>
        <v>0.188737874843959</v>
      </c>
      <c r="I217" s="5">
        <f>pima_data!G217/$B217</f>
        <v>0.00270981194608366</v>
      </c>
      <c r="J217" s="5">
        <f>pima_data!H217/$B217</f>
        <v>0.131800191930139</v>
      </c>
    </row>
    <row r="218" spans="1:10">
      <c r="A218" s="4" cm="1">
        <f t="array" ref="A218">SUM(POWER(pima_data!A218:H218,2))</f>
        <v>37509.215296</v>
      </c>
      <c r="B218" s="4">
        <f t="shared" si="3"/>
        <v>193.67295964073</v>
      </c>
      <c r="C218" s="5">
        <f>pima_data!A218/$B218</f>
        <v>0.0309800604644561</v>
      </c>
      <c r="D218" s="5">
        <f>pima_data!B218/$B218</f>
        <v>0.645417926342836</v>
      </c>
      <c r="E218" s="5">
        <f>pima_data!C218/$B218</f>
        <v>0.351107351930503</v>
      </c>
      <c r="F218" s="5">
        <f>pima_data!D218/$B218</f>
        <v>0.154900302322281</v>
      </c>
      <c r="G218" s="5">
        <f>pima_data!E218/$B218</f>
        <v>0.619601209289122</v>
      </c>
      <c r="H218" s="5">
        <f>pima_data!F218/$B218</f>
        <v>0.154900302322281</v>
      </c>
      <c r="I218" s="5">
        <f>pima_data!G218/$B218</f>
        <v>0.00239579134258461</v>
      </c>
      <c r="J218" s="5">
        <f>pima_data!H218/$B218</f>
        <v>0.165226989143766</v>
      </c>
    </row>
    <row r="219" spans="1:10">
      <c r="A219" s="4" cm="1">
        <f t="array" ref="A219">SUM(POWER(pima_data!A219:H219,2))</f>
        <v>15076.498176</v>
      </c>
      <c r="B219" s="4">
        <f t="shared" si="3"/>
        <v>122.786392470827</v>
      </c>
      <c r="C219" s="5">
        <f>pima_data!A219/$B219</f>
        <v>0.0407211247059641</v>
      </c>
      <c r="D219" s="5">
        <f>pima_data!B219/$B219</f>
        <v>0.692259120001389</v>
      </c>
      <c r="E219" s="5">
        <f>pima_data!C219/$B219</f>
        <v>0.602672645648268</v>
      </c>
      <c r="F219" s="5">
        <f>pima_data!D219/$B219</f>
        <v>0.179172948706242</v>
      </c>
      <c r="G219" s="5">
        <f>pima_data!E219/$B219</f>
        <v>0</v>
      </c>
      <c r="H219" s="5">
        <f>pima_data!F219/$B219</f>
        <v>0.236182523294592</v>
      </c>
      <c r="I219" s="5">
        <f>pima_data!G219/$B219</f>
        <v>0.00996853132802</v>
      </c>
      <c r="J219" s="5">
        <f>pima_data!H219/$B219</f>
        <v>0.26061519811817</v>
      </c>
    </row>
    <row r="220" spans="1:10">
      <c r="A220" s="4" cm="1">
        <f t="array" ref="A220">SUM(POWER(pima_data!A220:H220,2))</f>
        <v>20034.908121</v>
      </c>
      <c r="B220" s="4">
        <f t="shared" si="3"/>
        <v>141.544721275645</v>
      </c>
      <c r="C220" s="5">
        <f>pima_data!A220/$B220</f>
        <v>0.0353245246798217</v>
      </c>
      <c r="D220" s="5">
        <f>pima_data!B220/$B220</f>
        <v>0.791269352828006</v>
      </c>
      <c r="E220" s="5">
        <f>pima_data!C220/$B220</f>
        <v>0.466283725773646</v>
      </c>
      <c r="F220" s="5">
        <f>pima_data!D220/$B220</f>
        <v>0</v>
      </c>
      <c r="G220" s="5">
        <f>pima_data!E220/$B220</f>
        <v>0</v>
      </c>
      <c r="H220" s="5">
        <f>pima_data!F220/$B220</f>
        <v>0.267053406579452</v>
      </c>
      <c r="I220" s="5">
        <f>pima_data!G220/$B220</f>
        <v>0.00184394018828669</v>
      </c>
      <c r="J220" s="5">
        <f>pima_data!H220/$B220</f>
        <v>0.289661102374538</v>
      </c>
    </row>
    <row r="221" spans="1:10">
      <c r="A221" s="4" cm="1">
        <f t="array" ref="A221">SUM(POWER(pima_data!A221:H221,2))</f>
        <v>265893.309184</v>
      </c>
      <c r="B221" s="4">
        <f t="shared" si="3"/>
        <v>515.648435645838</v>
      </c>
      <c r="C221" s="5">
        <f>pima_data!A221/$B221</f>
        <v>0</v>
      </c>
      <c r="D221" s="5">
        <f>pima_data!B221/$B221</f>
        <v>0.343257125910431</v>
      </c>
      <c r="E221" s="5">
        <f>pima_data!C221/$B221</f>
        <v>0.116358347766248</v>
      </c>
      <c r="F221" s="5">
        <f>pima_data!D221/$B221</f>
        <v>0.0562398680870197</v>
      </c>
      <c r="G221" s="5">
        <f>pima_data!E221/$B221</f>
        <v>0.926988170537773</v>
      </c>
      <c r="H221" s="5">
        <f>pima_data!F221/$B221</f>
        <v>0.0670999805452028</v>
      </c>
      <c r="I221" s="5">
        <f>pima_data!G221/$B221</f>
        <v>0.00207893581342362</v>
      </c>
      <c r="J221" s="5">
        <f>pima_data!H221/$B221</f>
        <v>0.0407254217181867</v>
      </c>
    </row>
    <row r="222" spans="1:10">
      <c r="A222" s="4" cm="1">
        <f t="array" ref="A222">SUM(POWER(pima_data!A222:H222,2))</f>
        <v>38423.208025</v>
      </c>
      <c r="B222" s="4">
        <f t="shared" si="3"/>
        <v>196.018386956428</v>
      </c>
      <c r="C222" s="5">
        <f>pima_data!A222/$B222</f>
        <v>0.0102031244673214</v>
      </c>
      <c r="D222" s="5">
        <f>pima_data!B222/$B222</f>
        <v>0.806046832918388</v>
      </c>
      <c r="E222" s="5">
        <f>pima_data!C222/$B222</f>
        <v>0.459140601029462</v>
      </c>
      <c r="F222" s="5">
        <f>pima_data!D222/$B222</f>
        <v>0</v>
      </c>
      <c r="G222" s="5">
        <f>pima_data!E222/$B222</f>
        <v>0</v>
      </c>
      <c r="H222" s="5">
        <f>pima_data!F222/$B222</f>
        <v>0.161209366583678</v>
      </c>
      <c r="I222" s="5">
        <f>pima_data!G222/$B222</f>
        <v>0.00410675759809685</v>
      </c>
      <c r="J222" s="5">
        <f>pima_data!H222/$B222</f>
        <v>0.336703107421605</v>
      </c>
    </row>
    <row r="223" spans="1:10">
      <c r="A223" s="4" cm="1">
        <f t="array" ref="A223">SUM(POWER(pima_data!A223:H223,2))</f>
        <v>16214.083681</v>
      </c>
      <c r="B223" s="4">
        <f t="shared" si="3"/>
        <v>127.334534518331</v>
      </c>
      <c r="C223" s="5">
        <f>pima_data!A223/$B223</f>
        <v>0.0549733034049164</v>
      </c>
      <c r="D223" s="5">
        <f>pima_data!B223/$B223</f>
        <v>0.934546157883578</v>
      </c>
      <c r="E223" s="5">
        <f>pima_data!C223/$B223</f>
        <v>0</v>
      </c>
      <c r="F223" s="5">
        <f>pima_data!D223/$B223</f>
        <v>0</v>
      </c>
      <c r="G223" s="5">
        <f>pima_data!E223/$B223</f>
        <v>0</v>
      </c>
      <c r="H223" s="5">
        <f>pima_data!F223/$B223</f>
        <v>0.197903892257699</v>
      </c>
      <c r="I223" s="5">
        <f>pima_data!G223/$B223</f>
        <v>0.00164134577308965</v>
      </c>
      <c r="J223" s="5">
        <f>pima_data!H223/$B223</f>
        <v>0.290573175140272</v>
      </c>
    </row>
    <row r="224" spans="1:10">
      <c r="A224" s="4" cm="1">
        <f t="array" ref="A224">SUM(POWER(pima_data!A224:H224,2))</f>
        <v>65552.911969</v>
      </c>
      <c r="B224" s="4">
        <f t="shared" si="3"/>
        <v>256.033029058753</v>
      </c>
      <c r="C224" s="5">
        <f>pima_data!A224/$B224</f>
        <v>0.027340222571025</v>
      </c>
      <c r="D224" s="5">
        <f>pima_data!B224/$B224</f>
        <v>0.55461594358365</v>
      </c>
      <c r="E224" s="5">
        <f>pima_data!C224/$B224</f>
        <v>0.2343447648945</v>
      </c>
      <c r="F224" s="5">
        <f>pima_data!D224/$B224</f>
        <v>0.128889620691975</v>
      </c>
      <c r="G224" s="5">
        <f>pima_data!E224/$B224</f>
        <v>0.742091755499249</v>
      </c>
      <c r="H224" s="5">
        <f>pima_data!F224/$B224</f>
        <v>0.11248548714936</v>
      </c>
      <c r="I224" s="5">
        <f>pima_data!G224/$B224</f>
        <v>0.00268324755804202</v>
      </c>
      <c r="J224" s="5">
        <f>pima_data!H224/$B224</f>
        <v>0.238250510976075</v>
      </c>
    </row>
    <row r="225" spans="1:10">
      <c r="A225" s="4" cm="1">
        <f t="array" ref="A225">SUM(POWER(pima_data!A225:H225,2))</f>
        <v>18951.403556</v>
      </c>
      <c r="B225" s="4">
        <f t="shared" si="3"/>
        <v>137.664096829929</v>
      </c>
      <c r="C225" s="5">
        <f>pima_data!A225/$B225</f>
        <v>0.00726405811702239</v>
      </c>
      <c r="D225" s="5">
        <f>pima_data!B225/$B225</f>
        <v>0.726405811702239</v>
      </c>
      <c r="E225" s="5">
        <f>pima_data!C225/$B225</f>
        <v>0.479427835723478</v>
      </c>
      <c r="F225" s="5">
        <f>pima_data!D225/$B225</f>
        <v>0.108960871755336</v>
      </c>
      <c r="G225" s="5">
        <f>pima_data!E225/$B225</f>
        <v>0.406787254553254</v>
      </c>
      <c r="H225" s="5">
        <f>pima_data!F225/$B225</f>
        <v>0.171431771561728</v>
      </c>
      <c r="I225" s="5">
        <f>pima_data!G225/$B225</f>
        <v>0.00483786270593691</v>
      </c>
      <c r="J225" s="5">
        <f>pima_data!H225/$B225</f>
        <v>0.188865511042582</v>
      </c>
    </row>
    <row r="226" spans="1:10">
      <c r="A226" s="4" cm="1">
        <f t="array" ref="A226">SUM(POWER(pima_data!A226:H226,2))</f>
        <v>17088.170201</v>
      </c>
      <c r="B226" s="4">
        <f t="shared" si="3"/>
        <v>130.721728113577</v>
      </c>
      <c r="C226" s="5">
        <f>pima_data!A226/$B226</f>
        <v>0.00764983766991783</v>
      </c>
      <c r="D226" s="5">
        <f>pima_data!B226/$B226</f>
        <v>0.665535877282852</v>
      </c>
      <c r="E226" s="5">
        <f>pima_data!C226/$B226</f>
        <v>0.596687338253591</v>
      </c>
      <c r="F226" s="5">
        <f>pima_data!D226/$B226</f>
        <v>0.206545617087782</v>
      </c>
      <c r="G226" s="5">
        <f>pima_data!E226/$B226</f>
        <v>0.244794805437371</v>
      </c>
      <c r="H226" s="5">
        <f>pima_data!F226/$B226</f>
        <v>0.264684383379157</v>
      </c>
      <c r="I226" s="5">
        <f>pima_data!G226/$B226</f>
        <v>0.000772633604661701</v>
      </c>
      <c r="J226" s="5">
        <f>pima_data!H226/$B226</f>
        <v>0.168296428738192</v>
      </c>
    </row>
    <row r="227" spans="1:10">
      <c r="A227" s="4" cm="1">
        <f t="array" ref="A227">SUM(POWER(pima_data!A227:H227,2))</f>
        <v>17927.529204</v>
      </c>
      <c r="B227" s="4">
        <f t="shared" si="3"/>
        <v>133.893723542218</v>
      </c>
      <c r="C227" s="5">
        <f>pima_data!A227/$B227</f>
        <v>0</v>
      </c>
      <c r="D227" s="5">
        <f>pima_data!B227/$B227</f>
        <v>0.754329608050324</v>
      </c>
      <c r="E227" s="5">
        <f>pima_data!C227/$B227</f>
        <v>0.567614358532917</v>
      </c>
      <c r="F227" s="5">
        <f>pima_data!D227/$B227</f>
        <v>0</v>
      </c>
      <c r="G227" s="5">
        <f>pima_data!E227/$B227</f>
        <v>0</v>
      </c>
      <c r="H227" s="5">
        <f>pima_data!F227/$B227</f>
        <v>0.266629376310857</v>
      </c>
      <c r="I227" s="5">
        <f>pima_data!G227/$B227</f>
        <v>0.00147878477617786</v>
      </c>
      <c r="J227" s="5">
        <f>pima_data!H227/$B227</f>
        <v>0.194183859498103</v>
      </c>
    </row>
    <row r="228" spans="1:10">
      <c r="A228" s="4" cm="1">
        <f t="array" ref="A228">SUM(POWER(pima_data!A228:H228,2))</f>
        <v>32361.265104</v>
      </c>
      <c r="B228" s="4">
        <f t="shared" si="3"/>
        <v>179.892370888818</v>
      </c>
      <c r="C228" s="5">
        <f>pima_data!A228/$B228</f>
        <v>0.0166766382875355</v>
      </c>
      <c r="D228" s="5">
        <f>pima_data!B228/$B228</f>
        <v>0.900538467526918</v>
      </c>
      <c r="E228" s="5">
        <f>pima_data!C228/$B228</f>
        <v>0.289061730317282</v>
      </c>
      <c r="F228" s="5">
        <f>pima_data!D228/$B228</f>
        <v>0.211237418308783</v>
      </c>
      <c r="G228" s="5">
        <f>pima_data!E228/$B228</f>
        <v>0</v>
      </c>
      <c r="H228" s="5">
        <f>pima_data!F228/$B228</f>
        <v>0.20679031476544</v>
      </c>
      <c r="I228" s="5">
        <f>pima_data!G228/$B228</f>
        <v>0.00362438938782439</v>
      </c>
      <c r="J228" s="5">
        <f>pima_data!H228/$B228</f>
        <v>0.133413106300284</v>
      </c>
    </row>
    <row r="229" spans="1:10">
      <c r="A229" s="4" cm="1">
        <f t="array" ref="A229">SUM(POWER(pima_data!A229:H229,2))</f>
        <v>601095.314241</v>
      </c>
      <c r="B229" s="4">
        <f t="shared" si="3"/>
        <v>775.303369166548</v>
      </c>
      <c r="C229" s="5">
        <f>pima_data!A229/$B229</f>
        <v>0.0051592707565556</v>
      </c>
      <c r="D229" s="5">
        <f>pima_data!B229/$B229</f>
        <v>0.254094084760363</v>
      </c>
      <c r="E229" s="5">
        <f>pima_data!C229/$B229</f>
        <v>0.090287238239723</v>
      </c>
      <c r="F229" s="5">
        <f>pima_data!D229/$B229</f>
        <v>0.0503028898764171</v>
      </c>
      <c r="G229" s="5">
        <f>pima_data!E229/$B229</f>
        <v>0.959624360719342</v>
      </c>
      <c r="H229" s="5">
        <f>pima_data!F229/$B229</f>
        <v>0.0473363091913976</v>
      </c>
      <c r="I229" s="5">
        <f>pima_data!G229/$B229</f>
        <v>0.0030039853980045</v>
      </c>
      <c r="J229" s="5">
        <f>pima_data!H229/$B229</f>
        <v>0.0399843483633059</v>
      </c>
    </row>
    <row r="230" spans="1:10">
      <c r="A230" s="4" cm="1">
        <f t="array" ref="A230">SUM(POWER(pima_data!A230:H230,2))</f>
        <v>26478.047921</v>
      </c>
      <c r="B230" s="4">
        <f t="shared" si="3"/>
        <v>162.720766717097</v>
      </c>
      <c r="C230" s="5">
        <f>pima_data!A230/$B230</f>
        <v>0</v>
      </c>
      <c r="D230" s="5">
        <f>pima_data!B230/$B230</f>
        <v>0.719023160721788</v>
      </c>
      <c r="E230" s="5">
        <f>pima_data!C230/$B230</f>
        <v>0.491639768014898</v>
      </c>
      <c r="F230" s="5">
        <f>pima_data!D230/$B230</f>
        <v>0.190510410105773</v>
      </c>
      <c r="G230" s="5">
        <f>pima_data!E230/$B230</f>
        <v>0.32571134630987</v>
      </c>
      <c r="H230" s="5">
        <f>pima_data!F230/$B230</f>
        <v>0.277776468928417</v>
      </c>
      <c r="I230" s="5">
        <f>pima_data!G230/$B230</f>
        <v>0.000546949241916574</v>
      </c>
      <c r="J230" s="5">
        <f>pima_data!H230/$B230</f>
        <v>0.147491930404469</v>
      </c>
    </row>
    <row r="231" spans="1:10">
      <c r="A231" s="4" cm="1">
        <f t="array" ref="A231">SUM(POWER(pima_data!A231:H231,2))</f>
        <v>29996.416025</v>
      </c>
      <c r="B231" s="4">
        <f t="shared" si="3"/>
        <v>173.194734403214</v>
      </c>
      <c r="C231" s="5">
        <f>pima_data!A231/$B231</f>
        <v>0.0230953903638179</v>
      </c>
      <c r="D231" s="5">
        <f>pima_data!B231/$B231</f>
        <v>0.819886357915536</v>
      </c>
      <c r="E231" s="5">
        <f>pima_data!C231/$B231</f>
        <v>0.496550892822085</v>
      </c>
      <c r="F231" s="5">
        <f>pima_data!D231/$B231</f>
        <v>0</v>
      </c>
      <c r="G231" s="5">
        <f>pima_data!E231/$B231</f>
        <v>0</v>
      </c>
      <c r="H231" s="5">
        <f>pima_data!F231/$B231</f>
        <v>0.254049294001997</v>
      </c>
      <c r="I231" s="5">
        <f>pima_data!G231/$B231</f>
        <v>0.00372413169616564</v>
      </c>
      <c r="J231" s="5">
        <f>pima_data!H231/$B231</f>
        <v>0.127024647000998</v>
      </c>
    </row>
    <row r="232" spans="1:10">
      <c r="A232" s="4" cm="1">
        <f t="array" ref="A232">SUM(POWER(pima_data!A232:H232,2))</f>
        <v>166911.496644</v>
      </c>
      <c r="B232" s="4">
        <f t="shared" si="3"/>
        <v>408.548034683806</v>
      </c>
      <c r="C232" s="5">
        <f>pima_data!A232/$B232</f>
        <v>0.0146861555817878</v>
      </c>
      <c r="D232" s="5">
        <f>pima_data!B232/$B232</f>
        <v>0.327990807993261</v>
      </c>
      <c r="E232" s="5">
        <f>pima_data!C232/$B232</f>
        <v>0.19581540775717</v>
      </c>
      <c r="F232" s="5">
        <f>pima_data!D232/$B232</f>
        <v>0.0905646260876913</v>
      </c>
      <c r="G232" s="5">
        <f>pima_data!E232/$B232</f>
        <v>0.905646260876913</v>
      </c>
      <c r="H232" s="5">
        <f>pima_data!F232/$B232</f>
        <v>0.113083397979766</v>
      </c>
      <c r="I232" s="5">
        <f>pima_data!G232/$B232</f>
        <v>0.000582550838077582</v>
      </c>
      <c r="J232" s="5">
        <f>pima_data!H232/$B232</f>
        <v>0.112593859460373</v>
      </c>
    </row>
    <row r="233" spans="1:10">
      <c r="A233" s="4" cm="1">
        <f t="array" ref="A233">SUM(POWER(pima_data!A233:H233,2))</f>
        <v>15765.499889</v>
      </c>
      <c r="B233" s="4">
        <f t="shared" si="3"/>
        <v>125.560741830399</v>
      </c>
      <c r="C233" s="5">
        <f>pima_data!A233/$B233</f>
        <v>0.0079642727927711</v>
      </c>
      <c r="D233" s="5">
        <f>pima_data!B233/$B233</f>
        <v>0.629177550628917</v>
      </c>
      <c r="E233" s="5">
        <f>pima_data!C233/$B233</f>
        <v>0.637141823421688</v>
      </c>
      <c r="F233" s="5">
        <f>pima_data!D233/$B233</f>
        <v>0.199106819819278</v>
      </c>
      <c r="G233" s="5">
        <f>pima_data!E233/$B233</f>
        <v>0.294678093332531</v>
      </c>
      <c r="H233" s="5">
        <f>pima_data!F233/$B233</f>
        <v>0.202292528936386</v>
      </c>
      <c r="I233" s="5">
        <f>pima_data!G233/$B233</f>
        <v>0.00464317103818555</v>
      </c>
      <c r="J233" s="5">
        <f>pima_data!H233/$B233</f>
        <v>0.175214001440964</v>
      </c>
    </row>
    <row r="234" spans="1:10">
      <c r="A234" s="4" cm="1">
        <f t="array" ref="A234">SUM(POWER(pima_data!A234:H234,2))</f>
        <v>21590.155236</v>
      </c>
      <c r="B234" s="4">
        <f t="shared" si="3"/>
        <v>146.935888182568</v>
      </c>
      <c r="C234" s="5">
        <f>pima_data!A234/$B234</f>
        <v>0.0272227571458241</v>
      </c>
      <c r="D234" s="5">
        <f>pima_data!B234/$B234</f>
        <v>0.830294092947635</v>
      </c>
      <c r="E234" s="5">
        <f>pima_data!C234/$B234</f>
        <v>0.462786871479009</v>
      </c>
      <c r="F234" s="5">
        <f>pima_data!D234/$B234</f>
        <v>0</v>
      </c>
      <c r="G234" s="5">
        <f>pima_data!E234/$B234</f>
        <v>0</v>
      </c>
      <c r="H234" s="5">
        <f>pima_data!F234/$B234</f>
        <v>0.238199125025961</v>
      </c>
      <c r="I234" s="5">
        <f>pima_data!G234/$B234</f>
        <v>0.00268144157886367</v>
      </c>
      <c r="J234" s="5">
        <f>pima_data!H234/$B234</f>
        <v>0.197364989307225</v>
      </c>
    </row>
    <row r="235" spans="1:10">
      <c r="A235" s="4" cm="1">
        <f t="array" ref="A235">SUM(POWER(pima_data!A235:H235,2))</f>
        <v>14329.175849</v>
      </c>
      <c r="B235" s="4">
        <f t="shared" si="3"/>
        <v>119.704535624178</v>
      </c>
      <c r="C235" s="5">
        <f>pima_data!A235/$B235</f>
        <v>0.0250617070134982</v>
      </c>
      <c r="D235" s="5">
        <f>pima_data!B235/$B235</f>
        <v>0.618188772999623</v>
      </c>
      <c r="E235" s="5">
        <f>pima_data!C235/$B235</f>
        <v>0.568065358972627</v>
      </c>
      <c r="F235" s="5">
        <f>pima_data!D235/$B235</f>
        <v>0.233909265459317</v>
      </c>
      <c r="G235" s="5">
        <f>pima_data!E235/$B235</f>
        <v>0.375925605202473</v>
      </c>
      <c r="H235" s="5">
        <f>pima_data!F235/$B235</f>
        <v>0.248110899433632</v>
      </c>
      <c r="I235" s="5">
        <f>pima_data!G235/$B235</f>
        <v>0.00244769338498499</v>
      </c>
      <c r="J235" s="5">
        <f>pima_data!H235/$B235</f>
        <v>0.192139753770153</v>
      </c>
    </row>
    <row r="236" spans="1:10">
      <c r="A236" s="4" cm="1">
        <f t="array" ref="A236">SUM(POWER(pima_data!A236:H236,2))</f>
        <v>37018.189441</v>
      </c>
      <c r="B236" s="4">
        <f t="shared" si="3"/>
        <v>192.401116007678</v>
      </c>
      <c r="C236" s="5">
        <f>pima_data!A236/$B236</f>
        <v>0.0207899001991255</v>
      </c>
      <c r="D236" s="5">
        <f>pima_data!B236/$B236</f>
        <v>0.888768233512616</v>
      </c>
      <c r="E236" s="5">
        <f>pima_data!C236/$B236</f>
        <v>0.374218203584259</v>
      </c>
      <c r="F236" s="5">
        <f>pima_data!D236/$B236</f>
        <v>0</v>
      </c>
      <c r="G236" s="5">
        <f>pima_data!E236/$B236</f>
        <v>0</v>
      </c>
      <c r="H236" s="5">
        <f>pima_data!F236/$B236</f>
        <v>0.226609912170468</v>
      </c>
      <c r="I236" s="5">
        <f>pima_data!G236/$B236</f>
        <v>0.00248959054884528</v>
      </c>
      <c r="J236" s="5">
        <f>pima_data!H236/$B236</f>
        <v>0.135134351294316</v>
      </c>
    </row>
    <row r="237" spans="1:10">
      <c r="A237" s="4" cm="1">
        <f t="array" ref="A237">SUM(POWER(pima_data!A237:H237,2))</f>
        <v>81061.153396</v>
      </c>
      <c r="B237" s="4">
        <f t="shared" si="3"/>
        <v>284.712404710438</v>
      </c>
      <c r="C237" s="5">
        <f>pima_data!A237/$B237</f>
        <v>0.024586213611308</v>
      </c>
      <c r="D237" s="5">
        <f>pima_data!B237/$B237</f>
        <v>0.635729237663822</v>
      </c>
      <c r="E237" s="5">
        <f>pima_data!C237/$B237</f>
        <v>0.295034563335696</v>
      </c>
      <c r="F237" s="5">
        <f>pima_data!D237/$B237</f>
        <v>0.0737586408339241</v>
      </c>
      <c r="G237" s="5">
        <f>pima_data!E237/$B237</f>
        <v>0.674364716195877</v>
      </c>
      <c r="H237" s="5">
        <f>pima_data!F237/$B237</f>
        <v>0.126092152663708</v>
      </c>
      <c r="I237" s="5">
        <f>pima_data!G237/$B237</f>
        <v>0.0020582173108895</v>
      </c>
      <c r="J237" s="5">
        <f>pima_data!H237/$B237</f>
        <v>0.17912812773953</v>
      </c>
    </row>
    <row r="238" spans="1:10">
      <c r="A238" s="4" cm="1">
        <f t="array" ref="A238">SUM(POWER(pima_data!A238:H238,2))</f>
        <v>43344.280596</v>
      </c>
      <c r="B238" s="4">
        <f t="shared" si="3"/>
        <v>208.192892760536</v>
      </c>
      <c r="C238" s="5">
        <f>pima_data!A238/$B238</f>
        <v>0</v>
      </c>
      <c r="D238" s="5">
        <f>pima_data!B238/$B238</f>
        <v>0.859779590102945</v>
      </c>
      <c r="E238" s="5">
        <f>pima_data!C238/$B238</f>
        <v>0.432291414018241</v>
      </c>
      <c r="F238" s="5">
        <f>pima_data!D238/$B238</f>
        <v>0.129687424205472</v>
      </c>
      <c r="G238" s="5">
        <f>pima_data!E238/$B238</f>
        <v>0</v>
      </c>
      <c r="H238" s="5">
        <f>pima_data!F238/$B238</f>
        <v>0.211822792868938</v>
      </c>
      <c r="I238" s="5">
        <f>pima_data!G238/$B238</f>
        <v>0.0032950212224057</v>
      </c>
      <c r="J238" s="5">
        <f>pima_data!H238/$B238</f>
        <v>0.110474472471328</v>
      </c>
    </row>
    <row r="239" spans="1:10">
      <c r="A239" s="4" cm="1">
        <f t="array" ref="A239">SUM(POWER(pima_data!A239:H239,2))</f>
        <v>36447.330561</v>
      </c>
      <c r="B239" s="4">
        <f t="shared" si="3"/>
        <v>190.911839761184</v>
      </c>
      <c r="C239" s="5">
        <f>pima_data!A239/$B239</f>
        <v>0.0471421783544609</v>
      </c>
      <c r="D239" s="5">
        <f>pima_data!B239/$B239</f>
        <v>0.859035250014621</v>
      </c>
      <c r="E239" s="5">
        <f>pima_data!C239/$B239</f>
        <v>0.439993664641635</v>
      </c>
      <c r="F239" s="5">
        <f>pima_data!D239/$B239</f>
        <v>0.109998416160409</v>
      </c>
      <c r="G239" s="5">
        <f>pima_data!E239/$B239</f>
        <v>0</v>
      </c>
      <c r="H239" s="5">
        <f>pima_data!F239/$B239</f>
        <v>0.1613310103686</v>
      </c>
      <c r="I239" s="5">
        <f>pima_data!G239/$B239</f>
        <v>0.00435279446806189</v>
      </c>
      <c r="J239" s="5">
        <f>pima_data!H239/$B239</f>
        <v>0.167616634149194</v>
      </c>
    </row>
    <row r="240" spans="1:10">
      <c r="A240" s="4" cm="1">
        <f t="array" ref="A240">SUM(POWER(pima_data!A240:H240,2))</f>
        <v>17659.898724</v>
      </c>
      <c r="B240" s="4">
        <f t="shared" si="3"/>
        <v>132.890551673172</v>
      </c>
      <c r="C240" s="5">
        <f>pima_data!A240/$B240</f>
        <v>0</v>
      </c>
      <c r="D240" s="5">
        <f>pima_data!B240/$B240</f>
        <v>0.782598903312368</v>
      </c>
      <c r="E240" s="5">
        <f>pima_data!C240/$B240</f>
        <v>0.571899198574423</v>
      </c>
      <c r="F240" s="5">
        <f>pima_data!D240/$B240</f>
        <v>0</v>
      </c>
      <c r="G240" s="5">
        <f>pima_data!E240/$B240</f>
        <v>0</v>
      </c>
      <c r="H240" s="5">
        <f>pima_data!F240/$B240</f>
        <v>0.13845980597065</v>
      </c>
      <c r="I240" s="5">
        <f>pima_data!G240/$B240</f>
        <v>0.00437954386276729</v>
      </c>
      <c r="J240" s="5">
        <f>pima_data!H240/$B240</f>
        <v>0.203174715283019</v>
      </c>
    </row>
    <row r="241" spans="1:10">
      <c r="A241" s="4" cm="1">
        <f t="array" ref="A241">SUM(POWER(pima_data!A241:H241,2))</f>
        <v>14247.676864</v>
      </c>
      <c r="B241" s="4">
        <f t="shared" si="3"/>
        <v>119.363632920584</v>
      </c>
      <c r="C241" s="5">
        <f>pima_data!A241/$B241</f>
        <v>0.00837776109466546</v>
      </c>
      <c r="D241" s="5">
        <f>pima_data!B241/$B241</f>
        <v>0.762376259614556</v>
      </c>
      <c r="E241" s="5">
        <f>pima_data!C241/$B241</f>
        <v>0.536176710058589</v>
      </c>
      <c r="F241" s="5">
        <f>pima_data!D241/$B241</f>
        <v>0.201066266271971</v>
      </c>
      <c r="G241" s="5">
        <f>pima_data!E241/$B241</f>
        <v>0</v>
      </c>
      <c r="H241" s="5">
        <f>pima_data!F241/$B241</f>
        <v>0.244630623964231</v>
      </c>
      <c r="I241" s="5">
        <f>pima_data!G241/$B241</f>
        <v>0.00160853013017577</v>
      </c>
      <c r="J241" s="5">
        <f>pima_data!H241/$B241</f>
        <v>0.175932982987975</v>
      </c>
    </row>
    <row r="242" spans="1:10">
      <c r="A242" s="4" cm="1">
        <f t="array" ref="A242">SUM(POWER(pima_data!A242:H242,2))</f>
        <v>23544.808916</v>
      </c>
      <c r="B242" s="4">
        <f t="shared" si="3"/>
        <v>153.443178134448</v>
      </c>
      <c r="C242" s="5">
        <f>pima_data!A242/$B242</f>
        <v>0.0260682817485386</v>
      </c>
      <c r="D242" s="5">
        <f>pima_data!B242/$B242</f>
        <v>0.593053409779254</v>
      </c>
      <c r="E242" s="5">
        <f>pima_data!C242/$B242</f>
        <v>0.456194930599426</v>
      </c>
      <c r="F242" s="5">
        <f>pima_data!D242/$B242</f>
        <v>0.208546253988309</v>
      </c>
      <c r="G242" s="5">
        <f>pima_data!E242/$B242</f>
        <v>0.57350219846785</v>
      </c>
      <c r="H242" s="5">
        <f>pima_data!F242/$B242</f>
        <v>0.215715031469157</v>
      </c>
      <c r="I242" s="5">
        <f>pima_data!G242/$B242</f>
        <v>0.00290661341496206</v>
      </c>
      <c r="J242" s="5">
        <f>pima_data!H242/$B242</f>
        <v>0.143375549616963</v>
      </c>
    </row>
    <row r="243" spans="1:10">
      <c r="A243" s="4" cm="1">
        <f t="array" ref="A243">SUM(POWER(pima_data!A243:H243,2))</f>
        <v>23385.521604</v>
      </c>
      <c r="B243" s="4">
        <f t="shared" si="3"/>
        <v>152.923253967472</v>
      </c>
      <c r="C243" s="5">
        <f>pima_data!A243/$B243</f>
        <v>0.0196176835253461</v>
      </c>
      <c r="D243" s="5">
        <f>pima_data!B243/$B243</f>
        <v>0.908952670007704</v>
      </c>
      <c r="E243" s="5">
        <f>pima_data!C243/$B243</f>
        <v>0.35311830345623</v>
      </c>
      <c r="F243" s="5">
        <f>pima_data!D243/$B243</f>
        <v>0</v>
      </c>
      <c r="G243" s="5">
        <f>pima_data!E243/$B243</f>
        <v>0</v>
      </c>
      <c r="H243" s="5">
        <f>pima_data!F243/$B243</f>
        <v>0.16740423274962</v>
      </c>
      <c r="I243" s="5">
        <f>pima_data!G243/$B243</f>
        <v>0.00262876959239638</v>
      </c>
      <c r="J243" s="5">
        <f>pima_data!H243/$B243</f>
        <v>0.143863012519205</v>
      </c>
    </row>
    <row r="244" spans="1:10">
      <c r="A244" s="4" cm="1">
        <f t="array" ref="A244">SUM(POWER(pima_data!A244:H244,2))</f>
        <v>49982.147124</v>
      </c>
      <c r="B244" s="4">
        <f t="shared" si="3"/>
        <v>223.566873941557</v>
      </c>
      <c r="C244" s="5">
        <f>pima_data!A244/$B244</f>
        <v>0.026837607442543</v>
      </c>
      <c r="D244" s="5">
        <f>pima_data!B244/$B244</f>
        <v>0.532279214277103</v>
      </c>
      <c r="E244" s="5">
        <f>pima_data!C244/$B244</f>
        <v>0.223646728687858</v>
      </c>
      <c r="F244" s="5">
        <f>pima_data!D244/$B244</f>
        <v>0.0984045606226577</v>
      </c>
      <c r="G244" s="5">
        <f>pima_data!E244/$B244</f>
        <v>0.787236484981261</v>
      </c>
      <c r="H244" s="5">
        <f>pima_data!F244/$B244</f>
        <v>0.121216526948819</v>
      </c>
      <c r="I244" s="5">
        <f>pima_data!G244/$B244</f>
        <v>0.00589532776821195</v>
      </c>
      <c r="J244" s="5">
        <f>pima_data!H244/$B244</f>
        <v>0.147606840933986</v>
      </c>
    </row>
    <row r="245" spans="1:10">
      <c r="A245" s="4" cm="1">
        <f t="array" ref="A245">SUM(POWER(pima_data!A245:H245,2))</f>
        <v>68257.348241</v>
      </c>
      <c r="B245" s="4">
        <f t="shared" si="3"/>
        <v>261.261072953856</v>
      </c>
      <c r="C245" s="5">
        <f>pima_data!A245/$B245</f>
        <v>0.00765517793136079</v>
      </c>
      <c r="D245" s="5">
        <f>pima_data!B245/$B245</f>
        <v>0.558827988989338</v>
      </c>
      <c r="E245" s="5">
        <f>pima_data!C245/$B245</f>
        <v>0.29089676139171</v>
      </c>
      <c r="F245" s="5">
        <f>pima_data!D245/$B245</f>
        <v>0.133965613798814</v>
      </c>
      <c r="G245" s="5">
        <f>pima_data!E245/$B245</f>
        <v>0.742552259341997</v>
      </c>
      <c r="H245" s="5">
        <f>pima_data!F245/$B245</f>
        <v>0.146213898488991</v>
      </c>
      <c r="I245" s="5">
        <f>pima_data!G245/$B245</f>
        <v>0.00125927676970885</v>
      </c>
      <c r="J245" s="5">
        <f>pima_data!H245/$B245</f>
        <v>0.111000080004732</v>
      </c>
    </row>
    <row r="246" spans="1:10">
      <c r="A246" s="4" cm="1">
        <f t="array" ref="A246">SUM(POWER(pima_data!A246:H246,2))</f>
        <v>44689.471369</v>
      </c>
      <c r="B246" s="4">
        <f t="shared" si="3"/>
        <v>211.398844294381</v>
      </c>
      <c r="C246" s="5">
        <f>pima_data!A246/$B246</f>
        <v>0.0425735534649714</v>
      </c>
      <c r="D246" s="5">
        <f>pima_data!B246/$B246</f>
        <v>0.870392648617193</v>
      </c>
      <c r="E246" s="5">
        <f>pima_data!C246/$B246</f>
        <v>0.402083560502508</v>
      </c>
      <c r="F246" s="5">
        <f>pima_data!D246/$B246</f>
        <v>0.070955922441619</v>
      </c>
      <c r="G246" s="5">
        <f>pima_data!E246/$B246</f>
        <v>0</v>
      </c>
      <c r="H246" s="5">
        <f>pima_data!F246/$B246</f>
        <v>0.141911844883238</v>
      </c>
      <c r="I246" s="5">
        <f>pima_data!G246/$B246</f>
        <v>0.00573796892811226</v>
      </c>
      <c r="J246" s="5">
        <f>pima_data!H246/$B246</f>
        <v>0.231789346642622</v>
      </c>
    </row>
    <row r="247" spans="1:10">
      <c r="A247" s="4" cm="1">
        <f t="array" ref="A247">SUM(POWER(pima_data!A247:H247,2))</f>
        <v>22262.506564</v>
      </c>
      <c r="B247" s="4">
        <f t="shared" si="3"/>
        <v>149.206255110166</v>
      </c>
      <c r="C247" s="5">
        <f>pima_data!A247/$B247</f>
        <v>0.0670213188623796</v>
      </c>
      <c r="D247" s="5">
        <f>pima_data!B247/$B247</f>
        <v>0.817660090121031</v>
      </c>
      <c r="E247" s="5">
        <f>pima_data!C247/$B247</f>
        <v>0.455744968264181</v>
      </c>
      <c r="F247" s="5">
        <f>pima_data!D247/$B247</f>
        <v>0</v>
      </c>
      <c r="G247" s="5">
        <f>pima_data!E247/$B247</f>
        <v>0</v>
      </c>
      <c r="H247" s="5">
        <f>pima_data!F247/$B247</f>
        <v>0.209106514850624</v>
      </c>
      <c r="I247" s="5">
        <f>pima_data!G247/$B247</f>
        <v>0.00172915002664939</v>
      </c>
      <c r="J247" s="5">
        <f>pima_data!H247/$B247</f>
        <v>0.274787407335756</v>
      </c>
    </row>
    <row r="248" spans="1:10">
      <c r="A248" s="4" cm="1">
        <f t="array" ref="A248">SUM(POWER(pima_data!A248:H248,2))</f>
        <v>502078.472329</v>
      </c>
      <c r="B248" s="4">
        <f t="shared" si="3"/>
        <v>708.574958863916</v>
      </c>
      <c r="C248" s="5">
        <f>pima_data!A248/$B248</f>
        <v>0</v>
      </c>
      <c r="D248" s="5">
        <f>pima_data!B248/$B248</f>
        <v>0.232861743046283</v>
      </c>
      <c r="E248" s="5">
        <f>pima_data!C248/$B248</f>
        <v>0.127015496207064</v>
      </c>
      <c r="F248" s="5">
        <f>pima_data!D248/$B248</f>
        <v>0.0465723486092567</v>
      </c>
      <c r="G248" s="5">
        <f>pima_data!E248/$B248</f>
        <v>0.959672638008926</v>
      </c>
      <c r="H248" s="5">
        <f>pima_data!F248/$B248</f>
        <v>0.0738101161292159</v>
      </c>
      <c r="I248" s="5">
        <f>pima_data!G248/$B248</f>
        <v>0.000602617965337958</v>
      </c>
      <c r="J248" s="5">
        <f>pima_data!H248/$B248</f>
        <v>0.0324595156973607</v>
      </c>
    </row>
    <row r="249" spans="1:10">
      <c r="A249" s="4" cm="1">
        <f t="array" ref="A249">SUM(POWER(pima_data!A249:H249,2))</f>
        <v>185459.239524</v>
      </c>
      <c r="B249" s="4">
        <f t="shared" si="3"/>
        <v>430.64978755829</v>
      </c>
      <c r="C249" s="5">
        <f>pima_data!A249/$B249</f>
        <v>0.020898651897702</v>
      </c>
      <c r="D249" s="5">
        <f>pima_data!B249/$B249</f>
        <v>0.287936981701672</v>
      </c>
      <c r="E249" s="5">
        <f>pima_data!C249/$B249</f>
        <v>0.16254507031546</v>
      </c>
      <c r="F249" s="5">
        <f>pima_data!D249/$B249</f>
        <v>0.0766283902915739</v>
      </c>
      <c r="G249" s="5">
        <f>pima_data!E249/$B249</f>
        <v>0.933473118097355</v>
      </c>
      <c r="H249" s="5">
        <f>pima_data!F249/$B249</f>
        <v>0.0822013641309611</v>
      </c>
      <c r="I249" s="5">
        <f>pima_data!G249/$B249</f>
        <v>0.000654824426127995</v>
      </c>
      <c r="J249" s="5">
        <f>pima_data!H249/$B249</f>
        <v>0.0789504627246519</v>
      </c>
    </row>
    <row r="250" spans="1:10">
      <c r="A250" s="4" cm="1">
        <f t="array" ref="A250">SUM(POWER(pima_data!A250:H250,2))</f>
        <v>21514.030449</v>
      </c>
      <c r="B250" s="4">
        <f t="shared" si="3"/>
        <v>146.676618617283</v>
      </c>
      <c r="C250" s="5">
        <f>pima_data!A250/$B250</f>
        <v>0.00681771920723953</v>
      </c>
      <c r="D250" s="5">
        <f>pima_data!B250/$B250</f>
        <v>0.756766832003588</v>
      </c>
      <c r="E250" s="5">
        <f>pima_data!C250/$B250</f>
        <v>0.5863238518226</v>
      </c>
      <c r="F250" s="5">
        <f>pima_data!D250/$B250</f>
        <v>0.129536664937551</v>
      </c>
      <c r="G250" s="5">
        <f>pima_data!E250/$B250</f>
        <v>0</v>
      </c>
      <c r="H250" s="5">
        <f>pima_data!F250/$B250</f>
        <v>0.20521334813791</v>
      </c>
      <c r="I250" s="5">
        <f>pima_data!G250/$B250</f>
        <v>0.000974933846635253</v>
      </c>
      <c r="J250" s="5">
        <f>pima_data!H250/$B250</f>
        <v>0.156807541766509</v>
      </c>
    </row>
    <row r="251" spans="1:10">
      <c r="A251" s="4" cm="1">
        <f t="array" ref="A251">SUM(POWER(pima_data!A251:H251,2))</f>
        <v>16758.5844</v>
      </c>
      <c r="B251" s="4">
        <f t="shared" si="3"/>
        <v>129.454951237873</v>
      </c>
      <c r="C251" s="5">
        <f>pima_data!A251/$B251</f>
        <v>0.0695222539882816</v>
      </c>
      <c r="D251" s="5">
        <f>pima_data!B251/$B251</f>
        <v>0.818817658084206</v>
      </c>
      <c r="E251" s="5">
        <f>pima_data!C251/$B251</f>
        <v>0.401684134154516</v>
      </c>
      <c r="F251" s="5">
        <f>pima_data!D251/$B251</f>
        <v>0</v>
      </c>
      <c r="G251" s="5">
        <f>pima_data!E251/$B251</f>
        <v>0</v>
      </c>
      <c r="H251" s="5">
        <f>pima_data!F251/$B251</f>
        <v>0.24101048049271</v>
      </c>
      <c r="I251" s="5">
        <f>pima_data!G251/$B251</f>
        <v>0.002935384057283</v>
      </c>
      <c r="J251" s="5">
        <f>pima_data!H251/$B251</f>
        <v>0.324437185278648</v>
      </c>
    </row>
    <row r="252" spans="1:10">
      <c r="A252" s="4" cm="1">
        <f t="array" ref="A252">SUM(POWER(pima_data!A252:H252,2))</f>
        <v>25214.080656</v>
      </c>
      <c r="B252" s="4">
        <f t="shared" si="3"/>
        <v>158.789422368116</v>
      </c>
      <c r="C252" s="5">
        <f>pima_data!A252/$B252</f>
        <v>0.0125952974081829</v>
      </c>
      <c r="D252" s="5">
        <f>pima_data!B252/$B252</f>
        <v>0.8123966828278</v>
      </c>
      <c r="E252" s="5">
        <f>pima_data!C252/$B252</f>
        <v>0.529002491143683</v>
      </c>
      <c r="F252" s="5">
        <f>pima_data!D252/$B252</f>
        <v>0</v>
      </c>
      <c r="G252" s="5">
        <f>pima_data!E252/$B252</f>
        <v>0</v>
      </c>
      <c r="H252" s="5">
        <f>pima_data!F252/$B252</f>
        <v>0.176334163714561</v>
      </c>
      <c r="I252" s="5">
        <f>pima_data!G252/$B252</f>
        <v>0.00178853223196198</v>
      </c>
      <c r="J252" s="5">
        <f>pima_data!H252/$B252</f>
        <v>0.17003651501047</v>
      </c>
    </row>
    <row r="253" spans="1:10">
      <c r="A253" s="4" cm="1">
        <f t="array" ref="A253">SUM(POWER(pima_data!A253:H253,2))</f>
        <v>18896.422001</v>
      </c>
      <c r="B253" s="4">
        <f t="shared" si="3"/>
        <v>137.464257176184</v>
      </c>
      <c r="C253" s="5">
        <f>pima_data!A253/$B253</f>
        <v>0.0145492365876365</v>
      </c>
      <c r="D253" s="5">
        <f>pima_data!B253/$B253</f>
        <v>0.65471564644364</v>
      </c>
      <c r="E253" s="5">
        <f>pima_data!C253/$B253</f>
        <v>0.581969463505458</v>
      </c>
      <c r="F253" s="5">
        <f>pima_data!D253/$B253</f>
        <v>0.101844656113455</v>
      </c>
      <c r="G253" s="5">
        <f>pima_data!E253/$B253</f>
        <v>0.400104006160002</v>
      </c>
      <c r="H253" s="5">
        <f>pima_data!F253/$B253</f>
        <v>0.177500686369165</v>
      </c>
      <c r="I253" s="5">
        <f>pima_data!G253/$B253</f>
        <v>0.00181137995516074</v>
      </c>
      <c r="J253" s="5">
        <f>pima_data!H253/$B253</f>
        <v>0.174590839051637</v>
      </c>
    </row>
    <row r="254" spans="1:10">
      <c r="A254" s="4" cm="1">
        <f t="array" ref="A254">SUM(POWER(pima_data!A254:H254,2))</f>
        <v>14950.696644</v>
      </c>
      <c r="B254" s="4">
        <f t="shared" si="3"/>
        <v>122.273041362354</v>
      </c>
      <c r="C254" s="5">
        <f>pima_data!A254/$B254</f>
        <v>0</v>
      </c>
      <c r="D254" s="5">
        <f>pima_data!B254/$B254</f>
        <v>0.703343918183407</v>
      </c>
      <c r="E254" s="5">
        <f>pima_data!C254/$B254</f>
        <v>0.556132400424089</v>
      </c>
      <c r="F254" s="5">
        <f>pima_data!D254/$B254</f>
        <v>0.261709364905454</v>
      </c>
      <c r="G254" s="5">
        <f>pima_data!E254/$B254</f>
        <v>0</v>
      </c>
      <c r="H254" s="5">
        <f>pima_data!F254/$B254</f>
        <v>0.292787351987976</v>
      </c>
      <c r="I254" s="5">
        <f>pima_data!G254/$B254</f>
        <v>0.00194646340148431</v>
      </c>
      <c r="J254" s="5">
        <f>pima_data!H254/$B254</f>
        <v>0.204460441332386</v>
      </c>
    </row>
    <row r="255" spans="1:10">
      <c r="A255" s="4" cm="1">
        <f t="array" ref="A255">SUM(POWER(pima_data!A255:H255,2))</f>
        <v>81763.617476</v>
      </c>
      <c r="B255" s="4">
        <f t="shared" si="3"/>
        <v>285.943381591531</v>
      </c>
      <c r="C255" s="5">
        <f>pima_data!A255/$B255</f>
        <v>0.0419663498879018</v>
      </c>
      <c r="D255" s="5">
        <f>pima_data!B255/$B255</f>
        <v>0.321742015807247</v>
      </c>
      <c r="E255" s="5">
        <f>pima_data!C255/$B255</f>
        <v>0.216826141087492</v>
      </c>
      <c r="F255" s="5">
        <f>pima_data!D255/$B255</f>
        <v>0.0244803707679427</v>
      </c>
      <c r="G255" s="5">
        <f>pima_data!E255/$B255</f>
        <v>0.902276522589888</v>
      </c>
      <c r="H255" s="5">
        <f>pima_data!F255/$B255</f>
        <v>0.096522604742174</v>
      </c>
      <c r="I255" s="5">
        <f>pima_data!G255/$B255</f>
        <v>0.00323840333301642</v>
      </c>
      <c r="J255" s="5">
        <f>pima_data!H255/$B255</f>
        <v>0.15387661625564</v>
      </c>
    </row>
    <row r="256" spans="1:10">
      <c r="A256" s="4" cm="1">
        <f t="array" ref="A256">SUM(POWER(pima_data!A256:H256,2))</f>
        <v>19661.254849</v>
      </c>
      <c r="B256" s="4">
        <f t="shared" si="3"/>
        <v>140.218596658931</v>
      </c>
      <c r="C256" s="5">
        <f>pima_data!A256/$B256</f>
        <v>0.00713172163912329</v>
      </c>
      <c r="D256" s="5">
        <f>pima_data!B256/$B256</f>
        <v>0.805884545220932</v>
      </c>
      <c r="E256" s="5">
        <f>pima_data!C256/$B256</f>
        <v>0.456430184903891</v>
      </c>
      <c r="F256" s="5">
        <f>pima_data!D256/$B256</f>
        <v>0.249610257369315</v>
      </c>
      <c r="G256" s="5">
        <f>pima_data!E256/$B256</f>
        <v>0</v>
      </c>
      <c r="H256" s="5">
        <f>pima_data!F256/$B256</f>
        <v>0.239625847074543</v>
      </c>
      <c r="I256" s="5">
        <f>pima_data!G256/$B256</f>
        <v>0.00387252485004395</v>
      </c>
      <c r="J256" s="5">
        <f>pima_data!H256/$B256</f>
        <v>0.149766154421589</v>
      </c>
    </row>
    <row r="257" spans="1:10">
      <c r="A257" s="4" cm="1">
        <f t="array" ref="A257">SUM(POWER(pima_data!A257:H257,2))</f>
        <v>18793.320249</v>
      </c>
      <c r="B257" s="4">
        <f t="shared" ref="B257:B320" si="4">A257^0.5</f>
        <v>137.088731298382</v>
      </c>
      <c r="C257" s="5">
        <f>pima_data!A257/$B257</f>
        <v>0.0218836367627498</v>
      </c>
      <c r="D257" s="5">
        <f>pima_data!B257/$B257</f>
        <v>0.809694560221742</v>
      </c>
      <c r="E257" s="5">
        <f>pima_data!C257/$B257</f>
        <v>0.408494552904663</v>
      </c>
      <c r="F257" s="5">
        <f>pima_data!D257/$B257</f>
        <v>0.284487277915747</v>
      </c>
      <c r="G257" s="5">
        <f>pima_data!E257/$B257</f>
        <v>0</v>
      </c>
      <c r="H257" s="5">
        <f>pima_data!F257/$B257</f>
        <v>0.219565822186256</v>
      </c>
      <c r="I257" s="5">
        <f>pima_data!G257/$B257</f>
        <v>0.00406306189228388</v>
      </c>
      <c r="J257" s="5">
        <f>pima_data!H257/$B257</f>
        <v>0.218836367627498</v>
      </c>
    </row>
    <row r="258" spans="1:10">
      <c r="A258" s="4" cm="1">
        <f t="array" ref="A258">SUM(POWER(pima_data!A258:H258,2))</f>
        <v>19556.698464</v>
      </c>
      <c r="B258" s="4">
        <f t="shared" si="4"/>
        <v>139.845266147982</v>
      </c>
      <c r="C258" s="5">
        <f>pima_data!A258/$B258</f>
        <v>0.0143015209244454</v>
      </c>
      <c r="D258" s="5">
        <f>pima_data!B258/$B258</f>
        <v>0.815186692693386</v>
      </c>
      <c r="E258" s="5">
        <f>pima_data!C258/$B258</f>
        <v>0.486251711431143</v>
      </c>
      <c r="F258" s="5">
        <f>pima_data!D258/$B258</f>
        <v>0.157316730168899</v>
      </c>
      <c r="G258" s="5">
        <f>pima_data!E258/$B258</f>
        <v>0</v>
      </c>
      <c r="H258" s="5">
        <f>pima_data!F258/$B258</f>
        <v>0.205226825265791</v>
      </c>
      <c r="I258" s="5">
        <f>pima_data!G258/$B258</f>
        <v>0.000657869962524487</v>
      </c>
      <c r="J258" s="5">
        <f>pima_data!H258/$B258</f>
        <v>0.178769011555567</v>
      </c>
    </row>
    <row r="259" spans="1:10">
      <c r="A259" s="4" cm="1">
        <f t="array" ref="A259">SUM(POWER(pima_data!A259:H259,2))</f>
        <v>181878.239025</v>
      </c>
      <c r="B259" s="4">
        <f t="shared" si="4"/>
        <v>426.471850214056</v>
      </c>
      <c r="C259" s="5">
        <f>pima_data!A259/$B259</f>
        <v>0.00234482064759509</v>
      </c>
      <c r="D259" s="5">
        <f>pima_data!B259/$B259</f>
        <v>0.452550384985853</v>
      </c>
      <c r="E259" s="5">
        <f>pima_data!C259/$B259</f>
        <v>0.117241032379755</v>
      </c>
      <c r="F259" s="5">
        <f>pima_data!D259/$B259</f>
        <v>0.0375171303615215</v>
      </c>
      <c r="G259" s="5">
        <f>pima_data!E259/$B259</f>
        <v>0.87930774284816</v>
      </c>
      <c r="H259" s="5">
        <f>pima_data!F259/$B259</f>
        <v>0.0607308547727129</v>
      </c>
      <c r="I259" s="5">
        <f>pima_data!G259/$B259</f>
        <v>0.00153585752417479</v>
      </c>
      <c r="J259" s="5">
        <f>pima_data!H259/$B259</f>
        <v>0.0562756955422822</v>
      </c>
    </row>
    <row r="260" spans="1:10">
      <c r="A260" s="4" cm="1">
        <f t="array" ref="A260">SUM(POWER(pima_data!A260:H260,2))</f>
        <v>56917.720609</v>
      </c>
      <c r="B260" s="4">
        <f t="shared" si="4"/>
        <v>238.57435027471</v>
      </c>
      <c r="C260" s="5">
        <f>pima_data!A260/$B260</f>
        <v>0.0461072197716724</v>
      </c>
      <c r="D260" s="5">
        <f>pima_data!B260/$B260</f>
        <v>0.649692642237202</v>
      </c>
      <c r="E260" s="5">
        <f>pima_data!C260/$B260</f>
        <v>0.318558972967918</v>
      </c>
      <c r="F260" s="5">
        <f>pima_data!D260/$B260</f>
        <v>0.117363832146075</v>
      </c>
      <c r="G260" s="5">
        <f>pima_data!E260/$B260</f>
        <v>0.62873481506826</v>
      </c>
      <c r="H260" s="5">
        <f>pima_data!F260/$B260</f>
        <v>0.139579128945154</v>
      </c>
      <c r="I260" s="5">
        <f>pima_data!G260/$B260</f>
        <v>0.0056711880319157</v>
      </c>
      <c r="J260" s="5">
        <f>pima_data!H260/$B260</f>
        <v>0.213769837123208</v>
      </c>
    </row>
    <row r="261" spans="1:10">
      <c r="A261" s="4" cm="1">
        <f t="array" ref="A261">SUM(POWER(pima_data!A261:H261,2))</f>
        <v>60349.899401</v>
      </c>
      <c r="B261" s="4">
        <f t="shared" si="4"/>
        <v>245.662165180151</v>
      </c>
      <c r="C261" s="5">
        <f>pima_data!A261/$B261</f>
        <v>0.0122118926933662</v>
      </c>
      <c r="D261" s="5">
        <f>pima_data!B261/$B261</f>
        <v>0.777490501477645</v>
      </c>
      <c r="E261" s="5">
        <f>pima_data!C261/$B261</f>
        <v>0.276802901049633</v>
      </c>
      <c r="F261" s="5">
        <f>pima_data!D261/$B261</f>
        <v>0.0610594634668308</v>
      </c>
      <c r="G261" s="5">
        <f>pima_data!E261/$B261</f>
        <v>0.529182016712533</v>
      </c>
      <c r="H261" s="5">
        <f>pima_data!F261/$B261</f>
        <v>0.125782494741671</v>
      </c>
      <c r="I261" s="5">
        <f>pima_data!G261/$B261</f>
        <v>0.00121711863843883</v>
      </c>
      <c r="J261" s="5">
        <f>pima_data!H261/$B261</f>
        <v>0.138401450524816</v>
      </c>
    </row>
    <row r="262" spans="1:10">
      <c r="A262" s="4" cm="1">
        <f t="array" ref="A262">SUM(POWER(pima_data!A262:H262,2))</f>
        <v>21519.579121</v>
      </c>
      <c r="B262" s="4">
        <f t="shared" si="4"/>
        <v>146.695532041709</v>
      </c>
      <c r="C262" s="5">
        <f>pima_data!A262/$B262</f>
        <v>0.0204505206003618</v>
      </c>
      <c r="D262" s="5">
        <f>pima_data!B262/$B262</f>
        <v>0.961174468217005</v>
      </c>
      <c r="E262" s="5">
        <f>pima_data!C262/$B262</f>
        <v>0</v>
      </c>
      <c r="F262" s="5">
        <f>pima_data!D262/$B262</f>
        <v>0</v>
      </c>
      <c r="G262" s="5">
        <f>pima_data!E262/$B262</f>
        <v>0</v>
      </c>
      <c r="H262" s="5">
        <f>pima_data!F262/$B262</f>
        <v>0.204505206003618</v>
      </c>
      <c r="I262" s="5">
        <f>pima_data!G262/$B262</f>
        <v>0.00518761539229178</v>
      </c>
      <c r="J262" s="5">
        <f>pima_data!H262/$B262</f>
        <v>0.184054685403256</v>
      </c>
    </row>
    <row r="263" spans="1:10">
      <c r="A263" s="4" cm="1">
        <f t="array" ref="A263">SUM(POWER(pima_data!A263:H263,2))</f>
        <v>16571.784544</v>
      </c>
      <c r="B263" s="4">
        <f t="shared" si="4"/>
        <v>128.73144349381</v>
      </c>
      <c r="C263" s="5">
        <f>pima_data!A263/$B263</f>
        <v>0.031072439579941</v>
      </c>
      <c r="D263" s="5">
        <f>pima_data!B263/$B263</f>
        <v>0.737970440023599</v>
      </c>
      <c r="E263" s="5">
        <f>pima_data!C263/$B263</f>
        <v>0.543767692648967</v>
      </c>
      <c r="F263" s="5">
        <f>pima_data!D263/$B263</f>
        <v>0.248579516639528</v>
      </c>
      <c r="G263" s="5">
        <f>pima_data!E263/$B263</f>
        <v>0</v>
      </c>
      <c r="H263" s="5">
        <f>pima_data!F263/$B263</f>
        <v>0.249356327629026</v>
      </c>
      <c r="I263" s="5">
        <f>pima_data!G263/$B263</f>
        <v>0.00475408325573097</v>
      </c>
      <c r="J263" s="5">
        <f>pima_data!H263/$B263</f>
        <v>0.186434637479646</v>
      </c>
    </row>
    <row r="264" spans="1:10">
      <c r="A264" s="4" cm="1">
        <f t="array" ref="A264">SUM(POWER(pima_data!A264:H264,2))</f>
        <v>31816.8</v>
      </c>
      <c r="B264" s="4">
        <f t="shared" si="4"/>
        <v>178.37264364246</v>
      </c>
      <c r="C264" s="5">
        <f>pima_data!A264/$B264</f>
        <v>0.0168187225279531</v>
      </c>
      <c r="D264" s="5">
        <f>pima_data!B264/$B264</f>
        <v>0.796086199656449</v>
      </c>
      <c r="E264" s="5">
        <f>pima_data!C264/$B264</f>
        <v>0.448499267412084</v>
      </c>
      <c r="F264" s="5">
        <f>pima_data!D264/$B264</f>
        <v>0.0840936126397658</v>
      </c>
      <c r="G264" s="5">
        <f>pima_data!E264/$B264</f>
        <v>0</v>
      </c>
      <c r="H264" s="5">
        <f>pima_data!F264/$B264</f>
        <v>0.181642203301894</v>
      </c>
      <c r="I264" s="5">
        <f>pima_data!G264/$B264</f>
        <v>0.00112124816853021</v>
      </c>
      <c r="J264" s="5">
        <f>pima_data!H264/$B264</f>
        <v>0.353193173087016</v>
      </c>
    </row>
    <row r="265" spans="1:10">
      <c r="A265" s="4" cm="1">
        <f t="array" ref="A265">SUM(POWER(pima_data!A265:H265,2))</f>
        <v>21238.051076</v>
      </c>
      <c r="B265" s="4">
        <f t="shared" si="4"/>
        <v>145.732807136897</v>
      </c>
      <c r="C265" s="5">
        <f>pima_data!A265/$B265</f>
        <v>0.0274474916018225</v>
      </c>
      <c r="D265" s="5">
        <f>pima_data!B265/$B265</f>
        <v>0.844010366756042</v>
      </c>
      <c r="E265" s="5">
        <f>pima_data!C265/$B265</f>
        <v>0.425436119828249</v>
      </c>
      <c r="F265" s="5">
        <f>pima_data!D265/$B265</f>
        <v>0</v>
      </c>
      <c r="G265" s="5">
        <f>pima_data!E265/$B265</f>
        <v>0</v>
      </c>
      <c r="H265" s="5">
        <f>pima_data!F265/$B265</f>
        <v>0.21957993281458</v>
      </c>
      <c r="I265" s="5">
        <f>pima_data!G265/$B265</f>
        <v>0.00155078327550297</v>
      </c>
      <c r="J265" s="5">
        <f>pima_data!H265/$B265</f>
        <v>0.240165551515947</v>
      </c>
    </row>
    <row r="266" spans="1:10">
      <c r="A266" s="4" cm="1">
        <f t="array" ref="A266">SUM(POWER(pima_data!A266:H266,2))</f>
        <v>22508.954009</v>
      </c>
      <c r="B266" s="4">
        <f t="shared" si="4"/>
        <v>150.02984372784</v>
      </c>
      <c r="C266" s="5">
        <f>pima_data!A266/$B266</f>
        <v>0.0333267027130296</v>
      </c>
      <c r="D266" s="5">
        <f>pima_data!B266/$B266</f>
        <v>0.639872692090168</v>
      </c>
      <c r="E266" s="5">
        <f>pima_data!C266/$B266</f>
        <v>0.493235200152838</v>
      </c>
      <c r="F266" s="5">
        <f>pima_data!D266/$B266</f>
        <v>0.119976129766907</v>
      </c>
      <c r="G266" s="5">
        <f>pima_data!E266/$B266</f>
        <v>0.446577816354597</v>
      </c>
      <c r="H266" s="5">
        <f>pima_data!F266/$B266</f>
        <v>0.223955442231559</v>
      </c>
      <c r="I266" s="5">
        <f>pima_data!G266/$B266</f>
        <v>0.0066453445209781</v>
      </c>
      <c r="J266" s="5">
        <f>pima_data!H266/$B266</f>
        <v>0.286609643332054</v>
      </c>
    </row>
    <row r="267" spans="1:10">
      <c r="A267" s="4" cm="1">
        <f t="array" ref="A267">SUM(POWER(pima_data!A267:H267,2))</f>
        <v>20987.560489</v>
      </c>
      <c r="B267" s="4">
        <f t="shared" si="4"/>
        <v>144.870840713375</v>
      </c>
      <c r="C267" s="5">
        <f>pima_data!A267/$B267</f>
        <v>0</v>
      </c>
      <c r="D267" s="5">
        <f>pima_data!B267/$B267</f>
        <v>0.952572645540391</v>
      </c>
      <c r="E267" s="5">
        <f>pima_data!C267/$B267</f>
        <v>0</v>
      </c>
      <c r="F267" s="5">
        <f>pima_data!D267/$B267</f>
        <v>0</v>
      </c>
      <c r="G267" s="5">
        <f>pima_data!E267/$B267</f>
        <v>0</v>
      </c>
      <c r="H267" s="5">
        <f>pima_data!F267/$B267</f>
        <v>0.250568021979103</v>
      </c>
      <c r="I267" s="5">
        <f>pima_data!G267/$B267</f>
        <v>0.00644021940789265</v>
      </c>
      <c r="J267" s="5">
        <f>pima_data!H267/$B267</f>
        <v>0.172567508250071</v>
      </c>
    </row>
    <row r="268" spans="1:10">
      <c r="A268" s="4" cm="1">
        <f t="array" ref="A268">SUM(POWER(pima_data!A268:H268,2))</f>
        <v>24425.212201</v>
      </c>
      <c r="B268" s="4">
        <f t="shared" si="4"/>
        <v>156.285674970549</v>
      </c>
      <c r="C268" s="5">
        <f>pima_data!A268/$B268</f>
        <v>0.0127970781735235</v>
      </c>
      <c r="D268" s="5">
        <f>pima_data!B268/$B268</f>
        <v>0.819013003105505</v>
      </c>
      <c r="E268" s="5">
        <f>pima_data!C268/$B268</f>
        <v>0.409506501552753</v>
      </c>
      <c r="F268" s="5">
        <f>pima_data!D268/$B268</f>
        <v>0.268738641643994</v>
      </c>
      <c r="G268" s="5">
        <f>pima_data!E268/$B268</f>
        <v>0</v>
      </c>
      <c r="H268" s="5">
        <f>pima_data!F268/$B268</f>
        <v>0.25594156347047</v>
      </c>
      <c r="I268" s="5">
        <f>pima_data!G268/$B268</f>
        <v>0.0070447915345247</v>
      </c>
      <c r="J268" s="5">
        <f>pima_data!H268/$B268</f>
        <v>0.153564938082282</v>
      </c>
    </row>
    <row r="269" spans="1:10">
      <c r="A269" s="4" cm="1">
        <f t="array" ref="A269">SUM(POWER(pima_data!A269:H269,2))</f>
        <v>14179.016084</v>
      </c>
      <c r="B269" s="4">
        <f t="shared" si="4"/>
        <v>119.075673770926</v>
      </c>
      <c r="C269" s="5">
        <f>pima_data!A269/$B269</f>
        <v>0</v>
      </c>
      <c r="D269" s="5">
        <f>pima_data!B269/$B269</f>
        <v>0.856598134361384</v>
      </c>
      <c r="E269" s="5">
        <f>pima_data!C269/$B269</f>
        <v>0.436697088105803</v>
      </c>
      <c r="F269" s="5">
        <f>pima_data!D269/$B269</f>
        <v>0</v>
      </c>
      <c r="G269" s="5">
        <f>pima_data!E269/$B269</f>
        <v>0</v>
      </c>
      <c r="H269" s="5">
        <f>pima_data!F269/$B269</f>
        <v>0.210790325220301</v>
      </c>
      <c r="I269" s="5">
        <f>pima_data!G269/$B269</f>
        <v>0.000655045632158705</v>
      </c>
      <c r="J269" s="5">
        <f>pima_data!H269/$B269</f>
        <v>0.176358439427344</v>
      </c>
    </row>
    <row r="270" spans="1:10">
      <c r="A270" s="4" cm="1">
        <f t="array" ref="A270">SUM(POWER(pima_data!A270:H270,2))</f>
        <v>22860.3076</v>
      </c>
      <c r="B270" s="4">
        <f t="shared" si="4"/>
        <v>151.196255244632</v>
      </c>
      <c r="C270" s="5">
        <f>pima_data!A270/$B270</f>
        <v>0.0132278408401322</v>
      </c>
      <c r="D270" s="5">
        <f>pima_data!B270/$B270</f>
        <v>0.965632381329651</v>
      </c>
      <c r="E270" s="5">
        <f>pima_data!C270/$B270</f>
        <v>0</v>
      </c>
      <c r="F270" s="5">
        <f>pima_data!D270/$B270</f>
        <v>0</v>
      </c>
      <c r="G270" s="5">
        <f>pima_data!E270/$B270</f>
        <v>0</v>
      </c>
      <c r="H270" s="5">
        <f>pima_data!F270/$B270</f>
        <v>0.181882811551818</v>
      </c>
      <c r="I270" s="5">
        <f>pima_data!G270/$B270</f>
        <v>0.00158734090081586</v>
      </c>
      <c r="J270" s="5">
        <f>pima_data!H270/$B270</f>
        <v>0.185189771761851</v>
      </c>
    </row>
    <row r="271" spans="1:10">
      <c r="A271" s="4" cm="1">
        <f t="array" ref="A271">SUM(POWER(pima_data!A271:H271,2))</f>
        <v>22590.650496</v>
      </c>
      <c r="B271" s="4">
        <f t="shared" si="4"/>
        <v>150.301864579253</v>
      </c>
      <c r="C271" s="5">
        <f>pima_data!A271/$B271</f>
        <v>0.0665327740809702</v>
      </c>
      <c r="D271" s="5">
        <f>pima_data!B271/$B271</f>
        <v>0.671981018217799</v>
      </c>
      <c r="E271" s="5">
        <f>pima_data!C271/$B271</f>
        <v>0.572181857096344</v>
      </c>
      <c r="F271" s="5">
        <f>pima_data!D271/$B271</f>
        <v>0.24617126409959</v>
      </c>
      <c r="G271" s="5">
        <f>pima_data!E271/$B271</f>
        <v>0</v>
      </c>
      <c r="H271" s="5">
        <f>pima_data!F271/$B271</f>
        <v>0.303389449809224</v>
      </c>
      <c r="I271" s="5">
        <f>pima_data!G271/$B271</f>
        <v>0.00755812313559822</v>
      </c>
      <c r="J271" s="5">
        <f>pima_data!H271/$B271</f>
        <v>0.252824541507687</v>
      </c>
    </row>
    <row r="272" spans="1:10">
      <c r="A272" s="4" cm="1">
        <f t="array" ref="A272">SUM(POWER(pima_data!A272:H272,2))</f>
        <v>20748.056384</v>
      </c>
      <c r="B272" s="4">
        <f t="shared" si="4"/>
        <v>144.041856361267</v>
      </c>
      <c r="C272" s="5">
        <f>pima_data!A272/$B272</f>
        <v>0.0138848529901188</v>
      </c>
      <c r="D272" s="5">
        <f>pima_data!B272/$B272</f>
        <v>0.749782061466413</v>
      </c>
      <c r="E272" s="5">
        <f>pima_data!C272/$B272</f>
        <v>0.430430442693681</v>
      </c>
      <c r="F272" s="5">
        <f>pima_data!D272/$B272</f>
        <v>0.2221576478419</v>
      </c>
      <c r="G272" s="5">
        <f>pima_data!E272/$B272</f>
        <v>0.388775883723325</v>
      </c>
      <c r="H272" s="5">
        <f>pima_data!F272/$B272</f>
        <v>0.174949147675496</v>
      </c>
      <c r="I272" s="5">
        <f>pima_data!G272/$B272</f>
        <v>0.0008886305913676</v>
      </c>
      <c r="J272" s="5">
        <f>pima_data!H272/$B272</f>
        <v>0.145790956396247</v>
      </c>
    </row>
    <row r="273" spans="1:10">
      <c r="A273" s="4" cm="1">
        <f t="array" ref="A273">SUM(POWER(pima_data!A273:H273,2))</f>
        <v>23106.064516</v>
      </c>
      <c r="B273" s="4">
        <f t="shared" si="4"/>
        <v>152.006791019349</v>
      </c>
      <c r="C273" s="5">
        <f>pima_data!A273/$B273</f>
        <v>0.0197359603467856</v>
      </c>
      <c r="D273" s="5">
        <f>pima_data!B273/$B273</f>
        <v>0.802595720769283</v>
      </c>
      <c r="E273" s="5">
        <f>pima_data!C273/$B273</f>
        <v>0.513134969016427</v>
      </c>
      <c r="F273" s="5">
        <f>pima_data!D273/$B273</f>
        <v>0</v>
      </c>
      <c r="G273" s="5">
        <f>pima_data!E273/$B273</f>
        <v>0</v>
      </c>
      <c r="H273" s="5">
        <f>pima_data!F273/$B273</f>
        <v>0.151309029325357</v>
      </c>
      <c r="I273" s="5">
        <f>pima_data!G273/$B273</f>
        <v>0.00167097797602785</v>
      </c>
      <c r="J273" s="5">
        <f>pima_data!H273/$B273</f>
        <v>0.263146137957142</v>
      </c>
    </row>
    <row r="274" spans="1:10">
      <c r="A274" s="4" cm="1">
        <f t="array" ref="A274">SUM(POWER(pima_data!A274:H274,2))</f>
        <v>17194.418084</v>
      </c>
      <c r="B274" s="4">
        <f t="shared" si="4"/>
        <v>131.127487903948</v>
      </c>
      <c r="C274" s="5">
        <f>pima_data!A274/$B274</f>
        <v>0.0076261660768832</v>
      </c>
      <c r="D274" s="5">
        <f>pima_data!B274/$B274</f>
        <v>0.541457791458707</v>
      </c>
      <c r="E274" s="5">
        <f>pima_data!C274/$B274</f>
        <v>0.59484095399689</v>
      </c>
      <c r="F274" s="5">
        <f>pima_data!D274/$B274</f>
        <v>0.38130830384416</v>
      </c>
      <c r="G274" s="5">
        <f>pima_data!E274/$B274</f>
        <v>0.343177473459744</v>
      </c>
      <c r="H274" s="5">
        <f>pima_data!F274/$B274</f>
        <v>0.253188713752522</v>
      </c>
      <c r="I274" s="5">
        <f>pima_data!G274/$B274</f>
        <v>0.00321824208444471</v>
      </c>
      <c r="J274" s="5">
        <f>pima_data!H274/$B274</f>
        <v>0.160149487614547</v>
      </c>
    </row>
    <row r="275" spans="1:10">
      <c r="A275" s="4" cm="1">
        <f t="array" ref="A275">SUM(POWER(pima_data!A275:H275,2))</f>
        <v>20178.703001</v>
      </c>
      <c r="B275" s="4">
        <f t="shared" si="4"/>
        <v>142.051761696221</v>
      </c>
      <c r="C275" s="5">
        <f>pima_data!A275/$B275</f>
        <v>0.0915159364781452</v>
      </c>
      <c r="D275" s="5">
        <f>pima_data!B275/$B275</f>
        <v>0.746206866667954</v>
      </c>
      <c r="E275" s="5">
        <f>pima_data!C275/$B275</f>
        <v>0.492778119497705</v>
      </c>
      <c r="F275" s="5">
        <f>pima_data!D275/$B275</f>
        <v>0</v>
      </c>
      <c r="G275" s="5">
        <f>pima_data!E275/$B275</f>
        <v>0</v>
      </c>
      <c r="H275" s="5">
        <f>pima_data!F275/$B275</f>
        <v>0.240757309811736</v>
      </c>
      <c r="I275" s="5">
        <f>pima_data!G275/$B275</f>
        <v>0.00176696154277034</v>
      </c>
      <c r="J275" s="5">
        <f>pima_data!H275/$B275</f>
        <v>0.366063745912581</v>
      </c>
    </row>
    <row r="276" spans="1:10">
      <c r="A276" s="4" cm="1">
        <f t="array" ref="A276">SUM(POWER(pima_data!A276:H276,2))</f>
        <v>23122.708329</v>
      </c>
      <c r="B276" s="4">
        <f t="shared" si="4"/>
        <v>152.061528102936</v>
      </c>
      <c r="C276" s="5">
        <f>pima_data!A276/$B276</f>
        <v>0.0131525707057615</v>
      </c>
      <c r="D276" s="5">
        <f>pima_data!B276/$B276</f>
        <v>0.657628535288073</v>
      </c>
      <c r="E276" s="5">
        <f>pima_data!C276/$B276</f>
        <v>0.460339974701651</v>
      </c>
      <c r="F276" s="5">
        <f>pima_data!D276/$B276</f>
        <v>0.341966838349798</v>
      </c>
      <c r="G276" s="5">
        <f>pima_data!E276/$B276</f>
        <v>0.374848265114202</v>
      </c>
      <c r="H276" s="5">
        <f>pima_data!F276/$B276</f>
        <v>0.26633955679167</v>
      </c>
      <c r="I276" s="5">
        <f>pima_data!G276/$B276</f>
        <v>0.00445214518390026</v>
      </c>
      <c r="J276" s="5">
        <f>pima_data!H276/$B276</f>
        <v>0.164407133822018</v>
      </c>
    </row>
    <row r="277" spans="1:10">
      <c r="A277" s="4" cm="1">
        <f t="array" ref="A277">SUM(POWER(pima_data!A277:H277,2))</f>
        <v>17004.337616</v>
      </c>
      <c r="B277" s="4">
        <f t="shared" si="4"/>
        <v>130.400681041166</v>
      </c>
      <c r="C277" s="5">
        <f>pima_data!A277/$B277</f>
        <v>0.0536807012364465</v>
      </c>
      <c r="D277" s="5">
        <f>pima_data!B277/$B277</f>
        <v>0.812879190151904</v>
      </c>
      <c r="E277" s="5">
        <f>pima_data!C277/$B277</f>
        <v>0.460120296312398</v>
      </c>
      <c r="F277" s="5">
        <f>pima_data!D277/$B277</f>
        <v>0.184048118524959</v>
      </c>
      <c r="G277" s="5">
        <f>pima_data!E277/$B277</f>
        <v>0</v>
      </c>
      <c r="H277" s="5">
        <f>pima_data!F277/$B277</f>
        <v>0.203219797537976</v>
      </c>
      <c r="I277" s="5">
        <f>pima_data!G277/$B277</f>
        <v>0.00226992679514116</v>
      </c>
      <c r="J277" s="5">
        <f>pima_data!H277/$B277</f>
        <v>0.222391476550993</v>
      </c>
    </row>
    <row r="278" spans="1:10">
      <c r="A278" s="4" cm="1">
        <f t="array" ref="A278">SUM(POWER(pima_data!A278:H278,2))</f>
        <v>30199.046116</v>
      </c>
      <c r="B278" s="4">
        <f t="shared" si="4"/>
        <v>173.778727455348</v>
      </c>
      <c r="C278" s="5">
        <f>pima_data!A278/$B278</f>
        <v>0</v>
      </c>
      <c r="D278" s="5">
        <f>pima_data!B278/$B278</f>
        <v>0.598462202611783</v>
      </c>
      <c r="E278" s="5">
        <f>pima_data!C278/$B278</f>
        <v>0.368284432376482</v>
      </c>
      <c r="F278" s="5">
        <f>pima_data!D278/$B278</f>
        <v>0.132352217885298</v>
      </c>
      <c r="G278" s="5">
        <f>pima_data!E278/$B278</f>
        <v>0.667515533682373</v>
      </c>
      <c r="H278" s="5">
        <f>pima_data!F278/$B278</f>
        <v>0.159973550313534</v>
      </c>
      <c r="I278" s="5">
        <f>pima_data!G278/$B278</f>
        <v>0.00261251769217067</v>
      </c>
      <c r="J278" s="5">
        <f>pima_data!H278/$B278</f>
        <v>0.132352217885298</v>
      </c>
    </row>
    <row r="279" spans="1:10">
      <c r="A279" s="4" cm="1">
        <f t="array" ref="A279">SUM(POWER(pima_data!A279:H279,2))</f>
        <v>22366.563536</v>
      </c>
      <c r="B279" s="4">
        <f t="shared" si="4"/>
        <v>149.554550368753</v>
      </c>
      <c r="C279" s="5">
        <f>pima_data!A279/$B279</f>
        <v>0.0334326169793671</v>
      </c>
      <c r="D279" s="5">
        <f>pima_data!B279/$B279</f>
        <v>0.76226366712957</v>
      </c>
      <c r="E279" s="5">
        <f>pima_data!C279/$B279</f>
        <v>0.494802731294633</v>
      </c>
      <c r="F279" s="5">
        <f>pima_data!D279/$B279</f>
        <v>0</v>
      </c>
      <c r="G279" s="5">
        <f>pima_data!E279/$B279</f>
        <v>0</v>
      </c>
      <c r="H279" s="5">
        <f>pima_data!F279/$B279</f>
        <v>0.166494432557248</v>
      </c>
      <c r="I279" s="5">
        <f>pima_data!G279/$B279</f>
        <v>0.00497477340652983</v>
      </c>
      <c r="J279" s="5">
        <f>pima_data!H279/$B279</f>
        <v>0.381131833564785</v>
      </c>
    </row>
    <row r="280" spans="1:10">
      <c r="A280" s="4" cm="1">
        <f t="array" ref="A280">SUM(POWER(pima_data!A280:H280,2))</f>
        <v>94020.866161</v>
      </c>
      <c r="B280" s="4">
        <f t="shared" si="4"/>
        <v>306.62822140338</v>
      </c>
      <c r="C280" s="5">
        <f>pima_data!A280/$B280</f>
        <v>0.00652255683069998</v>
      </c>
      <c r="D280" s="5">
        <f>pima_data!B280/$B280</f>
        <v>0.352218068857799</v>
      </c>
      <c r="E280" s="5">
        <f>pima_data!C280/$B280</f>
        <v>0.202199261751699</v>
      </c>
      <c r="F280" s="5">
        <f>pima_data!D280/$B280</f>
        <v>0.0326127841534999</v>
      </c>
      <c r="G280" s="5">
        <f>pima_data!E280/$B280</f>
        <v>0.906635399467297</v>
      </c>
      <c r="H280" s="5">
        <f>pima_data!F280/$B280</f>
        <v>0.0825103439083548</v>
      </c>
      <c r="I280" s="5">
        <f>pima_data!G280/$B280</f>
        <v>0.00287318628392334</v>
      </c>
      <c r="J280" s="5">
        <f>pima_data!H280/$B280</f>
        <v>0.0717481251376998</v>
      </c>
    </row>
    <row r="281" spans="1:10">
      <c r="A281" s="4" cm="1">
        <f t="array" ref="A281">SUM(POWER(pima_data!A281:H281,2))</f>
        <v>28436.521556</v>
      </c>
      <c r="B281" s="4">
        <f t="shared" si="4"/>
        <v>168.63131843166</v>
      </c>
      <c r="C281" s="5">
        <f>pima_data!A281/$B281</f>
        <v>0</v>
      </c>
      <c r="D281" s="5">
        <f>pima_data!B281/$B281</f>
        <v>0.865794096599963</v>
      </c>
      <c r="E281" s="5">
        <f>pima_data!C281/$B281</f>
        <v>0.415106758643818</v>
      </c>
      <c r="F281" s="5">
        <f>pima_data!D281/$B281</f>
        <v>0</v>
      </c>
      <c r="G281" s="5">
        <f>pima_data!E281/$B281</f>
        <v>0</v>
      </c>
      <c r="H281" s="5">
        <f>pima_data!F281/$B281</f>
        <v>0.224750659322867</v>
      </c>
      <c r="I281" s="5">
        <f>pima_data!G281/$B281</f>
        <v>0.00198065224838622</v>
      </c>
      <c r="J281" s="5">
        <f>pima_data!H281/$B281</f>
        <v>0.166042703457527</v>
      </c>
    </row>
    <row r="282" spans="1:10">
      <c r="A282" s="4" cm="1">
        <f t="array" ref="A282">SUM(POWER(pima_data!A282:H282,2))</f>
        <v>40994.8884</v>
      </c>
      <c r="B282" s="4">
        <f t="shared" si="4"/>
        <v>202.471944723213</v>
      </c>
      <c r="C282" s="5">
        <f>pima_data!A282/$B282</f>
        <v>0.0493895587048881</v>
      </c>
      <c r="D282" s="5">
        <f>pima_data!B282/$B282</f>
        <v>0.637125307293056</v>
      </c>
      <c r="E282" s="5">
        <f>pima_data!C282/$B282</f>
        <v>0.375360646157149</v>
      </c>
      <c r="F282" s="5">
        <f>pima_data!D282/$B282</f>
        <v>0.138290764373687</v>
      </c>
      <c r="G282" s="5">
        <f>pima_data!E282/$B282</f>
        <v>0.602552616199634</v>
      </c>
      <c r="H282" s="5">
        <f>pima_data!F282/$B282</f>
        <v>0.177308515750548</v>
      </c>
      <c r="I282" s="5">
        <f>pima_data!G282/$B282</f>
        <v>0.00138290764373687</v>
      </c>
      <c r="J282" s="5">
        <f>pima_data!H282/$B282</f>
        <v>0.192619278949063</v>
      </c>
    </row>
    <row r="283" spans="1:10">
      <c r="A283" s="4" cm="1">
        <f t="array" ref="A283">SUM(POWER(pima_data!A283:H283,2))</f>
        <v>52150.828644</v>
      </c>
      <c r="B283" s="4">
        <f t="shared" si="4"/>
        <v>228.365559233436</v>
      </c>
      <c r="C283" s="5">
        <f>pima_data!A283/$B283</f>
        <v>0.0306526081406372</v>
      </c>
      <c r="D283" s="5">
        <f>pima_data!B283/$B283</f>
        <v>0.582399554672108</v>
      </c>
      <c r="E283" s="5">
        <f>pima_data!C283/$B283</f>
        <v>0.385347073768011</v>
      </c>
      <c r="F283" s="5">
        <f>pima_data!D283/$B283</f>
        <v>0.0656841603013655</v>
      </c>
      <c r="G283" s="5">
        <f>pima_data!E283/$B283</f>
        <v>0.67873632311411</v>
      </c>
      <c r="H283" s="5">
        <f>pima_data!F283/$B283</f>
        <v>0.14187778625095</v>
      </c>
      <c r="I283" s="5">
        <f>pima_data!G283/$B283</f>
        <v>0.00114728333326385</v>
      </c>
      <c r="J283" s="5">
        <f>pima_data!H283/$B283</f>
        <v>0.162020928743368</v>
      </c>
    </row>
    <row r="284" spans="1:10">
      <c r="A284" s="4" cm="1">
        <f t="array" ref="A284">SUM(POWER(pima_data!A284:H284,2))</f>
        <v>36499.187225</v>
      </c>
      <c r="B284" s="4">
        <f t="shared" si="4"/>
        <v>191.047604604193</v>
      </c>
      <c r="C284" s="5">
        <f>pima_data!A284/$B284</f>
        <v>0.0366400825307515</v>
      </c>
      <c r="D284" s="5">
        <f>pima_data!B284/$B284</f>
        <v>0.842721898207284</v>
      </c>
      <c r="E284" s="5">
        <f>pima_data!C284/$B284</f>
        <v>0.450149585377804</v>
      </c>
      <c r="F284" s="5">
        <f>pima_data!D284/$B284</f>
        <v>0</v>
      </c>
      <c r="G284" s="5">
        <f>pima_data!E284/$B284</f>
        <v>0</v>
      </c>
      <c r="H284" s="5">
        <f>pima_data!F284/$B284</f>
        <v>0.159122644133549</v>
      </c>
      <c r="I284" s="5">
        <f>pima_data!G284/$B284</f>
        <v>0.000863659088224856</v>
      </c>
      <c r="J284" s="5">
        <f>pima_data!H284/$B284</f>
        <v>0.246011982706474</v>
      </c>
    </row>
    <row r="285" spans="1:10">
      <c r="A285" s="4" cm="1">
        <f t="array" ref="A285">SUM(POWER(pima_data!A285:H285,2))</f>
        <v>21501.067081</v>
      </c>
      <c r="B285" s="4">
        <f t="shared" si="4"/>
        <v>146.632421657013</v>
      </c>
      <c r="C285" s="5">
        <f>pima_data!A285/$B285</f>
        <v>0.0136395483167985</v>
      </c>
      <c r="D285" s="5">
        <f>pima_data!B285/$B285</f>
        <v>0.73653560910712</v>
      </c>
      <c r="E285" s="5">
        <f>pima_data!C285/$B285</f>
        <v>0.545581932671941</v>
      </c>
      <c r="F285" s="5">
        <f>pima_data!D285/$B285</f>
        <v>0</v>
      </c>
      <c r="G285" s="5">
        <f>pima_data!E285/$B285</f>
        <v>0</v>
      </c>
      <c r="H285" s="5">
        <f>pima_data!F285/$B285</f>
        <v>0.18413390227678</v>
      </c>
      <c r="I285" s="5">
        <f>pima_data!G285/$B285</f>
        <v>0.00176632150702541</v>
      </c>
      <c r="J285" s="5">
        <f>pima_data!H285/$B285</f>
        <v>0.354628256236761</v>
      </c>
    </row>
    <row r="286" spans="1:10">
      <c r="A286" s="4" cm="1">
        <f t="array" ref="A286">SUM(POWER(pima_data!A286:H286,2))</f>
        <v>46199.418609</v>
      </c>
      <c r="B286" s="4">
        <f t="shared" si="4"/>
        <v>214.940500159928</v>
      </c>
      <c r="C286" s="5">
        <f>pima_data!A286/$B286</f>
        <v>0.0325671522807084</v>
      </c>
      <c r="D286" s="5">
        <f>pima_data!B286/$B286</f>
        <v>0.632733244310906</v>
      </c>
      <c r="E286" s="5">
        <f>pima_data!C286/$B286</f>
        <v>0.344281324110346</v>
      </c>
      <c r="F286" s="5">
        <f>pima_data!D286/$B286</f>
        <v>0.120963708471203</v>
      </c>
      <c r="G286" s="5">
        <f>pima_data!E286/$B286</f>
        <v>0.62808079398509</v>
      </c>
      <c r="H286" s="5">
        <f>pima_data!F286/$B286</f>
        <v>0.120963708471203</v>
      </c>
      <c r="I286" s="5">
        <f>pima_data!G286/$B286</f>
        <v>0.00301013536080262</v>
      </c>
      <c r="J286" s="5">
        <f>pima_data!H286/$B286</f>
        <v>0.23727496661659</v>
      </c>
    </row>
    <row r="287" spans="1:10">
      <c r="A287" s="4" cm="1">
        <f t="array" ref="A287">SUM(POWER(pima_data!A287:H287,2))</f>
        <v>332721.073161</v>
      </c>
      <c r="B287" s="4">
        <f t="shared" si="4"/>
        <v>576.819792622445</v>
      </c>
      <c r="C287" s="5">
        <f>pima_data!A287/$B287</f>
        <v>0.00866821850420229</v>
      </c>
      <c r="D287" s="5">
        <f>pima_data!B287/$B287</f>
        <v>0.268714773630271</v>
      </c>
      <c r="E287" s="5">
        <f>pima_data!C287/$B287</f>
        <v>0.145626070870598</v>
      </c>
      <c r="F287" s="5">
        <f>pima_data!D287/$B287</f>
        <v>0.0762803228369801</v>
      </c>
      <c r="G287" s="5">
        <f>pima_data!E287/$B287</f>
        <v>0.944835816958049</v>
      </c>
      <c r="H287" s="5">
        <f>pima_data!F287/$B287</f>
        <v>0.0670920112225257</v>
      </c>
      <c r="I287" s="5">
        <f>pima_data!G287/$B287</f>
        <v>0.00107312545082024</v>
      </c>
      <c r="J287" s="5">
        <f>pima_data!H287/$B287</f>
        <v>0.0589438858285756</v>
      </c>
    </row>
    <row r="288" spans="1:10">
      <c r="A288" s="4" cm="1">
        <f t="array" ref="A288">SUM(POWER(pima_data!A288:H288,2))</f>
        <v>74400.012864</v>
      </c>
      <c r="B288" s="4">
        <f t="shared" si="4"/>
        <v>272.763657520572</v>
      </c>
      <c r="C288" s="5">
        <f>pima_data!A288/$B288</f>
        <v>0.00366617755858688</v>
      </c>
      <c r="D288" s="5">
        <f>pima_data!B288/$B288</f>
        <v>0.436275129471839</v>
      </c>
      <c r="E288" s="5">
        <f>pima_data!C288/$B288</f>
        <v>0.315291270038472</v>
      </c>
      <c r="F288" s="5">
        <f>pima_data!D288/$B288</f>
        <v>0.142980924784888</v>
      </c>
      <c r="G288" s="5">
        <f>pima_data!E288/$B288</f>
        <v>0.806559062889114</v>
      </c>
      <c r="H288" s="5">
        <f>pima_data!F288/$B288</f>
        <v>0.167177696671562</v>
      </c>
      <c r="I288" s="5">
        <f>pima_data!G288/$B288</f>
        <v>0.0029622714673382</v>
      </c>
      <c r="J288" s="5">
        <f>pima_data!H288/$B288</f>
        <v>0.10631914919902</v>
      </c>
    </row>
    <row r="289" spans="1:10">
      <c r="A289" s="4" cm="1">
        <f t="array" ref="A289">SUM(POWER(pima_data!A289:H289,2))</f>
        <v>16166.7556</v>
      </c>
      <c r="B289" s="4">
        <f t="shared" si="4"/>
        <v>127.148557207701</v>
      </c>
      <c r="C289" s="5">
        <f>pima_data!A289/$B289</f>
        <v>0.0314592637765121</v>
      </c>
      <c r="D289" s="5">
        <f>pima_data!B289/$B289</f>
        <v>0.75502233063629</v>
      </c>
      <c r="E289" s="5">
        <f>pima_data!C289/$B289</f>
        <v>0.440429692871169</v>
      </c>
      <c r="F289" s="5">
        <f>pima_data!D289/$B289</f>
        <v>0.133701871050176</v>
      </c>
      <c r="G289" s="5">
        <f>pima_data!E289/$B289</f>
        <v>0.385375981262273</v>
      </c>
      <c r="H289" s="5">
        <f>pima_data!F289/$B289</f>
        <v>0.163588171637863</v>
      </c>
      <c r="I289" s="5">
        <f>pima_data!G289/$B289</f>
        <v>0.00267403742100353</v>
      </c>
      <c r="J289" s="5">
        <f>pima_data!H289/$B289</f>
        <v>0.204485214547329</v>
      </c>
    </row>
    <row r="290" spans="1:10">
      <c r="A290" s="4" cm="1">
        <f t="array" ref="A290">SUM(POWER(pima_data!A290:H290,2))</f>
        <v>26739.279169</v>
      </c>
      <c r="B290" s="4">
        <f t="shared" si="4"/>
        <v>163.521494516776</v>
      </c>
      <c r="C290" s="5">
        <f>pima_data!A290/$B290</f>
        <v>0.0305770199494296</v>
      </c>
      <c r="D290" s="5">
        <f>pima_data!B290/$B290</f>
        <v>0.660463630907679</v>
      </c>
      <c r="E290" s="5">
        <f>pima_data!C290/$B290</f>
        <v>0.440309087271786</v>
      </c>
      <c r="F290" s="5">
        <f>pima_data!D290/$B290</f>
        <v>0.262962371565094</v>
      </c>
      <c r="G290" s="5">
        <f>pima_data!E290/$B290</f>
        <v>0.458655299241444</v>
      </c>
      <c r="H290" s="5">
        <f>pima_data!F290/$B290</f>
        <v>0.220766084034882</v>
      </c>
      <c r="I290" s="5">
        <f>pima_data!G290/$B290</f>
        <v>0.00160835124934</v>
      </c>
      <c r="J290" s="5">
        <f>pima_data!H290/$B290</f>
        <v>0.201808331666235</v>
      </c>
    </row>
    <row r="291" spans="1:10">
      <c r="A291" s="4" cm="1">
        <f t="array" ref="A291">SUM(POWER(pima_data!A291:H291,2))</f>
        <v>18071.798356</v>
      </c>
      <c r="B291" s="4">
        <f t="shared" si="4"/>
        <v>134.431389028009</v>
      </c>
      <c r="C291" s="5">
        <f>pima_data!A291/$B291</f>
        <v>0</v>
      </c>
      <c r="D291" s="5">
        <f>pima_data!B291/$B291</f>
        <v>0.580221632492009</v>
      </c>
      <c r="E291" s="5">
        <f>pima_data!C291/$B291</f>
        <v>0.654609021273036</v>
      </c>
      <c r="F291" s="5">
        <f>pima_data!D291/$B291</f>
        <v>0.215723427464978</v>
      </c>
      <c r="G291" s="5">
        <f>pima_data!E291/$B291</f>
        <v>0.297549555124107</v>
      </c>
      <c r="H291" s="5">
        <f>pima_data!F291/$B291</f>
        <v>0.274489464601989</v>
      </c>
      <c r="I291" s="5">
        <f>pima_data!G291/$B291</f>
        <v>0.00322841267309657</v>
      </c>
      <c r="J291" s="5">
        <f>pima_data!H291/$B291</f>
        <v>0.156213516440156</v>
      </c>
    </row>
    <row r="292" spans="1:10">
      <c r="A292" s="4" cm="1">
        <f t="array" ref="A292">SUM(POWER(pima_data!A292:H292,2))</f>
        <v>23634.133049</v>
      </c>
      <c r="B292" s="4">
        <f t="shared" si="4"/>
        <v>153.733968429232</v>
      </c>
      <c r="C292" s="5">
        <f>pima_data!A292/$B292</f>
        <v>0</v>
      </c>
      <c r="D292" s="5">
        <f>pima_data!B292/$B292</f>
        <v>0.696007532318762</v>
      </c>
      <c r="E292" s="5">
        <f>pima_data!C292/$B292</f>
        <v>0.40329408414732</v>
      </c>
      <c r="F292" s="5">
        <f>pima_data!D292/$B292</f>
        <v>0.195142298780961</v>
      </c>
      <c r="G292" s="5">
        <f>pima_data!E292/$B292</f>
        <v>0.481351003659705</v>
      </c>
      <c r="H292" s="5">
        <f>pima_data!F292/$B292</f>
        <v>0.238073604512773</v>
      </c>
      <c r="I292" s="5">
        <f>pima_data!G292/$B292</f>
        <v>0.00492409067257292</v>
      </c>
      <c r="J292" s="5">
        <f>pima_data!H292/$B292</f>
        <v>0.162618582317468</v>
      </c>
    </row>
    <row r="293" spans="1:10">
      <c r="A293" s="4" cm="1">
        <f t="array" ref="A293">SUM(POWER(pima_data!A293:H293,2))</f>
        <v>59802.388176</v>
      </c>
      <c r="B293" s="4">
        <f t="shared" si="4"/>
        <v>244.545268152954</v>
      </c>
      <c r="C293" s="5">
        <f>pima_data!A293/$B293</f>
        <v>0.00817844489531925</v>
      </c>
      <c r="D293" s="5">
        <f>pima_data!B293/$B293</f>
        <v>0.523420473300432</v>
      </c>
      <c r="E293" s="5">
        <f>pima_data!C293/$B293</f>
        <v>0.318959350917451</v>
      </c>
      <c r="F293" s="5">
        <f>pima_data!D293/$B293</f>
        <v>0.151301230563406</v>
      </c>
      <c r="G293" s="5">
        <f>pima_data!E293/$B293</f>
        <v>0.744238485474051</v>
      </c>
      <c r="H293" s="5">
        <f>pima_data!F293/$B293</f>
        <v>0.177063331983662</v>
      </c>
      <c r="I293" s="5">
        <f>pima_data!G293/$B293</f>
        <v>0.00500520827593538</v>
      </c>
      <c r="J293" s="5">
        <f>pima_data!H293/$B293</f>
        <v>0.126765895877448</v>
      </c>
    </row>
    <row r="294" spans="1:10">
      <c r="A294" s="4" cm="1">
        <f t="array" ref="A294">SUM(POWER(pima_data!A294:H294,2))</f>
        <v>60566.625769</v>
      </c>
      <c r="B294" s="4">
        <f t="shared" si="4"/>
        <v>246.102876393186</v>
      </c>
      <c r="C294" s="5">
        <f>pima_data!A294/$B294</f>
        <v>0.00406334137437041</v>
      </c>
      <c r="D294" s="5">
        <f>pima_data!B294/$B294</f>
        <v>0.520107695919412</v>
      </c>
      <c r="E294" s="5">
        <f>pima_data!C294/$B294</f>
        <v>0.195040385969779</v>
      </c>
      <c r="F294" s="5">
        <f>pima_data!D294/$B294</f>
        <v>0.182850361846668</v>
      </c>
      <c r="G294" s="5">
        <f>pima_data!E294/$B294</f>
        <v>0.788288226627859</v>
      </c>
      <c r="H294" s="5">
        <f>pima_data!F294/$B294</f>
        <v>0.164565325662001</v>
      </c>
      <c r="I294" s="5">
        <f>pima_data!G294/$B294</f>
        <v>0.00249082826248906</v>
      </c>
      <c r="J294" s="5">
        <f>pima_data!H294/$B294</f>
        <v>0.0975201929848897</v>
      </c>
    </row>
    <row r="295" spans="1:10">
      <c r="A295" s="4" cm="1">
        <f t="array" ref="A295">SUM(POWER(pima_data!A295:H295,2))</f>
        <v>33125.674516</v>
      </c>
      <c r="B295" s="4">
        <f t="shared" si="4"/>
        <v>182.004600260543</v>
      </c>
      <c r="C295" s="5">
        <f>pima_data!A295/$B295</f>
        <v>0</v>
      </c>
      <c r="D295" s="5">
        <f>pima_data!B295/$B295</f>
        <v>0.884593025503342</v>
      </c>
      <c r="E295" s="5">
        <f>pima_data!C295/$B295</f>
        <v>0.274718330901659</v>
      </c>
      <c r="F295" s="5">
        <f>pima_data!D295/$B295</f>
        <v>0</v>
      </c>
      <c r="G295" s="5">
        <f>pima_data!E295/$B295</f>
        <v>0</v>
      </c>
      <c r="H295" s="5">
        <f>pima_data!F295/$B295</f>
        <v>0.120326628934927</v>
      </c>
      <c r="I295" s="5">
        <f>pima_data!G295/$B295</f>
        <v>0.00139556912098043</v>
      </c>
      <c r="J295" s="5">
        <f>pima_data!H295/$B295</f>
        <v>0.357133830172157</v>
      </c>
    </row>
    <row r="296" spans="1:10">
      <c r="A296" s="4" cm="1">
        <f t="array" ref="A296">SUM(POWER(pima_data!A296:H296,2))</f>
        <v>44086.728864</v>
      </c>
      <c r="B296" s="4">
        <f t="shared" si="4"/>
        <v>209.968399679571</v>
      </c>
      <c r="C296" s="5">
        <f>pima_data!A296/$B296</f>
        <v>0.028575728581808</v>
      </c>
      <c r="D296" s="5">
        <f>pima_data!B296/$B296</f>
        <v>0.719155835975502</v>
      </c>
      <c r="E296" s="5">
        <f>pima_data!C296/$B296</f>
        <v>0.295282528678683</v>
      </c>
      <c r="F296" s="5">
        <f>pima_data!D296/$B296</f>
        <v>0.147641264339341</v>
      </c>
      <c r="G296" s="5">
        <f>pima_data!E296/$B296</f>
        <v>0.57151457163616</v>
      </c>
      <c r="H296" s="5">
        <f>pima_data!F296/$B296</f>
        <v>0.169073060775697</v>
      </c>
      <c r="I296" s="5">
        <f>pima_data!G296/$B296</f>
        <v>0.00329573402976852</v>
      </c>
      <c r="J296" s="5">
        <f>pima_data!H296/$B296</f>
        <v>0.133353400048437</v>
      </c>
    </row>
    <row r="297" spans="1:10">
      <c r="A297" s="4" cm="1">
        <f t="array" ref="A297">SUM(POWER(pima_data!A297:H297,2))</f>
        <v>158889.113569</v>
      </c>
      <c r="B297" s="4">
        <f t="shared" si="4"/>
        <v>398.608973267035</v>
      </c>
      <c r="C297" s="5">
        <f>pima_data!A297/$B297</f>
        <v>0.00501744851253051</v>
      </c>
      <c r="D297" s="5">
        <f>pima_data!B297/$B297</f>
        <v>0.366273741414727</v>
      </c>
      <c r="E297" s="5">
        <f>pima_data!C297/$B297</f>
        <v>0.175610697938568</v>
      </c>
      <c r="F297" s="5">
        <f>pima_data!D297/$B297</f>
        <v>0.0953315217380797</v>
      </c>
      <c r="G297" s="5">
        <f>pima_data!E297/$B297</f>
        <v>0.903140732255492</v>
      </c>
      <c r="H297" s="5">
        <f>pima_data!F297/$B297</f>
        <v>0.0702442791754272</v>
      </c>
      <c r="I297" s="5">
        <f>pima_data!G297/$B297</f>
        <v>0.000845440074361391</v>
      </c>
      <c r="J297" s="5">
        <f>pima_data!H297/$B297</f>
        <v>0.0727530034316924</v>
      </c>
    </row>
    <row r="298" spans="1:10">
      <c r="A298" s="4" cm="1">
        <f t="array" ref="A298">SUM(POWER(pima_data!A298:H298,2))</f>
        <v>71516.7604</v>
      </c>
      <c r="B298" s="4">
        <f t="shared" si="4"/>
        <v>267.426177477075</v>
      </c>
      <c r="C298" s="5">
        <f>pima_data!A298/$B298</f>
        <v>0</v>
      </c>
      <c r="D298" s="5">
        <f>pima_data!B298/$B298</f>
        <v>0.471158063839137</v>
      </c>
      <c r="E298" s="5">
        <f>pima_data!C298/$B298</f>
        <v>0.314105375892758</v>
      </c>
      <c r="F298" s="5">
        <f>pima_data!D298/$B298</f>
        <v>0.108441141677262</v>
      </c>
      <c r="G298" s="5">
        <f>pima_data!E298/$B298</f>
        <v>0.80396018829694</v>
      </c>
      <c r="H298" s="5">
        <f>pima_data!F298/$B298</f>
        <v>0.114798036189377</v>
      </c>
      <c r="I298" s="5">
        <f>pima_data!G298/$B298</f>
        <v>0.00194446185076469</v>
      </c>
      <c r="J298" s="5">
        <f>pima_data!H298/$B298</f>
        <v>0.0897443931122165</v>
      </c>
    </row>
    <row r="299" spans="1:10">
      <c r="A299" s="4" cm="1">
        <f t="array" ref="A299">SUM(POWER(pima_data!A299:H299,2))</f>
        <v>54216.729744</v>
      </c>
      <c r="B299" s="4">
        <f t="shared" si="4"/>
        <v>232.844861966074</v>
      </c>
      <c r="C299" s="5">
        <f>pima_data!A299/$B299</f>
        <v>0.060125870426292</v>
      </c>
      <c r="D299" s="5">
        <f>pima_data!B299/$B299</f>
        <v>0.429470503044943</v>
      </c>
      <c r="E299" s="5">
        <f>pima_data!C299/$B299</f>
        <v>0.334986992375055</v>
      </c>
      <c r="F299" s="5">
        <f>pima_data!D299/$B299</f>
        <v>0.107367625761236</v>
      </c>
      <c r="G299" s="5">
        <f>pima_data!E299/$B299</f>
        <v>0.790225725602695</v>
      </c>
      <c r="H299" s="5">
        <f>pima_data!F299/$B299</f>
        <v>0.157186204114449</v>
      </c>
      <c r="I299" s="5">
        <f>pima_data!G299/$B299</f>
        <v>0.00176941847254516</v>
      </c>
      <c r="J299" s="5">
        <f>pima_data!H299/$B299</f>
        <v>0.197556431400674</v>
      </c>
    </row>
    <row r="300" spans="1:10">
      <c r="A300" s="4" cm="1">
        <f t="array" ref="A300">SUM(POWER(pima_data!A300:H300,2))</f>
        <v>21713.6656</v>
      </c>
      <c r="B300" s="4">
        <f t="shared" si="4"/>
        <v>147.355575395029</v>
      </c>
      <c r="C300" s="5">
        <f>pima_data!A300/$B300</f>
        <v>0.0542904466190282</v>
      </c>
      <c r="D300" s="5">
        <f>pima_data!B300/$B300</f>
        <v>0.760066252666395</v>
      </c>
      <c r="E300" s="5">
        <f>pima_data!C300/$B300</f>
        <v>0.488614019571254</v>
      </c>
      <c r="F300" s="5">
        <f>pima_data!D300/$B300</f>
        <v>0</v>
      </c>
      <c r="G300" s="5">
        <f>pima_data!E300/$B300</f>
        <v>0</v>
      </c>
      <c r="H300" s="5">
        <f>pima_data!F300/$B300</f>
        <v>0.160156817526133</v>
      </c>
      <c r="I300" s="5">
        <f>pima_data!G300/$B300</f>
        <v>0.00570049689499797</v>
      </c>
      <c r="J300" s="5">
        <f>pima_data!H300/$B300</f>
        <v>0.393605737987955</v>
      </c>
    </row>
    <row r="301" spans="1:10">
      <c r="A301" s="4" cm="1">
        <f t="array" ref="A301">SUM(POWER(pima_data!A301:H301,2))</f>
        <v>29832.993921</v>
      </c>
      <c r="B301" s="4">
        <f t="shared" si="4"/>
        <v>172.72230290556</v>
      </c>
      <c r="C301" s="5">
        <f>pima_data!A301/$B301</f>
        <v>0</v>
      </c>
      <c r="D301" s="5">
        <f>pima_data!B301/$B301</f>
        <v>0.96686992467505</v>
      </c>
      <c r="E301" s="5">
        <f>pima_data!C301/$B301</f>
        <v>0</v>
      </c>
      <c r="F301" s="5">
        <f>pima_data!D301/$B301</f>
        <v>0</v>
      </c>
      <c r="G301" s="5">
        <f>pima_data!E301/$B301</f>
        <v>0</v>
      </c>
      <c r="H301" s="5">
        <f>pima_data!F301/$B301</f>
        <v>0.187005380640743</v>
      </c>
      <c r="I301" s="5">
        <f>pima_data!G301/$B301</f>
        <v>0.00485750818444531</v>
      </c>
      <c r="J301" s="5">
        <f>pima_data!H301/$B301</f>
        <v>0.173689208025458</v>
      </c>
    </row>
    <row r="302" spans="1:10">
      <c r="A302" s="4" cm="1">
        <f t="array" ref="A302">SUM(POWER(pima_data!A302:H302,2))</f>
        <v>45041.738084</v>
      </c>
      <c r="B302" s="4">
        <f t="shared" si="4"/>
        <v>212.230389162344</v>
      </c>
      <c r="C302" s="5">
        <f>pima_data!A302/$B302</f>
        <v>0.00942372111691373</v>
      </c>
      <c r="D302" s="5">
        <f>pima_data!B302/$B302</f>
        <v>0.678507920417788</v>
      </c>
      <c r="E302" s="5">
        <f>pima_data!C302/$B302</f>
        <v>0.273287912390498</v>
      </c>
      <c r="F302" s="5">
        <f>pima_data!D302/$B302</f>
        <v>0.155491398429077</v>
      </c>
      <c r="G302" s="5">
        <f>pima_data!E302/$B302</f>
        <v>0.636101175391677</v>
      </c>
      <c r="H302" s="5">
        <f>pima_data!F302/$B302</f>
        <v>0.148894793647237</v>
      </c>
      <c r="I302" s="5">
        <f>pima_data!G302/$B302</f>
        <v>0.0019884051556688</v>
      </c>
      <c r="J302" s="5">
        <f>pima_data!H302/$B302</f>
        <v>0.117796513961422</v>
      </c>
    </row>
    <row r="303" spans="1:10">
      <c r="A303" s="4" cm="1">
        <f t="array" ref="A303">SUM(POWER(pima_data!A303:H303,2))</f>
        <v>18629.664336</v>
      </c>
      <c r="B303" s="4">
        <f t="shared" si="4"/>
        <v>136.490528374682</v>
      </c>
      <c r="C303" s="5">
        <f>pima_data!A303/$B303</f>
        <v>0.0366325785352256</v>
      </c>
      <c r="D303" s="5">
        <f>pima_data!B303/$B303</f>
        <v>0.564141709442475</v>
      </c>
      <c r="E303" s="5">
        <f>pima_data!C303/$B303</f>
        <v>0.600774287977701</v>
      </c>
      <c r="F303" s="5">
        <f>pima_data!D303/$B303</f>
        <v>0.30038714398885</v>
      </c>
      <c r="G303" s="5">
        <f>pima_data!E303/$B303</f>
        <v>0.307713659695895</v>
      </c>
      <c r="H303" s="5">
        <f>pima_data!F303/$B303</f>
        <v>0.262289262312216</v>
      </c>
      <c r="I303" s="5">
        <f>pima_data!G303/$B303</f>
        <v>0.00114293645029904</v>
      </c>
      <c r="J303" s="5">
        <f>pima_data!H303/$B303</f>
        <v>0.25642804974658</v>
      </c>
    </row>
    <row r="304" spans="1:10">
      <c r="A304" s="4" cm="1">
        <f t="array" ref="A304">SUM(POWER(pima_data!A304:H304,2))</f>
        <v>26436.453681</v>
      </c>
      <c r="B304" s="4">
        <f t="shared" si="4"/>
        <v>162.592907843485</v>
      </c>
      <c r="C304" s="5">
        <f>pima_data!A304/$B304</f>
        <v>0.0307516488038525</v>
      </c>
      <c r="D304" s="5">
        <f>pima_data!B304/$B304</f>
        <v>0.707287922488607</v>
      </c>
      <c r="E304" s="5">
        <f>pima_data!C304/$B304</f>
        <v>0.602732316555509</v>
      </c>
      <c r="F304" s="5">
        <f>pima_data!D304/$B304</f>
        <v>0</v>
      </c>
      <c r="G304" s="5">
        <f>pima_data!E304/$B304</f>
        <v>0</v>
      </c>
      <c r="H304" s="5">
        <f>pima_data!F304/$B304</f>
        <v>0.325352444344759</v>
      </c>
      <c r="I304" s="5">
        <f>pima_data!G304/$B304</f>
        <v>0.00128541892000103</v>
      </c>
      <c r="J304" s="5">
        <f>pima_data!H304/$B304</f>
        <v>0.172209233301574</v>
      </c>
    </row>
    <row r="305" spans="1:10">
      <c r="A305" s="4" cm="1">
        <f t="array" ref="A305">SUM(POWER(pima_data!A305:H305,2))</f>
        <v>30095.042849</v>
      </c>
      <c r="B305" s="4">
        <f t="shared" si="4"/>
        <v>173.479228869049</v>
      </c>
      <c r="C305" s="5">
        <f>pima_data!A305/$B305</f>
        <v>0.0172931365879229</v>
      </c>
      <c r="D305" s="5">
        <f>pima_data!B305/$B305</f>
        <v>0.864656829396143</v>
      </c>
      <c r="E305" s="5">
        <f>pima_data!C305/$B305</f>
        <v>0.438092793560712</v>
      </c>
      <c r="F305" s="5">
        <f>pima_data!D305/$B305</f>
        <v>0</v>
      </c>
      <c r="G305" s="5">
        <f>pima_data!E305/$B305</f>
        <v>0</v>
      </c>
      <c r="H305" s="5">
        <f>pima_data!F305/$B305</f>
        <v>0.12105195611546</v>
      </c>
      <c r="I305" s="5">
        <f>pima_data!G305/$B305</f>
        <v>0.00119322642456668</v>
      </c>
      <c r="J305" s="5">
        <f>pima_data!H305/$B305</f>
        <v>0.213282017917715</v>
      </c>
    </row>
    <row r="306" spans="1:10">
      <c r="A306" s="4" cm="1">
        <f t="array" ref="A306">SUM(POWER(pima_data!A306:H306,2))</f>
        <v>34991.136225</v>
      </c>
      <c r="B306" s="4">
        <f t="shared" si="4"/>
        <v>187.05917840352</v>
      </c>
      <c r="C306" s="5">
        <f>pima_data!A306/$B306</f>
        <v>0.0106918036156753</v>
      </c>
      <c r="D306" s="5">
        <f>pima_data!B306/$B306</f>
        <v>0.641508216940515</v>
      </c>
      <c r="E306" s="5">
        <f>pima_data!C306/$B306</f>
        <v>0.40628853739566</v>
      </c>
      <c r="F306" s="5">
        <f>pima_data!D306/$B306</f>
        <v>0.197798366889992</v>
      </c>
      <c r="G306" s="5">
        <f>pima_data!E306/$B306</f>
        <v>0.561319689822951</v>
      </c>
      <c r="H306" s="5">
        <f>pima_data!F306/$B306</f>
        <v>0.212232301771154</v>
      </c>
      <c r="I306" s="5">
        <f>pima_data!G306/$B306</f>
        <v>0.00114936888868509</v>
      </c>
      <c r="J306" s="5">
        <f>pima_data!H306/$B306</f>
        <v>0.155031152427291</v>
      </c>
    </row>
    <row r="307" spans="1:10">
      <c r="A307" s="4" cm="1">
        <f t="array" ref="A307">SUM(POWER(pima_data!A307:H307,2))</f>
        <v>51457.356276</v>
      </c>
      <c r="B307" s="4">
        <f t="shared" si="4"/>
        <v>226.842139550834</v>
      </c>
      <c r="C307" s="5">
        <f>pima_data!A307/$B307</f>
        <v>0.0440835200188149</v>
      </c>
      <c r="D307" s="5">
        <f>pima_data!B307/$B307</f>
        <v>0.709744672302921</v>
      </c>
      <c r="E307" s="5">
        <f>pima_data!C307/$B307</f>
        <v>0.299767936127942</v>
      </c>
      <c r="F307" s="5">
        <f>pima_data!D307/$B307</f>
        <v>0.101392096043274</v>
      </c>
      <c r="G307" s="5">
        <f>pima_data!E307/$B307</f>
        <v>0.581902464248357</v>
      </c>
      <c r="H307" s="5">
        <f>pima_data!F307/$B307</f>
        <v>0.112412976047978</v>
      </c>
      <c r="I307" s="5">
        <f>pima_data!G307/$B307</f>
        <v>0.00143712275261337</v>
      </c>
      <c r="J307" s="5">
        <f>pima_data!H307/$B307</f>
        <v>0.20719254408843</v>
      </c>
    </row>
    <row r="308" spans="1:10">
      <c r="A308" s="4" cm="1">
        <f t="array" ref="A308">SUM(POWER(pima_data!A308:H308,2))</f>
        <v>46549.060449</v>
      </c>
      <c r="B308" s="4">
        <f t="shared" si="4"/>
        <v>215.752312731521</v>
      </c>
      <c r="C308" s="5">
        <f>pima_data!A308/$B308</f>
        <v>0</v>
      </c>
      <c r="D308" s="5">
        <f>pima_data!B308/$B308</f>
        <v>0.634987399511591</v>
      </c>
      <c r="E308" s="5">
        <f>pima_data!C308/$B308</f>
        <v>0.315176227494804</v>
      </c>
      <c r="F308" s="5">
        <f>pima_data!D308/$B308</f>
        <v>0.0648892233077538</v>
      </c>
      <c r="G308" s="5">
        <f>pima_data!E308/$B308</f>
        <v>0.685971789253398</v>
      </c>
      <c r="H308" s="5">
        <f>pima_data!F308/$B308</f>
        <v>0.114946624145164</v>
      </c>
      <c r="I308" s="5">
        <f>pima_data!G308/$B308</f>
        <v>0.000662797066643485</v>
      </c>
      <c r="J308" s="5">
        <f>pima_data!H308/$B308</f>
        <v>0.0973338349616307</v>
      </c>
    </row>
    <row r="309" spans="1:10">
      <c r="A309" s="4" cm="1">
        <f t="array" ref="A309">SUM(POWER(pima_data!A309:H309,2))</f>
        <v>55326.184881</v>
      </c>
      <c r="B309" s="4">
        <f t="shared" si="4"/>
        <v>235.215188457293</v>
      </c>
      <c r="C309" s="5">
        <f>pima_data!A309/$B309</f>
        <v>0</v>
      </c>
      <c r="D309" s="5">
        <f>pima_data!B309/$B309</f>
        <v>0.544182545521461</v>
      </c>
      <c r="E309" s="5">
        <f>pima_data!C309/$B309</f>
        <v>0.289096977308276</v>
      </c>
      <c r="F309" s="5">
        <f>pima_data!D309/$B309</f>
        <v>0.0807770966008418</v>
      </c>
      <c r="G309" s="5">
        <f>pima_data!E309/$B309</f>
        <v>0.765256704639554</v>
      </c>
      <c r="H309" s="5">
        <f>pima_data!F309/$B309</f>
        <v>0.129668497175036</v>
      </c>
      <c r="I309" s="5">
        <f>pima_data!G309/$B309</f>
        <v>0.005913733756409</v>
      </c>
      <c r="J309" s="5">
        <f>pima_data!H309/$B309</f>
        <v>0.10628565342216</v>
      </c>
    </row>
    <row r="310" spans="1:10">
      <c r="A310" s="4" cm="1">
        <f t="array" ref="A310">SUM(POWER(pima_data!A310:H310,2))</f>
        <v>64796.175625</v>
      </c>
      <c r="B310" s="4">
        <f t="shared" si="4"/>
        <v>254.550929334387</v>
      </c>
      <c r="C310" s="5">
        <f>pima_data!A310/$B310</f>
        <v>0.00785697386856809</v>
      </c>
      <c r="D310" s="5">
        <f>pima_data!B310/$B310</f>
        <v>0.487132379851222</v>
      </c>
      <c r="E310" s="5">
        <f>pima_data!C310/$B310</f>
        <v>0.267137111531315</v>
      </c>
      <c r="F310" s="5">
        <f>pima_data!D310/$B310</f>
        <v>0.109997634159953</v>
      </c>
      <c r="G310" s="5">
        <f>pima_data!E310/$B310</f>
        <v>0.805339821528229</v>
      </c>
      <c r="H310" s="5">
        <f>pima_data!F310/$B310</f>
        <v>0.129247220137945</v>
      </c>
      <c r="I310" s="5">
        <f>pima_data!G310/$B310</f>
        <v>0.00343742606749854</v>
      </c>
      <c r="J310" s="5">
        <f>pima_data!H310/$B310</f>
        <v>0.117854608028521</v>
      </c>
    </row>
    <row r="311" spans="1:10">
      <c r="A311" s="4" cm="1">
        <f t="array" ref="A311">SUM(POWER(pima_data!A311:H311,2))</f>
        <v>14059.537969</v>
      </c>
      <c r="B311" s="4">
        <f t="shared" si="4"/>
        <v>118.572922579314</v>
      </c>
      <c r="C311" s="5">
        <f>pima_data!A311/$B311</f>
        <v>0.0506017720528611</v>
      </c>
      <c r="D311" s="5">
        <f>pima_data!B311/$B311</f>
        <v>0.674690294038148</v>
      </c>
      <c r="E311" s="5">
        <f>pima_data!C311/$B311</f>
        <v>0.556619492581472</v>
      </c>
      <c r="F311" s="5">
        <f>pima_data!D311/$B311</f>
        <v>0.253008860264306</v>
      </c>
      <c r="G311" s="5">
        <f>pima_data!E311/$B311</f>
        <v>0</v>
      </c>
      <c r="H311" s="5">
        <f>pima_data!F311/$B311</f>
        <v>0.220961071297494</v>
      </c>
      <c r="I311" s="5">
        <f>pima_data!G311/$B311</f>
        <v>0.00263972577542426</v>
      </c>
      <c r="J311" s="5">
        <f>pima_data!H311/$B311</f>
        <v>0.345778775694551</v>
      </c>
    </row>
    <row r="312" spans="1:10">
      <c r="A312" s="4" cm="1">
        <f t="array" ref="A312">SUM(POWER(pima_data!A312:H312,2))</f>
        <v>41445.726025</v>
      </c>
      <c r="B312" s="4">
        <f t="shared" si="4"/>
        <v>203.582234060342</v>
      </c>
      <c r="C312" s="5">
        <f>pima_data!A312/$B312</f>
        <v>0</v>
      </c>
      <c r="D312" s="5">
        <f>pima_data!B312/$B312</f>
        <v>0.520674117214871</v>
      </c>
      <c r="E312" s="5">
        <f>pima_data!C312/$B312</f>
        <v>0.343841398160764</v>
      </c>
      <c r="F312" s="5">
        <f>pima_data!D312/$B312</f>
        <v>0.181744739027832</v>
      </c>
      <c r="G312" s="5">
        <f>pima_data!E312/$B312</f>
        <v>0.726978956111329</v>
      </c>
      <c r="H312" s="5">
        <f>pima_data!F312/$B312</f>
        <v>0.193533586964773</v>
      </c>
      <c r="I312" s="5">
        <f>pima_data!G312/$B312</f>
        <v>0.00297177208410375</v>
      </c>
      <c r="J312" s="5">
        <f>pima_data!H312/$B312</f>
        <v>0.108064439421954</v>
      </c>
    </row>
    <row r="313" spans="1:10">
      <c r="A313" s="4" cm="1">
        <f t="array" ref="A313">SUM(POWER(pima_data!A313:H313,2))</f>
        <v>40446.747489</v>
      </c>
      <c r="B313" s="4">
        <f t="shared" si="4"/>
        <v>201.113767527238</v>
      </c>
      <c r="C313" s="5">
        <f>pima_data!A313/$B313</f>
        <v>0.00994462002572314</v>
      </c>
      <c r="D313" s="5">
        <f>pima_data!B313/$B313</f>
        <v>0.770708051993543</v>
      </c>
      <c r="E313" s="5">
        <f>pima_data!C313/$B313</f>
        <v>0.367950940951756</v>
      </c>
      <c r="F313" s="5">
        <f>pima_data!D313/$B313</f>
        <v>0.0845292702186467</v>
      </c>
      <c r="G313" s="5">
        <f>pima_data!E313/$B313</f>
        <v>0.477341761234711</v>
      </c>
      <c r="H313" s="5">
        <f>pima_data!F313/$B313</f>
        <v>0.132263446342118</v>
      </c>
      <c r="I313" s="5">
        <f>pima_data!G313/$B313</f>
        <v>0.00215301023556906</v>
      </c>
      <c r="J313" s="5">
        <f>pima_data!H313/$B313</f>
        <v>0.134252370347262</v>
      </c>
    </row>
    <row r="314" spans="1:10">
      <c r="A314" s="4" cm="1">
        <f t="array" ref="A314">SUM(POWER(pima_data!A314:H314,2))</f>
        <v>24098.641876</v>
      </c>
      <c r="B314" s="4">
        <f t="shared" si="4"/>
        <v>155.237372678102</v>
      </c>
      <c r="C314" s="5">
        <f>pima_data!A314/$B314</f>
        <v>0.0193252433241108</v>
      </c>
      <c r="D314" s="5">
        <f>pima_data!B314/$B314</f>
        <v>0.727917498541508</v>
      </c>
      <c r="E314" s="5">
        <f>pima_data!C314/$B314</f>
        <v>0.322087388735181</v>
      </c>
      <c r="F314" s="5">
        <f>pima_data!D314/$B314</f>
        <v>0.0644174777470361</v>
      </c>
      <c r="G314" s="5">
        <f>pima_data!E314/$B314</f>
        <v>0.547548560849807</v>
      </c>
      <c r="H314" s="5">
        <f>pima_data!F314/$B314</f>
        <v>0.190031559353757</v>
      </c>
      <c r="I314" s="5">
        <f>pima_data!G314/$B314</f>
        <v>0.00403253410696446</v>
      </c>
      <c r="J314" s="5">
        <f>pima_data!H314/$B314</f>
        <v>0.16104369436759</v>
      </c>
    </row>
    <row r="315" spans="1:10">
      <c r="A315" s="4" cm="1">
        <f t="array" ref="A315">SUM(POWER(pima_data!A315:H315,2))</f>
        <v>22430.080129</v>
      </c>
      <c r="B315" s="4">
        <f t="shared" si="4"/>
        <v>149.766752415214</v>
      </c>
      <c r="C315" s="5">
        <f>pima_data!A315/$B315</f>
        <v>0.0467393455964991</v>
      </c>
      <c r="D315" s="5">
        <f>pima_data!B315/$B315</f>
        <v>0.7277983814312</v>
      </c>
      <c r="E315" s="5">
        <f>pima_data!C315/$B315</f>
        <v>0.534163949674275</v>
      </c>
      <c r="F315" s="5">
        <f>pima_data!D315/$B315</f>
        <v>0.206988530498782</v>
      </c>
      <c r="G315" s="5">
        <f>pima_data!E315/$B315</f>
        <v>0</v>
      </c>
      <c r="H315" s="5">
        <f>pima_data!F315/$B315</f>
        <v>0.239706072416331</v>
      </c>
      <c r="I315" s="5">
        <f>pima_data!G315/$B315</f>
        <v>0.00752503464103635</v>
      </c>
      <c r="J315" s="5">
        <f>pima_data!H315/$B315</f>
        <v>0.287113122949923</v>
      </c>
    </row>
    <row r="316" spans="1:10">
      <c r="A316" s="4" cm="1">
        <f t="array" ref="A316">SUM(POWER(pima_data!A316:H316,2))</f>
        <v>28330.909225</v>
      </c>
      <c r="B316" s="4">
        <f t="shared" si="4"/>
        <v>168.317881477281</v>
      </c>
      <c r="C316" s="5">
        <f>pima_data!A316/$B316</f>
        <v>0.0118822788312599</v>
      </c>
      <c r="D316" s="5">
        <f>pima_data!B316/$B316</f>
        <v>0.665407614550552</v>
      </c>
      <c r="E316" s="5">
        <f>pima_data!C316/$B316</f>
        <v>0.403997480262835</v>
      </c>
      <c r="F316" s="5">
        <f>pima_data!D316/$B316</f>
        <v>0.130705067143858</v>
      </c>
      <c r="G316" s="5">
        <f>pima_data!E316/$B316</f>
        <v>0.558467105069213</v>
      </c>
      <c r="H316" s="5">
        <f>pima_data!F316/$B316</f>
        <v>0.20259285407298</v>
      </c>
      <c r="I316" s="5">
        <f>pima_data!G316/$B316</f>
        <v>0.00187145891592343</v>
      </c>
      <c r="J316" s="5">
        <f>pima_data!H316/$B316</f>
        <v>0.154469624806378</v>
      </c>
    </row>
    <row r="317" spans="1:10">
      <c r="A317" s="4" cm="1">
        <f t="array" ref="A317">SUM(POWER(pima_data!A317:H317,2))</f>
        <v>21699.570656</v>
      </c>
      <c r="B317" s="4">
        <f t="shared" si="4"/>
        <v>147.307741330861</v>
      </c>
      <c r="C317" s="5">
        <f>pima_data!A317/$B317</f>
        <v>0.0203655284705088</v>
      </c>
      <c r="D317" s="5">
        <f>pima_data!B317/$B317</f>
        <v>0.672062439526789</v>
      </c>
      <c r="E317" s="5">
        <f>pima_data!C317/$B317</f>
        <v>0.543080759213567</v>
      </c>
      <c r="F317" s="5">
        <f>pima_data!D317/$B317</f>
        <v>0.0746736043918655</v>
      </c>
      <c r="G317" s="5">
        <f>pima_data!E317/$B317</f>
        <v>0.434464607370854</v>
      </c>
      <c r="H317" s="5">
        <f>pima_data!F317/$B317</f>
        <v>0.131018233160273</v>
      </c>
      <c r="I317" s="5">
        <f>pima_data!G317/$B317</f>
        <v>0.00192793669520816</v>
      </c>
      <c r="J317" s="5">
        <f>pima_data!H317/$B317</f>
        <v>0.203655284705088</v>
      </c>
    </row>
    <row r="318" spans="1:10">
      <c r="A318" s="4" cm="1">
        <f t="array" ref="A318">SUM(POWER(pima_data!A318:H318,2))</f>
        <v>40380.369025</v>
      </c>
      <c r="B318" s="4">
        <f t="shared" si="4"/>
        <v>200.948672613182</v>
      </c>
      <c r="C318" s="5">
        <f>pima_data!A318/$B318</f>
        <v>0.0149291854531175</v>
      </c>
      <c r="D318" s="5">
        <f>pima_data!B318/$B318</f>
        <v>0.90570391748913</v>
      </c>
      <c r="E318" s="5">
        <f>pima_data!C318/$B318</f>
        <v>0.368253241176899</v>
      </c>
      <c r="F318" s="5">
        <f>pima_data!D318/$B318</f>
        <v>0</v>
      </c>
      <c r="G318" s="5">
        <f>pima_data!E318/$B318</f>
        <v>0</v>
      </c>
      <c r="H318" s="5">
        <f>pima_data!F318/$B318</f>
        <v>0.151780052106695</v>
      </c>
      <c r="I318" s="5">
        <f>pima_data!G318/$B318</f>
        <v>0.00171685632710852</v>
      </c>
      <c r="J318" s="5">
        <f>pima_data!H318/$B318</f>
        <v>0.144315459380136</v>
      </c>
    </row>
    <row r="319" spans="1:10">
      <c r="A319" s="4" cm="1">
        <f t="array" ref="A319">SUM(POWER(pima_data!A319:H319,2))</f>
        <v>40946.6325</v>
      </c>
      <c r="B319" s="4">
        <f t="shared" si="4"/>
        <v>202.352742753836</v>
      </c>
      <c r="C319" s="5">
        <f>pima_data!A319/$B319</f>
        <v>0.0148255959329868</v>
      </c>
      <c r="D319" s="5">
        <f>pima_data!B319/$B319</f>
        <v>0.568314510764496</v>
      </c>
      <c r="E319" s="5">
        <f>pima_data!C319/$B319</f>
        <v>0.326163110525711</v>
      </c>
      <c r="F319" s="5">
        <f>pima_data!D319/$B319</f>
        <v>0.192732747128829</v>
      </c>
      <c r="G319" s="5">
        <f>pima_data!E319/$B319</f>
        <v>0.691861143539386</v>
      </c>
      <c r="H319" s="5">
        <f>pima_data!F319/$B319</f>
        <v>0.188285068348933</v>
      </c>
      <c r="I319" s="5">
        <f>pima_data!G319/$B319</f>
        <v>0.000741279796649342</v>
      </c>
      <c r="J319" s="5">
        <f>pima_data!H319/$B319</f>
        <v>0.138372228707877</v>
      </c>
    </row>
    <row r="320" spans="1:10">
      <c r="A320" s="4" cm="1">
        <f t="array" ref="A320">SUM(POWER(pima_data!A320:H320,2))</f>
        <v>47789.266641</v>
      </c>
      <c r="B320" s="4">
        <f t="shared" si="4"/>
        <v>218.607563091948</v>
      </c>
      <c r="C320" s="5">
        <f>pima_data!A320/$B320</f>
        <v>0.0274464429095546</v>
      </c>
      <c r="D320" s="5">
        <f>pima_data!B320/$B320</f>
        <v>0.887434987408931</v>
      </c>
      <c r="E320" s="5">
        <f>pima_data!C320/$B320</f>
        <v>0.35680375782421</v>
      </c>
      <c r="F320" s="5">
        <f>pima_data!D320/$B320</f>
        <v>0</v>
      </c>
      <c r="G320" s="5">
        <f>pima_data!E320/$B320</f>
        <v>0</v>
      </c>
      <c r="H320" s="5">
        <f>pima_data!F320/$B320</f>
        <v>0.107498568062422</v>
      </c>
      <c r="I320" s="5">
        <f>pima_data!G320/$B320</f>
        <v>0.000590098522555423</v>
      </c>
      <c r="J320" s="5">
        <f>pima_data!H320/$B320</f>
        <v>0.269890021943953</v>
      </c>
    </row>
    <row r="321" spans="1:10">
      <c r="A321" s="4" cm="1">
        <f t="array" ref="A321">SUM(POWER(pima_data!A321:H321,2))</f>
        <v>75479.527729</v>
      </c>
      <c r="B321" s="4">
        <f t="shared" ref="B321:B384" si="5">A321^0.5</f>
        <v>274.735377643652</v>
      </c>
      <c r="C321" s="5">
        <f>pima_data!A321/$B321</f>
        <v>0.0145594645811805</v>
      </c>
      <c r="D321" s="5">
        <f>pima_data!B321/$B321</f>
        <v>0.469542732743071</v>
      </c>
      <c r="E321" s="5">
        <f>pima_data!C321/$B321</f>
        <v>0.218391968717708</v>
      </c>
      <c r="F321" s="5">
        <f>pima_data!D321/$B321</f>
        <v>0.0436783937435415</v>
      </c>
      <c r="G321" s="5">
        <f>pima_data!E321/$B321</f>
        <v>0.840809079563174</v>
      </c>
      <c r="H321" s="5">
        <f>pima_data!F321/$B321</f>
        <v>0.100096318995616</v>
      </c>
      <c r="I321" s="5">
        <f>pima_data!G321/$B321</f>
        <v>0.00191820945857053</v>
      </c>
      <c r="J321" s="5">
        <f>pima_data!H321/$B321</f>
        <v>0.112835850504149</v>
      </c>
    </row>
    <row r="322" spans="1:10">
      <c r="A322" s="4" cm="1">
        <f t="array" ref="A322">SUM(POWER(pima_data!A322:H322,2))</f>
        <v>20552.598809</v>
      </c>
      <c r="B322" s="4">
        <f t="shared" si="5"/>
        <v>143.36177596905</v>
      </c>
      <c r="C322" s="5">
        <f>pima_data!A322/$B322</f>
        <v>0.0209260800497314</v>
      </c>
      <c r="D322" s="5">
        <f>pima_data!B322/$B322</f>
        <v>0.781240321856641</v>
      </c>
      <c r="E322" s="5">
        <f>pima_data!C322/$B322</f>
        <v>0.516176641226709</v>
      </c>
      <c r="F322" s="5">
        <f>pima_data!D322/$B322</f>
        <v>0.209260800497314</v>
      </c>
      <c r="G322" s="5">
        <f>pima_data!E322/$B322</f>
        <v>0</v>
      </c>
      <c r="H322" s="5">
        <f>pima_data!F322/$B322</f>
        <v>0.220421376523838</v>
      </c>
      <c r="I322" s="5">
        <f>pima_data!G322/$B322</f>
        <v>0.0013741459232657</v>
      </c>
      <c r="J322" s="5">
        <f>pima_data!H322/$B322</f>
        <v>0.174384000414429</v>
      </c>
    </row>
    <row r="323" spans="1:10">
      <c r="A323" s="4" cm="1">
        <f t="array" ref="A323">SUM(POWER(pima_data!A323:H323,2))</f>
        <v>22722.824516</v>
      </c>
      <c r="B323" s="4">
        <f t="shared" si="5"/>
        <v>150.74091851916</v>
      </c>
      <c r="C323" s="5">
        <f>pima_data!A323/$B323</f>
        <v>0</v>
      </c>
      <c r="D323" s="5">
        <f>pima_data!B323/$B323</f>
        <v>0.822603452454345</v>
      </c>
      <c r="E323" s="5">
        <f>pima_data!C323/$B323</f>
        <v>0.464372916708098</v>
      </c>
      <c r="F323" s="5">
        <f>pima_data!D323/$B323</f>
        <v>0.132677976202314</v>
      </c>
      <c r="G323" s="5">
        <f>pima_data!E323/$B323</f>
        <v>0</v>
      </c>
      <c r="H323" s="5">
        <f>pima_data!F323/$B323</f>
        <v>0.18176882739717</v>
      </c>
      <c r="I323" s="5">
        <f>pima_data!G323/$B323</f>
        <v>0.00168501029776938</v>
      </c>
      <c r="J323" s="5">
        <f>pima_data!H323/$B323</f>
        <v>0.238820357164165</v>
      </c>
    </row>
    <row r="324" spans="1:10">
      <c r="A324" s="4" cm="1">
        <f t="array" ref="A324">SUM(POWER(pima_data!A324:H324,2))</f>
        <v>35870.774361</v>
      </c>
      <c r="B324" s="4">
        <f t="shared" si="5"/>
        <v>189.395814000732</v>
      </c>
      <c r="C324" s="5">
        <f>pima_data!A324/$B324</f>
        <v>0.0686393206132303</v>
      </c>
      <c r="D324" s="5">
        <f>pima_data!B324/$B324</f>
        <v>0.802552056400847</v>
      </c>
      <c r="E324" s="5">
        <f>pima_data!C324/$B324</f>
        <v>0.475195296553133</v>
      </c>
      <c r="F324" s="5">
        <f>pima_data!D324/$B324</f>
        <v>0.174238275402815</v>
      </c>
      <c r="G324" s="5">
        <f>pima_data!E324/$B324</f>
        <v>0.153118484444898</v>
      </c>
      <c r="H324" s="5">
        <f>pima_data!F324/$B324</f>
        <v>0.141502599418044</v>
      </c>
      <c r="I324" s="5">
        <f>pima_data!G324/$B324</f>
        <v>0.00385964179755934</v>
      </c>
      <c r="J324" s="5">
        <f>pima_data!H324/$B324</f>
        <v>0.227037752797608</v>
      </c>
    </row>
    <row r="325" spans="1:10">
      <c r="A325" s="4" cm="1">
        <f t="array" ref="A325">SUM(POWER(pima_data!A325:H325,2))</f>
        <v>20912.511904</v>
      </c>
      <c r="B325" s="4">
        <f t="shared" si="5"/>
        <v>144.611589798328</v>
      </c>
      <c r="C325" s="5">
        <f>pima_data!A325/$B325</f>
        <v>0.0138301501476413</v>
      </c>
      <c r="D325" s="5">
        <f>pima_data!B325/$B325</f>
        <v>0.774488408267915</v>
      </c>
      <c r="E325" s="5">
        <f>pima_data!C325/$B325</f>
        <v>0.51863063053655</v>
      </c>
      <c r="F325" s="5">
        <f>pima_data!D325/$B325</f>
        <v>0.221282402362261</v>
      </c>
      <c r="G325" s="5">
        <f>pima_data!E325/$B325</f>
        <v>0</v>
      </c>
      <c r="H325" s="5">
        <f>pima_data!F325/$B325</f>
        <v>0.246868180135398</v>
      </c>
      <c r="I325" s="5">
        <f>pima_data!G325/$B325</f>
        <v>0.00102343111092546</v>
      </c>
      <c r="J325" s="5">
        <f>pima_data!H325/$B325</f>
        <v>0.145216576550234</v>
      </c>
    </row>
    <row r="326" spans="1:10">
      <c r="A326" s="4" cm="1">
        <f t="array" ref="A326">SUM(POWER(pima_data!A326:H326,2))</f>
        <v>59730.375129</v>
      </c>
      <c r="B326" s="4">
        <f t="shared" si="5"/>
        <v>244.39798511649</v>
      </c>
      <c r="C326" s="5">
        <f>pima_data!A326/$B326</f>
        <v>0.00409168676052448</v>
      </c>
      <c r="D326" s="5">
        <f>pima_data!B326/$B326</f>
        <v>0.642394821402343</v>
      </c>
      <c r="E326" s="5">
        <f>pima_data!C326/$B326</f>
        <v>0.294601446757762</v>
      </c>
      <c r="F326" s="5">
        <f>pima_data!D326/$B326</f>
        <v>0.085925421971014</v>
      </c>
      <c r="G326" s="5">
        <f>pima_data!E326/$B326</f>
        <v>0.687403375768112</v>
      </c>
      <c r="H326" s="5">
        <f>pima_data!F326/$B326</f>
        <v>0.104747181069427</v>
      </c>
      <c r="I326" s="5">
        <f>pima_data!G326/$B326</f>
        <v>0.000503277471544511</v>
      </c>
      <c r="J326" s="5">
        <f>pima_data!H326/$B326</f>
        <v>0.0982004822525875</v>
      </c>
    </row>
    <row r="327" spans="1:10">
      <c r="A327" s="4" cm="1">
        <f t="array" ref="A327">SUM(POWER(pima_data!A327:H327,2))</f>
        <v>46473.488864</v>
      </c>
      <c r="B327" s="4">
        <f t="shared" si="5"/>
        <v>215.577106539632</v>
      </c>
      <c r="C327" s="5">
        <f>pima_data!A327/$B327</f>
        <v>0.00463871148496075</v>
      </c>
      <c r="D327" s="5">
        <f>pima_data!B327/$B327</f>
        <v>0.565922801165212</v>
      </c>
      <c r="E327" s="5">
        <f>pima_data!C327/$B327</f>
        <v>0.296877535037488</v>
      </c>
      <c r="F327" s="5">
        <f>pima_data!D327/$B327</f>
        <v>0.148438767518744</v>
      </c>
      <c r="G327" s="5">
        <f>pima_data!E327/$B327</f>
        <v>0.723638991653877</v>
      </c>
      <c r="H327" s="5">
        <f>pima_data!F327/$B327</f>
        <v>0.162818773122122</v>
      </c>
      <c r="I327" s="5">
        <f>pima_data!G327/$B327</f>
        <v>0.00320998834759284</v>
      </c>
      <c r="J327" s="5">
        <f>pima_data!H327/$B327</f>
        <v>0.139161344548823</v>
      </c>
    </row>
    <row r="328" spans="1:10">
      <c r="A328" s="4" cm="1">
        <f t="array" ref="A328">SUM(POWER(pima_data!A328:H328,2))</f>
        <v>39642.05</v>
      </c>
      <c r="B328" s="4">
        <f t="shared" si="5"/>
        <v>199.103113988707</v>
      </c>
      <c r="C328" s="5">
        <f>pima_data!A328/$B328</f>
        <v>0.0502252315379015</v>
      </c>
      <c r="D328" s="5">
        <f>pima_data!B328/$B328</f>
        <v>0.899031644528437</v>
      </c>
      <c r="E328" s="5">
        <f>pima_data!C328/$B328</f>
        <v>0.351576620765311</v>
      </c>
      <c r="F328" s="5">
        <f>pima_data!D328/$B328</f>
        <v>0</v>
      </c>
      <c r="G328" s="5">
        <f>pima_data!E328/$B328</f>
        <v>0</v>
      </c>
      <c r="H328" s="5">
        <f>pima_data!F328/$B328</f>
        <v>0.176290562698034</v>
      </c>
      <c r="I328" s="5">
        <f>pima_data!G328/$B328</f>
        <v>0.00100450463075803</v>
      </c>
      <c r="J328" s="5">
        <f>pima_data!H328/$B328</f>
        <v>0.185833356690236</v>
      </c>
    </row>
    <row r="329" spans="1:10">
      <c r="A329" s="4" cm="1">
        <f t="array" ref="A329">SUM(POWER(pima_data!A329:H329,2))</f>
        <v>36099.266129</v>
      </c>
      <c r="B329" s="4">
        <f t="shared" si="5"/>
        <v>189.998068750711</v>
      </c>
      <c r="C329" s="5">
        <f>pima_data!A329/$B329</f>
        <v>0.0105264227849817</v>
      </c>
      <c r="D329" s="5">
        <f>pima_data!B329/$B329</f>
        <v>0.536847562034065</v>
      </c>
      <c r="E329" s="5">
        <f>pima_data!C329/$B329</f>
        <v>0.452636179754212</v>
      </c>
      <c r="F329" s="5">
        <f>pima_data!D329/$B329</f>
        <v>0.18947561012967</v>
      </c>
      <c r="G329" s="5">
        <f>pima_data!E329/$B329</f>
        <v>0.6315853670989</v>
      </c>
      <c r="H329" s="5">
        <f>pima_data!F329/$B329</f>
        <v>0.239476118358333</v>
      </c>
      <c r="I329" s="5">
        <f>pima_data!G329/$B329</f>
        <v>0.000668427846846336</v>
      </c>
      <c r="J329" s="5">
        <f>pima_data!H329/$B329</f>
        <v>0.121053862027289</v>
      </c>
    </row>
    <row r="330" spans="1:10">
      <c r="A330" s="4" cm="1">
        <f t="array" ref="A330">SUM(POWER(pima_data!A330:H330,2))</f>
        <v>23926.654884</v>
      </c>
      <c r="B330" s="4">
        <f t="shared" si="5"/>
        <v>154.682432370324</v>
      </c>
      <c r="C330" s="5">
        <f>pima_data!A330/$B330</f>
        <v>0.0387891495372624</v>
      </c>
      <c r="D330" s="5">
        <f>pima_data!B330/$B330</f>
        <v>0.678810116902093</v>
      </c>
      <c r="E330" s="5">
        <f>pima_data!C330/$B330</f>
        <v>0.452540077934729</v>
      </c>
      <c r="F330" s="5">
        <f>pima_data!D330/$B330</f>
        <v>0.206875464198733</v>
      </c>
      <c r="G330" s="5">
        <f>pima_data!E330/$B330</f>
        <v>0.439610361422308</v>
      </c>
      <c r="H330" s="5">
        <f>pima_data!F330/$B330</f>
        <v>0.199117634291281</v>
      </c>
      <c r="I330" s="5">
        <f>pima_data!G330/$B330</f>
        <v>0.00078871270725767</v>
      </c>
      <c r="J330" s="5">
        <f>pima_data!H330/$B330</f>
        <v>0.239199755479785</v>
      </c>
    </row>
    <row r="331" spans="1:10">
      <c r="A331" s="4" cm="1">
        <f t="array" ref="A331">SUM(POWER(pima_data!A331:H331,2))</f>
        <v>22184.788576</v>
      </c>
      <c r="B331" s="4">
        <f t="shared" si="5"/>
        <v>148.945589313682</v>
      </c>
      <c r="C331" s="5">
        <f>pima_data!A331/$B331</f>
        <v>0.0537108889015294</v>
      </c>
      <c r="D331" s="5">
        <f>pima_data!B331/$B331</f>
        <v>0.792235611297559</v>
      </c>
      <c r="E331" s="5">
        <f>pima_data!C331/$B331</f>
        <v>0.483398000113765</v>
      </c>
      <c r="F331" s="5">
        <f>pima_data!D331/$B331</f>
        <v>0.127563361141132</v>
      </c>
      <c r="G331" s="5">
        <f>pima_data!E331/$B331</f>
        <v>0</v>
      </c>
      <c r="H331" s="5">
        <f>pima_data!F331/$B331</f>
        <v>0.155090191703166</v>
      </c>
      <c r="I331" s="5">
        <f>pima_data!G331/$B331</f>
        <v>0.00990965900233218</v>
      </c>
      <c r="J331" s="5">
        <f>pima_data!H331/$B331</f>
        <v>0.308837611183794</v>
      </c>
    </row>
    <row r="332" spans="1:10">
      <c r="A332" s="4" cm="1">
        <f t="array" ref="A332">SUM(POWER(pima_data!A332:H332,2))</f>
        <v>15591.317556</v>
      </c>
      <c r="B332" s="4">
        <f t="shared" si="5"/>
        <v>124.865197537184</v>
      </c>
      <c r="C332" s="5">
        <f>pima_data!A332/$B332</f>
        <v>0.016017273343154</v>
      </c>
      <c r="D332" s="5">
        <f>pima_data!B332/$B332</f>
        <v>0.6967513904272</v>
      </c>
      <c r="E332" s="5">
        <f>pima_data!C332/$B332</f>
        <v>0.464500926951467</v>
      </c>
      <c r="F332" s="5">
        <f>pima_data!D332/$B332</f>
        <v>0.128138186745232</v>
      </c>
      <c r="G332" s="5">
        <f>pima_data!E332/$B332</f>
        <v>0.416449106922005</v>
      </c>
      <c r="H332" s="5">
        <f>pima_data!F332/$B332</f>
        <v>0.261882419160568</v>
      </c>
      <c r="I332" s="5">
        <f>pima_data!G332/$B332</f>
        <v>0.00132943368748178</v>
      </c>
      <c r="J332" s="5">
        <f>pima_data!H332/$B332</f>
        <v>0.200215916789425</v>
      </c>
    </row>
    <row r="333" spans="1:10">
      <c r="A333" s="4" cm="1">
        <f t="array" ref="A333">SUM(POWER(pima_data!A333:H333,2))</f>
        <v>35956.969524</v>
      </c>
      <c r="B333" s="4">
        <f t="shared" si="5"/>
        <v>189.623230443952</v>
      </c>
      <c r="C333" s="5">
        <f>pima_data!A333/$B333</f>
        <v>0.00527361546187548</v>
      </c>
      <c r="D333" s="5">
        <f>pima_data!B333/$B333</f>
        <v>0.949250783137586</v>
      </c>
      <c r="E333" s="5">
        <f>pima_data!C333/$B333</f>
        <v>0</v>
      </c>
      <c r="F333" s="5">
        <f>pima_data!D333/$B333</f>
        <v>0</v>
      </c>
      <c r="G333" s="5">
        <f>pima_data!E333/$B333</f>
        <v>0</v>
      </c>
      <c r="H333" s="5">
        <f>pima_data!F333/$B333</f>
        <v>0.228347549499208</v>
      </c>
      <c r="I333" s="5">
        <f>pima_data!G333/$B333</f>
        <v>0.00148715956024888</v>
      </c>
      <c r="J333" s="5">
        <f>pima_data!H333/$B333</f>
        <v>0.216218233936894</v>
      </c>
    </row>
    <row r="334" spans="1:10">
      <c r="A334" s="4" cm="1">
        <f t="array" ref="A334">SUM(POWER(pima_data!A334:H334,2))</f>
        <v>20272.978769</v>
      </c>
      <c r="B334" s="4">
        <f t="shared" si="5"/>
        <v>142.383210980087</v>
      </c>
      <c r="C334" s="5">
        <f>pima_data!A334/$B334</f>
        <v>0.0842795995215914</v>
      </c>
      <c r="D334" s="5">
        <f>pima_data!B334/$B334</f>
        <v>0.744469795774058</v>
      </c>
      <c r="E334" s="5">
        <f>pima_data!C334/$B334</f>
        <v>0.56186399681061</v>
      </c>
      <c r="F334" s="5">
        <f>pima_data!D334/$B334</f>
        <v>0</v>
      </c>
      <c r="G334" s="5">
        <f>pima_data!E334/$B334</f>
        <v>0</v>
      </c>
      <c r="H334" s="5">
        <f>pima_data!F334/$B334</f>
        <v>0.16574987905913</v>
      </c>
      <c r="I334" s="5">
        <f>pima_data!G334/$B334</f>
        <v>0.000962192094538169</v>
      </c>
      <c r="J334" s="5">
        <f>pima_data!H334/$B334</f>
        <v>0.309025198245835</v>
      </c>
    </row>
    <row r="335" spans="1:10">
      <c r="A335" s="4" cm="1">
        <f t="array" ref="A335">SUM(POWER(pima_data!A335:H335,2))</f>
        <v>17369.2776</v>
      </c>
      <c r="B335" s="4">
        <f t="shared" si="5"/>
        <v>131.792555176687</v>
      </c>
      <c r="C335" s="5">
        <f>pima_data!A335/$B335</f>
        <v>0.00758768201025739</v>
      </c>
      <c r="D335" s="5">
        <f>pima_data!B335/$B335</f>
        <v>0.720829790974452</v>
      </c>
      <c r="E335" s="5">
        <f>pima_data!C335/$B335</f>
        <v>0.455260920615444</v>
      </c>
      <c r="F335" s="5">
        <f>pima_data!D335/$B335</f>
        <v>0.136578276184633</v>
      </c>
      <c r="G335" s="5">
        <f>pima_data!E335/$B335</f>
        <v>0.440085556594929</v>
      </c>
      <c r="H335" s="5">
        <f>pima_data!F335/$B335</f>
        <v>0.181345600045152</v>
      </c>
      <c r="I335" s="5">
        <f>pima_data!G335/$B335</f>
        <v>0.00197279732266692</v>
      </c>
      <c r="J335" s="5">
        <f>pima_data!H335/$B335</f>
        <v>0.166929004225663</v>
      </c>
    </row>
    <row r="336" spans="1:10">
      <c r="A336" s="4" cm="1">
        <f t="array" ref="A336">SUM(POWER(pima_data!A336:H336,2))</f>
        <v>102845.477081</v>
      </c>
      <c r="B336" s="4">
        <f t="shared" si="5"/>
        <v>320.695302555245</v>
      </c>
      <c r="C336" s="5">
        <f>pima_data!A336/$B336</f>
        <v>0</v>
      </c>
      <c r="D336" s="5">
        <f>pima_data!B336/$B336</f>
        <v>0.51450706850181</v>
      </c>
      <c r="E336" s="5">
        <f>pima_data!C336/$B336</f>
        <v>0.236985073976591</v>
      </c>
      <c r="F336" s="5">
        <f>pima_data!D336/$B336</f>
        <v>0.134083660276229</v>
      </c>
      <c r="G336" s="5">
        <f>pima_data!E336/$B336</f>
        <v>0.795147287684615</v>
      </c>
      <c r="H336" s="5">
        <f>pima_data!F336/$B336</f>
        <v>0.149362961098404</v>
      </c>
      <c r="I336" s="5">
        <f>pima_data!G336/$B336</f>
        <v>0.000807620186314962</v>
      </c>
      <c r="J336" s="5">
        <f>pima_data!H336/$B336</f>
        <v>0.0810738410972549</v>
      </c>
    </row>
    <row r="337" spans="1:10">
      <c r="A337" s="4" cm="1">
        <f t="array" ref="A337">SUM(POWER(pima_data!A337:H337,2))</f>
        <v>16768.308624</v>
      </c>
      <c r="B337" s="4">
        <f t="shared" si="5"/>
        <v>129.492504122826</v>
      </c>
      <c r="C337" s="5">
        <f>pima_data!A337/$B337</f>
        <v>0</v>
      </c>
      <c r="D337" s="5">
        <f>pima_data!B337/$B337</f>
        <v>0.903527202540031</v>
      </c>
      <c r="E337" s="5">
        <f>pima_data!C337/$B337</f>
        <v>0</v>
      </c>
      <c r="F337" s="5">
        <f>pima_data!D337/$B337</f>
        <v>0</v>
      </c>
      <c r="G337" s="5">
        <f>pima_data!E337/$B337</f>
        <v>0</v>
      </c>
      <c r="H337" s="5">
        <f>pima_data!F337/$B337</f>
        <v>0.261018969622676</v>
      </c>
      <c r="I337" s="5">
        <f>pima_data!G337/$B337</f>
        <v>0.00719732780142999</v>
      </c>
      <c r="J337" s="5">
        <f>pima_data!H337/$B337</f>
        <v>0.339788007792832</v>
      </c>
    </row>
    <row r="338" spans="1:10">
      <c r="A338" s="4" cm="1">
        <f t="array" ref="A338">SUM(POWER(pima_data!A338:H338,2))</f>
        <v>21935.557649</v>
      </c>
      <c r="B338" s="4">
        <f t="shared" si="5"/>
        <v>148.106575306433</v>
      </c>
      <c r="C338" s="5">
        <f>pima_data!A338/$B338</f>
        <v>0.0337594734714174</v>
      </c>
      <c r="D338" s="5">
        <f>pima_data!B338/$B338</f>
        <v>0.776467889842601</v>
      </c>
      <c r="E338" s="5">
        <f>pima_data!C338/$B338</f>
        <v>0.513143996765545</v>
      </c>
      <c r="F338" s="5">
        <f>pima_data!D338/$B338</f>
        <v>0</v>
      </c>
      <c r="G338" s="5">
        <f>pima_data!E338/$B338</f>
        <v>0</v>
      </c>
      <c r="H338" s="5">
        <f>pima_data!F338/$B338</f>
        <v>0.210659114461645</v>
      </c>
      <c r="I338" s="5">
        <f>pima_data!G338/$B338</f>
        <v>0.00231589988013924</v>
      </c>
      <c r="J338" s="5">
        <f>pima_data!H338/$B338</f>
        <v>0.297083366548473</v>
      </c>
    </row>
    <row r="339" spans="1:10">
      <c r="A339" s="4" cm="1">
        <f t="array" ref="A339">SUM(POWER(pima_data!A339:H339,2))</f>
        <v>61925.437449</v>
      </c>
      <c r="B339" s="4">
        <f t="shared" si="5"/>
        <v>248.848221711548</v>
      </c>
      <c r="C339" s="5">
        <f>pima_data!A339/$B339</f>
        <v>0.0361666237279056</v>
      </c>
      <c r="D339" s="5">
        <f>pima_data!B339/$B339</f>
        <v>0.61081408962685</v>
      </c>
      <c r="E339" s="5">
        <f>pima_data!C339/$B339</f>
        <v>0.313444072308515</v>
      </c>
      <c r="F339" s="5">
        <f>pima_data!D339/$B339</f>
        <v>0.136629467416532</v>
      </c>
      <c r="G339" s="5">
        <f>pima_data!E339/$B339</f>
        <v>0.687165850830206</v>
      </c>
      <c r="H339" s="5">
        <f>pima_data!F339/$B339</f>
        <v>0.137433170166041</v>
      </c>
      <c r="I339" s="5">
        <f>pima_data!G339/$B339</f>
        <v>0.00358853277655774</v>
      </c>
      <c r="J339" s="5">
        <f>pima_data!H339/$B339</f>
        <v>0.132610953668987</v>
      </c>
    </row>
    <row r="340" spans="1:10">
      <c r="A340" s="4" cm="1">
        <f t="array" ref="A340">SUM(POWER(pima_data!A340:H340,2))</f>
        <v>42062.119561</v>
      </c>
      <c r="B340" s="4">
        <f t="shared" si="5"/>
        <v>205.090515531557</v>
      </c>
      <c r="C340" s="5">
        <f>pima_data!A340/$B340</f>
        <v>0.0341312711699869</v>
      </c>
      <c r="D340" s="5">
        <f>pima_data!B340/$B340</f>
        <v>0.867909466893953</v>
      </c>
      <c r="E340" s="5">
        <f>pima_data!C340/$B340</f>
        <v>0.409575254039843</v>
      </c>
      <c r="F340" s="5">
        <f>pima_data!D340/$B340</f>
        <v>0</v>
      </c>
      <c r="G340" s="5">
        <f>pima_data!E340/$B340</f>
        <v>0</v>
      </c>
      <c r="H340" s="5">
        <f>pima_data!F340/$B340</f>
        <v>0.194548245668925</v>
      </c>
      <c r="I340" s="5">
        <f>pima_data!G340/$B340</f>
        <v>0.00161392153675224</v>
      </c>
      <c r="J340" s="5">
        <f>pima_data!H340/$B340</f>
        <v>0.199911731138495</v>
      </c>
    </row>
    <row r="341" spans="1:10">
      <c r="A341" s="4" cm="1">
        <f t="array" ref="A341">SUM(POWER(pima_data!A341:H341,2))</f>
        <v>34150.032784</v>
      </c>
      <c r="B341" s="4">
        <f t="shared" si="5"/>
        <v>184.797274828391</v>
      </c>
      <c r="C341" s="5">
        <f>pima_data!A341/$B341</f>
        <v>0.00541133521004913</v>
      </c>
      <c r="D341" s="5">
        <f>pima_data!B341/$B341</f>
        <v>0.703473577306387</v>
      </c>
      <c r="E341" s="5">
        <f>pima_data!C341/$B341</f>
        <v>0.378793464703439</v>
      </c>
      <c r="F341" s="5">
        <f>pima_data!D341/$B341</f>
        <v>0.0703473577306387</v>
      </c>
      <c r="G341" s="5">
        <f>pima_data!E341/$B341</f>
        <v>0.568190197055159</v>
      </c>
      <c r="H341" s="5">
        <f>pima_data!F341/$B341</f>
        <v>0.140153581940272</v>
      </c>
      <c r="I341" s="5">
        <f>pima_data!G341/$B341</f>
        <v>0.00255415021914319</v>
      </c>
      <c r="J341" s="5">
        <f>pima_data!H341/$B341</f>
        <v>0.119049374621081</v>
      </c>
    </row>
    <row r="342" spans="1:10">
      <c r="A342" s="4" cm="1">
        <f t="array" ref="A342">SUM(POWER(pima_data!A342:H342,2))</f>
        <v>22239.262929</v>
      </c>
      <c r="B342" s="4">
        <f t="shared" si="5"/>
        <v>149.128343814984</v>
      </c>
      <c r="C342" s="5">
        <f>pima_data!A342/$B342</f>
        <v>0.00670563337872679</v>
      </c>
      <c r="D342" s="5">
        <f>pima_data!B342/$B342</f>
        <v>0.637035170979045</v>
      </c>
      <c r="E342" s="5">
        <f>pima_data!C342/$B342</f>
        <v>0.496216870025783</v>
      </c>
      <c r="F342" s="5">
        <f>pima_data!D342/$B342</f>
        <v>0.140818300953263</v>
      </c>
      <c r="G342" s="5">
        <f>pima_data!E342/$B342</f>
        <v>0.489511236647056</v>
      </c>
      <c r="H342" s="5">
        <f>pima_data!F342/$B342</f>
        <v>0.173675904509024</v>
      </c>
      <c r="I342" s="5">
        <f>pima_data!G342/$B342</f>
        <v>0.00451289126388313</v>
      </c>
      <c r="J342" s="5">
        <f>pima_data!H342/$B342</f>
        <v>0.241402801634164</v>
      </c>
    </row>
    <row r="343" spans="1:10">
      <c r="A343" s="4" cm="1">
        <f t="array" ref="A343">SUM(POWER(pima_data!A343:H343,2))</f>
        <v>7358.151321</v>
      </c>
      <c r="B343" s="4">
        <f t="shared" si="5"/>
        <v>85.7796672935959</v>
      </c>
      <c r="C343" s="5">
        <f>pima_data!A343/$B343</f>
        <v>0.0116577742902327</v>
      </c>
      <c r="D343" s="5">
        <f>pima_data!B343/$B343</f>
        <v>0</v>
      </c>
      <c r="E343" s="5">
        <f>pima_data!C343/$B343</f>
        <v>0.792728651735826</v>
      </c>
      <c r="F343" s="5">
        <f>pima_data!D343/$B343</f>
        <v>0.408022100158146</v>
      </c>
      <c r="G343" s="5">
        <f>pima_data!E343/$B343</f>
        <v>0</v>
      </c>
      <c r="H343" s="5">
        <f>pima_data!F343/$B343</f>
        <v>0.373048777287448</v>
      </c>
      <c r="I343" s="5">
        <f>pima_data!G343/$B343</f>
        <v>0.00453487419890054</v>
      </c>
      <c r="J343" s="5">
        <f>pima_data!H343/$B343</f>
        <v>0.25647103438512</v>
      </c>
    </row>
    <row r="344" spans="1:10">
      <c r="A344" s="4" cm="1">
        <f t="array" ref="A344">SUM(POWER(pima_data!A344:H344,2))</f>
        <v>24598.1741</v>
      </c>
      <c r="B344" s="4">
        <f t="shared" si="5"/>
        <v>156.838050548966</v>
      </c>
      <c r="C344" s="5">
        <f>pima_data!A344/$B344</f>
        <v>0.0318800187996405</v>
      </c>
      <c r="D344" s="5">
        <f>pima_data!B344/$B344</f>
        <v>0.777872458711228</v>
      </c>
      <c r="E344" s="5">
        <f>pima_data!C344/$B344</f>
        <v>0.548336323353816</v>
      </c>
      <c r="F344" s="5">
        <f>pima_data!D344/$B344</f>
        <v>0</v>
      </c>
      <c r="G344" s="5">
        <f>pima_data!E344/$B344</f>
        <v>0</v>
      </c>
      <c r="H344" s="5">
        <f>pima_data!F344/$B344</f>
        <v>0.221247330469505</v>
      </c>
      <c r="I344" s="5">
        <f>pima_data!G344/$B344</f>
        <v>0.00184904109037915</v>
      </c>
      <c r="J344" s="5">
        <f>pima_data!H344/$B344</f>
        <v>0.210408124077627</v>
      </c>
    </row>
    <row r="345" spans="1:10">
      <c r="A345" s="4" cm="1">
        <f t="array" ref="A345">SUM(POWER(pima_data!A345:H345,2))</f>
        <v>18876.475225</v>
      </c>
      <c r="B345" s="4">
        <f t="shared" si="5"/>
        <v>137.391685428923</v>
      </c>
      <c r="C345" s="5">
        <f>pima_data!A345/$B345</f>
        <v>0.058227686595625</v>
      </c>
      <c r="D345" s="5">
        <f>pima_data!B345/$B345</f>
        <v>0.691453778323047</v>
      </c>
      <c r="E345" s="5">
        <f>pima_data!C345/$B345</f>
        <v>0.524049179360625</v>
      </c>
      <c r="F345" s="5">
        <f>pima_data!D345/$B345</f>
        <v>0</v>
      </c>
      <c r="G345" s="5">
        <f>pima_data!E345/$B345</f>
        <v>0</v>
      </c>
      <c r="H345" s="5">
        <f>pima_data!F345/$B345</f>
        <v>0.267847358339875</v>
      </c>
      <c r="I345" s="5">
        <f>pima_data!G345/$B345</f>
        <v>0.00353005349985977</v>
      </c>
      <c r="J345" s="5">
        <f>pima_data!H345/$B345</f>
        <v>0.414872266993828</v>
      </c>
    </row>
    <row r="346" spans="1:10">
      <c r="A346" s="4" cm="1">
        <f t="array" ref="A346">SUM(POWER(pima_data!A346:H346,2))</f>
        <v>40527.371801</v>
      </c>
      <c r="B346" s="4">
        <f t="shared" si="5"/>
        <v>201.314112274823</v>
      </c>
      <c r="C346" s="5">
        <f>pima_data!A346/$B346</f>
        <v>0.0397388931635297</v>
      </c>
      <c r="D346" s="5">
        <f>pima_data!B346/$B346</f>
        <v>0.625887567325592</v>
      </c>
      <c r="E346" s="5">
        <f>pima_data!C346/$B346</f>
        <v>0.437127824798826</v>
      </c>
      <c r="F346" s="5">
        <f>pima_data!D346/$B346</f>
        <v>0.178825019235883</v>
      </c>
      <c r="G346" s="5">
        <f>pima_data!E346/$B346</f>
        <v>0.53647505770765</v>
      </c>
      <c r="H346" s="5">
        <f>pima_data!F346/$B346</f>
        <v>0.191243423349486</v>
      </c>
      <c r="I346" s="5">
        <f>pima_data!G346/$B346</f>
        <v>0.00173360921425898</v>
      </c>
      <c r="J346" s="5">
        <f>pima_data!H346/$B346</f>
        <v>0.243400720626619</v>
      </c>
    </row>
    <row r="347" spans="1:10">
      <c r="A347" s="4" cm="1">
        <f t="array" ref="A347">SUM(POWER(pima_data!A347:H347,2))</f>
        <v>29996.117716</v>
      </c>
      <c r="B347" s="4">
        <f t="shared" si="5"/>
        <v>173.193873205723</v>
      </c>
      <c r="C347" s="5">
        <f>pima_data!A347/$B347</f>
        <v>0.00577387630111015</v>
      </c>
      <c r="D347" s="5">
        <f>pima_data!B347/$B347</f>
        <v>0.802568805854311</v>
      </c>
      <c r="E347" s="5">
        <f>pima_data!C347/$B347</f>
        <v>0.265598309851067</v>
      </c>
      <c r="F347" s="5">
        <f>pima_data!D347/$B347</f>
        <v>0.109703649721093</v>
      </c>
      <c r="G347" s="5">
        <f>pima_data!E347/$B347</f>
        <v>0.479231732992143</v>
      </c>
      <c r="H347" s="5">
        <f>pima_data!F347/$B347</f>
        <v>0.165710249841861</v>
      </c>
      <c r="I347" s="5">
        <f>pima_data!G347/$B347</f>
        <v>0.00377611510092604</v>
      </c>
      <c r="J347" s="5">
        <f>pima_data!H347/$B347</f>
        <v>0.127025278624423</v>
      </c>
    </row>
    <row r="348" spans="1:10">
      <c r="A348" s="4" cm="1">
        <f t="array" ref="A348">SUM(POWER(pima_data!A348:H348,2))</f>
        <v>14546.284969</v>
      </c>
      <c r="B348" s="4">
        <f t="shared" si="5"/>
        <v>120.607980536115</v>
      </c>
      <c r="C348" s="5">
        <f>pima_data!A348/$B348</f>
        <v>0.0248739758900255</v>
      </c>
      <c r="D348" s="5">
        <f>pima_data!B348/$B348</f>
        <v>0.961793734414319</v>
      </c>
      <c r="E348" s="5">
        <f>pima_data!C348/$B348</f>
        <v>0</v>
      </c>
      <c r="F348" s="5">
        <f>pima_data!D348/$B348</f>
        <v>0</v>
      </c>
      <c r="G348" s="5">
        <f>pima_data!E348/$B348</f>
        <v>0</v>
      </c>
      <c r="H348" s="5">
        <f>pima_data!F348/$B348</f>
        <v>0.194846144471866</v>
      </c>
      <c r="I348" s="5">
        <f>pima_data!G348/$B348</f>
        <v>0.00155047783047826</v>
      </c>
      <c r="J348" s="5">
        <f>pima_data!H348/$B348</f>
        <v>0.190700481823529</v>
      </c>
    </row>
    <row r="349" spans="1:10">
      <c r="A349" s="4" cm="1">
        <f t="array" ref="A349">SUM(POWER(pima_data!A349:H349,2))</f>
        <v>20642.317841</v>
      </c>
      <c r="B349" s="4">
        <f t="shared" si="5"/>
        <v>143.674346495817</v>
      </c>
      <c r="C349" s="5">
        <f>pima_data!A349/$B349</f>
        <v>0.0208805543450817</v>
      </c>
      <c r="D349" s="5">
        <f>pima_data!B349/$B349</f>
        <v>0.689058293387696</v>
      </c>
      <c r="E349" s="5">
        <f>pima_data!C349/$B349</f>
        <v>0.431531456465022</v>
      </c>
      <c r="F349" s="5">
        <f>pima_data!D349/$B349</f>
        <v>0.132243510852184</v>
      </c>
      <c r="G349" s="5">
        <f>pima_data!E349/$B349</f>
        <v>0.515053673845349</v>
      </c>
      <c r="H349" s="5">
        <f>pima_data!F349/$B349</f>
        <v>0.151732028240927</v>
      </c>
      <c r="I349" s="5">
        <f>pima_data!G349/$B349</f>
        <v>0.0019418915540926</v>
      </c>
      <c r="J349" s="5">
        <f>pima_data!H349/$B349</f>
        <v>0.180964804324041</v>
      </c>
    </row>
    <row r="350" spans="1:10">
      <c r="A350" s="4" cm="1">
        <f t="array" ref="A350">SUM(POWER(pima_data!A350:H350,2))</f>
        <v>10499.119716</v>
      </c>
      <c r="B350" s="4">
        <f t="shared" si="5"/>
        <v>102.465212223466</v>
      </c>
      <c r="C350" s="5">
        <f>pima_data!A350/$B350</f>
        <v>0.0487970491789496</v>
      </c>
      <c r="D350" s="5">
        <f>pima_data!B350/$B350</f>
        <v>0</v>
      </c>
      <c r="E350" s="5">
        <f>pima_data!C350/$B350</f>
        <v>0.780752786863194</v>
      </c>
      <c r="F350" s="5">
        <f>pima_data!D350/$B350</f>
        <v>0.312301114745278</v>
      </c>
      <c r="G350" s="5">
        <f>pima_data!E350/$B350</f>
        <v>0</v>
      </c>
      <c r="H350" s="5">
        <f>pima_data!F350/$B350</f>
        <v>0.400135803267387</v>
      </c>
      <c r="I350" s="5">
        <f>pima_data!G350/$B350</f>
        <v>0.00337675580318332</v>
      </c>
      <c r="J350" s="5">
        <f>pima_data!H350/$B350</f>
        <v>0.361098163924227</v>
      </c>
    </row>
    <row r="351" spans="1:10">
      <c r="A351" s="4" cm="1">
        <f t="array" ref="A351">SUM(POWER(pima_data!A351:H351,2))</f>
        <v>17501.896169</v>
      </c>
      <c r="B351" s="4">
        <f t="shared" si="5"/>
        <v>132.294732204272</v>
      </c>
      <c r="C351" s="5">
        <f>pima_data!A351/$B351</f>
        <v>0.0302355198378098</v>
      </c>
      <c r="D351" s="5">
        <f>pima_data!B351/$B351</f>
        <v>0.695416956269626</v>
      </c>
      <c r="E351" s="5">
        <f>pima_data!C351/$B351</f>
        <v>0.604710396756197</v>
      </c>
      <c r="F351" s="5">
        <f>pima_data!D351/$B351</f>
        <v>0</v>
      </c>
      <c r="G351" s="5">
        <f>pima_data!E351/$B351</f>
        <v>0</v>
      </c>
      <c r="H351" s="5">
        <f>pima_data!F351/$B351</f>
        <v>0.318984734288894</v>
      </c>
      <c r="I351" s="5">
        <f>pima_data!G351/$B351</f>
        <v>0.00179145455039023</v>
      </c>
      <c r="J351" s="5">
        <f>pima_data!H351/$B351</f>
        <v>0.219207518824121</v>
      </c>
    </row>
    <row r="352" spans="1:10">
      <c r="A352" s="4" cm="1">
        <f t="array" ref="A352">SUM(POWER(pima_data!A352:H352,2))</f>
        <v>27714.503504</v>
      </c>
      <c r="B352" s="4">
        <f t="shared" si="5"/>
        <v>166.47673562393</v>
      </c>
      <c r="C352" s="5">
        <f>pima_data!A352/$B352</f>
        <v>0.024027381273477</v>
      </c>
      <c r="D352" s="5">
        <f>pima_data!B352/$B352</f>
        <v>0.822937808616586</v>
      </c>
      <c r="E352" s="5">
        <f>pima_data!C352/$B352</f>
        <v>0.504575006743016</v>
      </c>
      <c r="F352" s="5">
        <f>pima_data!D352/$B352</f>
        <v>0</v>
      </c>
      <c r="G352" s="5">
        <f>pima_data!E352/$B352</f>
        <v>0</v>
      </c>
      <c r="H352" s="5">
        <f>pima_data!F352/$B352</f>
        <v>0.18741357393312</v>
      </c>
      <c r="I352" s="5">
        <f>pima_data!G352/$B352</f>
        <v>0.00151372502022905</v>
      </c>
      <c r="J352" s="5">
        <f>pima_data!H352/$B352</f>
        <v>0.180205359551077</v>
      </c>
    </row>
    <row r="353" spans="1:10">
      <c r="A353" s="4" cm="1">
        <f t="array" ref="A353">SUM(POWER(pima_data!A353:H353,2))</f>
        <v>14537.419049</v>
      </c>
      <c r="B353" s="4">
        <f t="shared" si="5"/>
        <v>120.571219820486</v>
      </c>
      <c r="C353" s="5">
        <f>pima_data!A353/$B353</f>
        <v>0.0248815596662834</v>
      </c>
      <c r="D353" s="5">
        <f>pima_data!B353/$B353</f>
        <v>0.505925046547763</v>
      </c>
      <c r="E353" s="5">
        <f>pima_data!C353/$B353</f>
        <v>0.680095964211747</v>
      </c>
      <c r="F353" s="5">
        <f>pima_data!D353/$B353</f>
        <v>0.232227890218645</v>
      </c>
      <c r="G353" s="5">
        <f>pima_data!E353/$B353</f>
        <v>0</v>
      </c>
      <c r="H353" s="5">
        <f>pima_data!F353/$B353</f>
        <v>0.28530855084005</v>
      </c>
      <c r="I353" s="5">
        <f>pima_data!G353/$B353</f>
        <v>0.00201540633296896</v>
      </c>
      <c r="J353" s="5">
        <f>pima_data!H353/$B353</f>
        <v>0.381517248216346</v>
      </c>
    </row>
    <row r="354" spans="1:10">
      <c r="A354" s="4" cm="1">
        <f t="array" ref="A354">SUM(POWER(pima_data!A354:H354,2))</f>
        <v>15254.1764</v>
      </c>
      <c r="B354" s="4">
        <f t="shared" si="5"/>
        <v>123.507798944034</v>
      </c>
      <c r="C354" s="5">
        <f>pima_data!A354/$B354</f>
        <v>0.00809665469346705</v>
      </c>
      <c r="D354" s="5">
        <f>pima_data!B354/$B354</f>
        <v>0.728698922412034</v>
      </c>
      <c r="E354" s="5">
        <f>pima_data!C354/$B354</f>
        <v>0.501992590994957</v>
      </c>
      <c r="F354" s="5">
        <f>pima_data!D354/$B354</f>
        <v>0.0971598563216046</v>
      </c>
      <c r="G354" s="5">
        <f>pima_data!E354/$B354</f>
        <v>0.348156151819083</v>
      </c>
      <c r="H354" s="5">
        <f>pima_data!F354/$B354</f>
        <v>0.220229007662304</v>
      </c>
      <c r="I354" s="5">
        <f>pima_data!G354/$B354</f>
        <v>0.00469605972221089</v>
      </c>
      <c r="J354" s="5">
        <f>pima_data!H354/$B354</f>
        <v>0.194319712643209</v>
      </c>
    </row>
    <row r="355" spans="1:10">
      <c r="A355" s="4" cm="1">
        <f t="array" ref="A355">SUM(POWER(pima_data!A355:H355,2))</f>
        <v>16457.602481</v>
      </c>
      <c r="B355" s="4">
        <f t="shared" si="5"/>
        <v>128.287187516915</v>
      </c>
      <c r="C355" s="5">
        <f>pima_data!A355/$B355</f>
        <v>0.0233850321147967</v>
      </c>
      <c r="D355" s="5">
        <f>pima_data!B355/$B355</f>
        <v>0.701550963443903</v>
      </c>
      <c r="E355" s="5">
        <f>pima_data!C355/$B355</f>
        <v>0.608010834984716</v>
      </c>
      <c r="F355" s="5">
        <f>pima_data!D355/$B355</f>
        <v>0</v>
      </c>
      <c r="G355" s="5">
        <f>pima_data!E355/$B355</f>
        <v>0</v>
      </c>
      <c r="H355" s="5">
        <f>pima_data!F355/$B355</f>
        <v>0.332846957100607</v>
      </c>
      <c r="I355" s="5">
        <f>pima_data!G355/$B355</f>
        <v>0.00435741098405713</v>
      </c>
      <c r="J355" s="5">
        <f>pima_data!H355/$B355</f>
        <v>0.163695224803577</v>
      </c>
    </row>
    <row r="356" spans="1:10">
      <c r="A356" s="4" cm="1">
        <f t="array" ref="A356">SUM(POWER(pima_data!A356:H356,2))</f>
        <v>38375.251204</v>
      </c>
      <c r="B356" s="4">
        <f t="shared" si="5"/>
        <v>195.896021409318</v>
      </c>
      <c r="C356" s="5">
        <f>pima_data!A356/$B356</f>
        <v>0.0459427401090235</v>
      </c>
      <c r="D356" s="5">
        <f>pima_data!B356/$B356</f>
        <v>0.842283568665431</v>
      </c>
      <c r="E356" s="5">
        <f>pima_data!C356/$B356</f>
        <v>0.44921790328823</v>
      </c>
      <c r="F356" s="5">
        <f>pima_data!D356/$B356</f>
        <v>0</v>
      </c>
      <c r="G356" s="5">
        <f>pima_data!E356/$B356</f>
        <v>0</v>
      </c>
      <c r="H356" s="5">
        <f>pima_data!F356/$B356</f>
        <v>0.155184366590479</v>
      </c>
      <c r="I356" s="5">
        <f>pima_data!G356/$B356</f>
        <v>0.00154163416810279</v>
      </c>
      <c r="J356" s="5">
        <f>pima_data!H356/$B356</f>
        <v>0.250132696149128</v>
      </c>
    </row>
    <row r="357" spans="1:10">
      <c r="A357" s="4" cm="1">
        <f t="array" ref="A357">SUM(POWER(pima_data!A357:H357,2))</f>
        <v>49508.815444</v>
      </c>
      <c r="B357" s="4">
        <f t="shared" si="5"/>
        <v>222.505764968012</v>
      </c>
      <c r="C357" s="5">
        <f>pima_data!A357/$B357</f>
        <v>0.00449426557619199</v>
      </c>
      <c r="D357" s="5">
        <f>pima_data!B357/$B357</f>
        <v>0.561783197023999</v>
      </c>
      <c r="E357" s="5">
        <f>pima_data!C357/$B357</f>
        <v>0.2247132788096</v>
      </c>
      <c r="F357" s="5">
        <f>pima_data!D357/$B357</f>
        <v>0.17977062304768</v>
      </c>
      <c r="G357" s="5">
        <f>pima_data!E357/$B357</f>
        <v>0.750542351224062</v>
      </c>
      <c r="H357" s="5">
        <f>pima_data!F357/$B357</f>
        <v>0.149659043687193</v>
      </c>
      <c r="I357" s="5">
        <f>pima_data!G357/$B357</f>
        <v>0.00432348348429669</v>
      </c>
      <c r="J357" s="5">
        <f>pima_data!H357/$B357</f>
        <v>0.125839436133376</v>
      </c>
    </row>
    <row r="358" spans="1:10">
      <c r="A358" s="4" cm="1">
        <f t="array" ref="A358">SUM(POWER(pima_data!A358:H358,2))</f>
        <v>21238.333761</v>
      </c>
      <c r="B358" s="4">
        <f t="shared" si="5"/>
        <v>145.73377700794</v>
      </c>
      <c r="C358" s="5">
        <f>pima_data!A358/$B358</f>
        <v>0.0892037540431805</v>
      </c>
      <c r="D358" s="5">
        <f>pima_data!B358/$B358</f>
        <v>0.885175713197714</v>
      </c>
      <c r="E358" s="5">
        <f>pima_data!C358/$B358</f>
        <v>0</v>
      </c>
      <c r="F358" s="5">
        <f>pima_data!D358/$B358</f>
        <v>0.205854817022724</v>
      </c>
      <c r="G358" s="5">
        <f>pima_data!E358/$B358</f>
        <v>0</v>
      </c>
      <c r="H358" s="5">
        <f>pima_data!F358/$B358</f>
        <v>0.273786906640223</v>
      </c>
      <c r="I358" s="5">
        <f>pima_data!G358/$B358</f>
        <v>0.00390437969619767</v>
      </c>
      <c r="J358" s="5">
        <f>pima_data!H358/$B358</f>
        <v>0.301920398299996</v>
      </c>
    </row>
    <row r="359" spans="1:10">
      <c r="A359" s="4" cm="1">
        <f t="array" ref="A359">SUM(POWER(pima_data!A359:H359,2))</f>
        <v>21430.232884</v>
      </c>
      <c r="B359" s="4">
        <f t="shared" si="5"/>
        <v>146.390685782942</v>
      </c>
      <c r="C359" s="5">
        <f>pima_data!A359/$B359</f>
        <v>0.081972428340098</v>
      </c>
      <c r="D359" s="5">
        <f>pima_data!B359/$B359</f>
        <v>0.601131141160719</v>
      </c>
      <c r="E359" s="5">
        <f>pima_data!C359/$B359</f>
        <v>0.505496641430604</v>
      </c>
      <c r="F359" s="5">
        <f>pima_data!D359/$B359</f>
        <v>0.273241427800327</v>
      </c>
      <c r="G359" s="5">
        <f>pima_data!E359/$B359</f>
        <v>0.368875927530441</v>
      </c>
      <c r="H359" s="5">
        <f>pima_data!F359/$B359</f>
        <v>0.241135560033788</v>
      </c>
      <c r="I359" s="5">
        <f>pima_data!G359/$B359</f>
        <v>0.00258213149271309</v>
      </c>
      <c r="J359" s="5">
        <f>pima_data!H359/$B359</f>
        <v>0.327889713360392</v>
      </c>
    </row>
    <row r="360" spans="1:10">
      <c r="A360" s="4" cm="1">
        <f t="array" ref="A360">SUM(POWER(pima_data!A360:H360,2))</f>
        <v>109664.015625</v>
      </c>
      <c r="B360" s="4">
        <f t="shared" si="5"/>
        <v>331.155576164739</v>
      </c>
      <c r="C360" s="5">
        <f>pima_data!A360/$B360</f>
        <v>0.00301972870752004</v>
      </c>
      <c r="D360" s="5">
        <f>pima_data!B360/$B360</f>
        <v>0.591866826673928</v>
      </c>
      <c r="E360" s="5">
        <f>pima_data!C360/$B360</f>
        <v>0.229499381771523</v>
      </c>
      <c r="F360" s="5">
        <f>pima_data!D360/$B360</f>
        <v>0.108710233470721</v>
      </c>
      <c r="G360" s="5">
        <f>pima_data!E360/$B360</f>
        <v>0.75191244817249</v>
      </c>
      <c r="H360" s="5">
        <f>pima_data!F360/$B360</f>
        <v>0.110220097824481</v>
      </c>
      <c r="I360" s="5">
        <f>pima_data!G360/$B360</f>
        <v>0.00264226261908003</v>
      </c>
      <c r="J360" s="5">
        <f>pima_data!H360/$B360</f>
        <v>0.0875721325180811</v>
      </c>
    </row>
    <row r="361" spans="1:10">
      <c r="A361" s="4" cm="1">
        <f t="array" ref="A361">SUM(POWER(pima_data!A361:H361,2))</f>
        <v>148370.779889</v>
      </c>
      <c r="B361" s="4">
        <f t="shared" si="5"/>
        <v>385.189278003685</v>
      </c>
      <c r="C361" s="5">
        <f>pima_data!A361/$B361</f>
        <v>0.0129806313039486</v>
      </c>
      <c r="D361" s="5">
        <f>pima_data!B361/$B361</f>
        <v>0.490667863289258</v>
      </c>
      <c r="E361" s="5">
        <f>pima_data!C361/$B361</f>
        <v>0.166152080690542</v>
      </c>
      <c r="F361" s="5">
        <f>pima_data!D361/$B361</f>
        <v>0.0856721666060609</v>
      </c>
      <c r="G361" s="5">
        <f>pima_data!E361/$B361</f>
        <v>0.843741034756661</v>
      </c>
      <c r="H361" s="5">
        <f>pima_data!F361/$B361</f>
        <v>0.0809991393366394</v>
      </c>
      <c r="I361" s="5">
        <f>pima_data!G361/$B361</f>
        <v>0.00151354161004041</v>
      </c>
      <c r="J361" s="5">
        <f>pima_data!H361/$B361</f>
        <v>0.075287661562902</v>
      </c>
    </row>
    <row r="362" spans="1:10">
      <c r="A362" s="4" cm="1">
        <f t="array" ref="A362">SUM(POWER(pima_data!A362:H362,2))</f>
        <v>34746.082849</v>
      </c>
      <c r="B362" s="4">
        <f t="shared" si="5"/>
        <v>186.403011909679</v>
      </c>
      <c r="C362" s="5">
        <f>pima_data!A362/$B362</f>
        <v>0.0268236009106051</v>
      </c>
      <c r="D362" s="5">
        <f>pima_data!B362/$B362</f>
        <v>0.847625788775121</v>
      </c>
      <c r="E362" s="5">
        <f>pima_data!C362/$B362</f>
        <v>0.375530412748471</v>
      </c>
      <c r="F362" s="5">
        <f>pima_data!D362/$B362</f>
        <v>0</v>
      </c>
      <c r="G362" s="5">
        <f>pima_data!E362/$B362</f>
        <v>0</v>
      </c>
      <c r="H362" s="5">
        <f>pima_data!F362/$B362</f>
        <v>0.159868661427206</v>
      </c>
      <c r="I362" s="5">
        <f>pima_data!G362/$B362</f>
        <v>0.00111049707769905</v>
      </c>
      <c r="J362" s="5">
        <f>pima_data!H362/$B362</f>
        <v>0.337977371473624</v>
      </c>
    </row>
    <row r="363" spans="1:10">
      <c r="A363" s="4" cm="1">
        <f t="array" ref="A363">SUM(POWER(pima_data!A363:H363,2))</f>
        <v>29428.733025</v>
      </c>
      <c r="B363" s="4">
        <f t="shared" si="5"/>
        <v>171.548048735624</v>
      </c>
      <c r="C363" s="5">
        <f>pima_data!A363/$B363</f>
        <v>0.0291463530879655</v>
      </c>
      <c r="D363" s="5">
        <f>pima_data!B363/$B363</f>
        <v>0.600414873612088</v>
      </c>
      <c r="E363" s="5">
        <f>pima_data!C363/$B363</f>
        <v>0.629561226700054</v>
      </c>
      <c r="F363" s="5">
        <f>pima_data!D363/$B363</f>
        <v>0.215683012850944</v>
      </c>
      <c r="G363" s="5">
        <f>pima_data!E363/$B363</f>
        <v>0</v>
      </c>
      <c r="H363" s="5">
        <f>pima_data!F363/$B363</f>
        <v>0.228507408209649</v>
      </c>
      <c r="I363" s="5">
        <f>pima_data!G363/$B363</f>
        <v>0.00177792753836589</v>
      </c>
      <c r="J363" s="5">
        <f>pima_data!H363/$B363</f>
        <v>0.378902590143551</v>
      </c>
    </row>
    <row r="364" spans="1:10">
      <c r="A364" s="4" cm="1">
        <f t="array" ref="A364">SUM(POWER(pima_data!A364:H364,2))</f>
        <v>33387.5204</v>
      </c>
      <c r="B364" s="4">
        <f t="shared" si="5"/>
        <v>182.722522968571</v>
      </c>
      <c r="C364" s="5">
        <f>pima_data!A364/$B364</f>
        <v>0.0218911162948862</v>
      </c>
      <c r="D364" s="5">
        <f>pima_data!B364/$B364</f>
        <v>0.799025744763345</v>
      </c>
      <c r="E364" s="5">
        <f>pima_data!C364/$B364</f>
        <v>0.42687676775028</v>
      </c>
      <c r="F364" s="5">
        <f>pima_data!D364/$B364</f>
        <v>0</v>
      </c>
      <c r="G364" s="5">
        <f>pima_data!E364/$B364</f>
        <v>0</v>
      </c>
      <c r="H364" s="5">
        <f>pima_data!F364/$B364</f>
        <v>0.210701994338279</v>
      </c>
      <c r="I364" s="5">
        <f>pima_data!G364/$B364</f>
        <v>0.0028458451183352</v>
      </c>
      <c r="J364" s="5">
        <f>pima_data!H364/$B364</f>
        <v>0.366676197939343</v>
      </c>
    </row>
    <row r="365" spans="1:10">
      <c r="A365" s="4" cm="1">
        <f t="array" ref="A365">SUM(POWER(pima_data!A365:H365,2))</f>
        <v>115693.158225</v>
      </c>
      <c r="B365" s="4">
        <f t="shared" si="5"/>
        <v>340.136969800403</v>
      </c>
      <c r="C365" s="5">
        <f>pima_data!A365/$B365</f>
        <v>0.0117599683514181</v>
      </c>
      <c r="D365" s="5">
        <f>pima_data!B365/$B365</f>
        <v>0.432178836914616</v>
      </c>
      <c r="E365" s="5">
        <f>pima_data!C365/$B365</f>
        <v>0.217559414501235</v>
      </c>
      <c r="F365" s="5">
        <f>pima_data!D365/$B365</f>
        <v>0.0734998021963633</v>
      </c>
      <c r="G365" s="5">
        <f>pima_data!E365/$B365</f>
        <v>0.861417681741378</v>
      </c>
      <c r="H365" s="5">
        <f>pima_data!F365/$B365</f>
        <v>0.102605723866123</v>
      </c>
      <c r="I365" s="5">
        <f>pima_data!G365/$B365</f>
        <v>0.001131896953824</v>
      </c>
      <c r="J365" s="5">
        <f>pima_data!H365/$B365</f>
        <v>0.088199762635636</v>
      </c>
    </row>
    <row r="366" spans="1:10">
      <c r="A366" s="4" cm="1">
        <f t="array" ref="A366">SUM(POWER(pima_data!A366:H366,2))</f>
        <v>22471.249001</v>
      </c>
      <c r="B366" s="4">
        <f t="shared" si="5"/>
        <v>149.904132701537</v>
      </c>
      <c r="C366" s="5">
        <f>pima_data!A366/$B366</f>
        <v>0.033354650801757</v>
      </c>
      <c r="D366" s="5">
        <f>pima_data!B366/$B366</f>
        <v>0.660422085874788</v>
      </c>
      <c r="E366" s="5">
        <f>pima_data!C366/$B366</f>
        <v>0.360230228658975</v>
      </c>
      <c r="F366" s="5">
        <f>pima_data!D366/$B366</f>
        <v>0.186786044489839</v>
      </c>
      <c r="G366" s="5">
        <f>pima_data!E366/$B366</f>
        <v>0.553687203309165</v>
      </c>
      <c r="H366" s="5">
        <f>pima_data!F366/$B366</f>
        <v>0.226811625451947</v>
      </c>
      <c r="I366" s="5">
        <f>pima_data!G366/$B366</f>
        <v>0.00332879415001534</v>
      </c>
      <c r="J366" s="5">
        <f>pima_data!H366/$B366</f>
        <v>0.200127904810542</v>
      </c>
    </row>
    <row r="367" spans="1:10">
      <c r="A367" s="4" cm="1">
        <f t="array" ref="A367">SUM(POWER(pima_data!A367:H367,2))</f>
        <v>22198.895424</v>
      </c>
      <c r="B367" s="4">
        <f t="shared" si="5"/>
        <v>148.992937497051</v>
      </c>
      <c r="C367" s="5">
        <f>pima_data!A367/$B367</f>
        <v>0.0402703651649178</v>
      </c>
      <c r="D367" s="5">
        <f>pima_data!B367/$B367</f>
        <v>0.832254213408301</v>
      </c>
      <c r="E367" s="5">
        <f>pima_data!C367/$B367</f>
        <v>0.483244381979014</v>
      </c>
      <c r="F367" s="5">
        <f>pima_data!D367/$B367</f>
        <v>0</v>
      </c>
      <c r="G367" s="5">
        <f>pima_data!E367/$B367</f>
        <v>0</v>
      </c>
      <c r="H367" s="5">
        <f>pima_data!F367/$B367</f>
        <v>0.185243679758622</v>
      </c>
      <c r="I367" s="5">
        <f>pima_data!G367/$B367</f>
        <v>0.00246991573011496</v>
      </c>
      <c r="J367" s="5">
        <f>pima_data!H367/$B367</f>
        <v>0.194640098297103</v>
      </c>
    </row>
    <row r="368" spans="1:10">
      <c r="A368" s="4" cm="1">
        <f t="array" ref="A368">SUM(POWER(pima_data!A368:H368,2))</f>
        <v>15468.063504</v>
      </c>
      <c r="B368" s="4">
        <f t="shared" si="5"/>
        <v>124.370669789947</v>
      </c>
      <c r="C368" s="5">
        <f>pima_data!A368/$B368</f>
        <v>0</v>
      </c>
      <c r="D368" s="5">
        <f>pima_data!B368/$B368</f>
        <v>0.812088574987831</v>
      </c>
      <c r="E368" s="5">
        <f>pima_data!C368/$B368</f>
        <v>0.514590780190309</v>
      </c>
      <c r="F368" s="5">
        <f>pima_data!D368/$B368</f>
        <v>0.136688175988051</v>
      </c>
      <c r="G368" s="5">
        <f>pima_data!E368/$B368</f>
        <v>0</v>
      </c>
      <c r="H368" s="5">
        <f>pima_data!F368/$B368</f>
        <v>0.168850099749945</v>
      </c>
      <c r="I368" s="5">
        <f>pima_data!G368/$B368</f>
        <v>0.00202620119699934</v>
      </c>
      <c r="J368" s="5">
        <f>pima_data!H368/$B368</f>
        <v>0.168850099749945</v>
      </c>
    </row>
    <row r="369" spans="1:10">
      <c r="A369" s="4" cm="1">
        <f t="array" ref="A369">SUM(POWER(pima_data!A369:H369,2))</f>
        <v>19818.343636</v>
      </c>
      <c r="B369" s="4">
        <f t="shared" si="5"/>
        <v>140.777638977218</v>
      </c>
      <c r="C369" s="5">
        <f>pima_data!A369/$B369</f>
        <v>0.0213102025420776</v>
      </c>
      <c r="D369" s="5">
        <f>pima_data!B369/$B369</f>
        <v>0.575375468636095</v>
      </c>
      <c r="E369" s="5">
        <f>pima_data!C369/$B369</f>
        <v>0.610892472872891</v>
      </c>
      <c r="F369" s="5">
        <f>pima_data!D369/$B369</f>
        <v>0.113654413557747</v>
      </c>
      <c r="G369" s="5">
        <f>pima_data!E369/$B369</f>
        <v>0.468824455925707</v>
      </c>
      <c r="H369" s="5">
        <f>pima_data!F369/$B369</f>
        <v>0.195343523302378</v>
      </c>
      <c r="I369" s="5">
        <f>pima_data!G369/$B369</f>
        <v>0.00217364065929192</v>
      </c>
      <c r="J369" s="5">
        <f>pima_data!H369/$B369</f>
        <v>0.156274818641902</v>
      </c>
    </row>
    <row r="370" spans="1:10">
      <c r="A370" s="4" cm="1">
        <f t="array" ref="A370">SUM(POWER(pima_data!A370:H370,2))</f>
        <v>51578.894756</v>
      </c>
      <c r="B370" s="4">
        <f t="shared" si="5"/>
        <v>227.109873752772</v>
      </c>
      <c r="C370" s="5">
        <f>pima_data!A370/$B370</f>
        <v>0.00440315510495411</v>
      </c>
      <c r="D370" s="5">
        <f>pima_data!B370/$B370</f>
        <v>0.585619628958896</v>
      </c>
      <c r="E370" s="5">
        <f>pima_data!C370/$B370</f>
        <v>0.449121820705319</v>
      </c>
      <c r="F370" s="5">
        <f>pima_data!D370/$B370</f>
        <v>0.123288342938715</v>
      </c>
      <c r="G370" s="5">
        <f>pima_data!E370/$B370</f>
        <v>0.616441714693575</v>
      </c>
      <c r="H370" s="5">
        <f>pima_data!F370/$B370</f>
        <v>0.144423487442495</v>
      </c>
      <c r="I370" s="5">
        <f>pima_data!G370/$B370</f>
        <v>0.00103033829455926</v>
      </c>
      <c r="J370" s="5">
        <f>pima_data!H370/$B370</f>
        <v>0.198141979722935</v>
      </c>
    </row>
    <row r="371" spans="1:10">
      <c r="A371" s="4" cm="1">
        <f t="array" ref="A371">SUM(POWER(pima_data!A371:H371,2))</f>
        <v>257295.126769</v>
      </c>
      <c r="B371" s="4">
        <f t="shared" si="5"/>
        <v>507.242670493128</v>
      </c>
      <c r="C371" s="5">
        <f>pima_data!A371/$B371</f>
        <v>0.005914328928762</v>
      </c>
      <c r="D371" s="5">
        <f>pima_data!B371/$B371</f>
        <v>0.341059634891942</v>
      </c>
      <c r="E371" s="5">
        <f>pima_data!C371/$B371</f>
        <v>0.161658324052828</v>
      </c>
      <c r="F371" s="5">
        <f>pima_data!D371/$B371</f>
        <v>0.0946292628601921</v>
      </c>
      <c r="G371" s="5">
        <f>pima_data!E371/$B371</f>
        <v>0.916720983958111</v>
      </c>
      <c r="H371" s="5">
        <f>pima_data!F371/$B371</f>
        <v>0.0757034102881537</v>
      </c>
      <c r="I371" s="5">
        <f>pima_data!G371/$B371</f>
        <v>0.0042129736402548</v>
      </c>
      <c r="J371" s="5">
        <f>pima_data!H371/$B371</f>
        <v>0.04928607440635</v>
      </c>
    </row>
    <row r="372" spans="1:10">
      <c r="A372" s="4" cm="1">
        <f t="array" ref="A372">SUM(POWER(pima_data!A372:H372,2))</f>
        <v>26913.996361</v>
      </c>
      <c r="B372" s="4">
        <f t="shared" si="5"/>
        <v>164.054857779342</v>
      </c>
      <c r="C372" s="5">
        <f>pima_data!A372/$B372</f>
        <v>0</v>
      </c>
      <c r="D372" s="5">
        <f>pima_data!B372/$B372</f>
        <v>0.719271599739602</v>
      </c>
      <c r="E372" s="5">
        <f>pima_data!C372/$B372</f>
        <v>0.390113410028259</v>
      </c>
      <c r="F372" s="5">
        <f>pima_data!D372/$B372</f>
        <v>0.140197006728906</v>
      </c>
      <c r="G372" s="5">
        <f>pima_data!E372/$B372</f>
        <v>0.542501460820548</v>
      </c>
      <c r="H372" s="5">
        <f>pima_data!F372/$B372</f>
        <v>0</v>
      </c>
      <c r="I372" s="5">
        <f>pima_data!G372/$B372</f>
        <v>0.0105513486368581</v>
      </c>
      <c r="J372" s="5">
        <f>pima_data!H372/$B372</f>
        <v>0.128005962665522</v>
      </c>
    </row>
    <row r="373" spans="1:10">
      <c r="A373" s="4" cm="1">
        <f t="array" ref="A373">SUM(POWER(pima_data!A373:H373,2))</f>
        <v>17714.937025</v>
      </c>
      <c r="B373" s="4">
        <f t="shared" si="5"/>
        <v>133.0974718956</v>
      </c>
      <c r="C373" s="5">
        <f>pima_data!A373/$B373</f>
        <v>0</v>
      </c>
      <c r="D373" s="5">
        <f>pima_data!B373/$B373</f>
        <v>0.631116420196836</v>
      </c>
      <c r="E373" s="5">
        <f>pima_data!C373/$B373</f>
        <v>0.480850605864256</v>
      </c>
      <c r="F373" s="5">
        <f>pima_data!D373/$B373</f>
        <v>0.165292395765838</v>
      </c>
      <c r="G373" s="5">
        <f>pima_data!E373/$B373</f>
        <v>0.495877187297514</v>
      </c>
      <c r="H373" s="5">
        <f>pima_data!F373/$B373</f>
        <v>0.268975807655318</v>
      </c>
      <c r="I373" s="5">
        <f>pima_data!G373/$B373</f>
        <v>0.00409474344056281</v>
      </c>
      <c r="J373" s="5">
        <f>pima_data!H373/$B373</f>
        <v>0.157779105049209</v>
      </c>
    </row>
    <row r="374" spans="1:10">
      <c r="A374" s="4" cm="1">
        <f t="array" ref="A374">SUM(POWER(pima_data!A374:H374,2))</f>
        <v>26672.060625</v>
      </c>
      <c r="B374" s="4">
        <f t="shared" si="5"/>
        <v>163.315830907478</v>
      </c>
      <c r="C374" s="5">
        <f>pima_data!A374/$B374</f>
        <v>0.0122462102350203</v>
      </c>
      <c r="D374" s="5">
        <f>pima_data!B374/$B374</f>
        <v>0.642926037338565</v>
      </c>
      <c r="E374" s="5">
        <f>pima_data!C374/$B374</f>
        <v>0.355140096815588</v>
      </c>
      <c r="F374" s="5">
        <f>pima_data!D374/$B374</f>
        <v>0.244924204700406</v>
      </c>
      <c r="G374" s="5">
        <f>pima_data!E374/$B374</f>
        <v>0.575571881045953</v>
      </c>
      <c r="H374" s="5">
        <f>pima_data!F374/$B374</f>
        <v>0.213696368601104</v>
      </c>
      <c r="I374" s="5">
        <f>pima_data!G374/$B374</f>
        <v>0.00137769865143978</v>
      </c>
      <c r="J374" s="5">
        <f>pima_data!H374/$B374</f>
        <v>0.153077627937753</v>
      </c>
    </row>
    <row r="375" spans="1:10">
      <c r="A375" s="4" cm="1">
        <f t="array" ref="A375">SUM(POWER(pima_data!A375:H375,2))</f>
        <v>46500.105856</v>
      </c>
      <c r="B375" s="4">
        <f t="shared" si="5"/>
        <v>215.638831976061</v>
      </c>
      <c r="C375" s="5">
        <f>pima_data!A375/$B375</f>
        <v>0.00927476735833009</v>
      </c>
      <c r="D375" s="5">
        <f>pima_data!B375/$B375</f>
        <v>0.565760808858135</v>
      </c>
      <c r="E375" s="5">
        <f>pima_data!C375/$B375</f>
        <v>0.241143951316582</v>
      </c>
      <c r="F375" s="5">
        <f>pima_data!D375/$B375</f>
        <v>0.199407498204097</v>
      </c>
      <c r="G375" s="5">
        <f>pima_data!E375/$B375</f>
        <v>0.732706621308077</v>
      </c>
      <c r="H375" s="5">
        <f>pima_data!F375/$B375</f>
        <v>0.167873289185775</v>
      </c>
      <c r="I375" s="5">
        <f>pima_data!G375/$B375</f>
        <v>0.00378410508219868</v>
      </c>
      <c r="J375" s="5">
        <f>pima_data!H375/$B375</f>
        <v>0.129846743016621</v>
      </c>
    </row>
    <row r="376" spans="1:10">
      <c r="A376" s="4" cm="1">
        <f t="array" ref="A376">SUM(POWER(pima_data!A376:H376,2))</f>
        <v>138842.918784</v>
      </c>
      <c r="B376" s="4">
        <f t="shared" si="5"/>
        <v>372.61631577804</v>
      </c>
      <c r="C376" s="5">
        <f>pima_data!A376/$B376</f>
        <v>0.0322047089509311</v>
      </c>
      <c r="D376" s="5">
        <f>pima_data!B376/$B376</f>
        <v>0.375721604427529</v>
      </c>
      <c r="E376" s="5">
        <f>pima_data!C376/$B376</f>
        <v>0.220065511164696</v>
      </c>
      <c r="F376" s="5">
        <f>pima_data!D376/$B376</f>
        <v>0.11540020707417</v>
      </c>
      <c r="G376" s="5">
        <f>pima_data!E376/$B376</f>
        <v>0.87221086742105</v>
      </c>
      <c r="H376" s="5">
        <f>pima_data!F376/$B376</f>
        <v>0.105202049239708</v>
      </c>
      <c r="I376" s="5">
        <f>pima_data!G376/$B376</f>
        <v>0.00141700719384097</v>
      </c>
      <c r="J376" s="5">
        <f>pima_data!H376/$B376</f>
        <v>0.155656093262833</v>
      </c>
    </row>
    <row r="377" spans="1:10">
      <c r="A377" s="4" cm="1">
        <f t="array" ref="A377">SUM(POWER(pima_data!A377:H377,2))</f>
        <v>24728.129401</v>
      </c>
      <c r="B377" s="4">
        <f t="shared" si="5"/>
        <v>157.251802536569</v>
      </c>
      <c r="C377" s="5">
        <f>pima_data!A377/$B377</f>
        <v>0</v>
      </c>
      <c r="D377" s="5">
        <f>pima_data!B377/$B377</f>
        <v>0.623204303029914</v>
      </c>
      <c r="E377" s="5">
        <f>pima_data!C377/$B377</f>
        <v>0.521456661718908</v>
      </c>
      <c r="F377" s="5">
        <f>pima_data!D377/$B377</f>
        <v>0.0953884137290685</v>
      </c>
      <c r="G377" s="5">
        <f>pima_data!E377/$B377</f>
        <v>0.534175116882784</v>
      </c>
      <c r="H377" s="5">
        <f>pima_data!F377/$B377</f>
        <v>0.160252535064835</v>
      </c>
      <c r="I377" s="5">
        <f>pima_data!G377/$B377</f>
        <v>0.00190140904699943</v>
      </c>
      <c r="J377" s="5">
        <f>pima_data!H377/$B377</f>
        <v>0.139903006802634</v>
      </c>
    </row>
    <row r="378" spans="1:10">
      <c r="A378" s="4" cm="1">
        <f t="array" ref="A378">SUM(POWER(pima_data!A378:H378,2))</f>
        <v>20032.099081</v>
      </c>
      <c r="B378" s="4">
        <f t="shared" si="5"/>
        <v>141.534798127528</v>
      </c>
      <c r="C378" s="5">
        <f>pima_data!A378/$B378</f>
        <v>0.00706540026360843</v>
      </c>
      <c r="D378" s="5">
        <f>pima_data!B378/$B378</f>
        <v>0.614689822933934</v>
      </c>
      <c r="E378" s="5">
        <f>pima_data!C378/$B378</f>
        <v>0.423924015816506</v>
      </c>
      <c r="F378" s="5">
        <f>pima_data!D378/$B378</f>
        <v>0.261419809753512</v>
      </c>
      <c r="G378" s="5">
        <f>pima_data!E378/$B378</f>
        <v>0.529905019770632</v>
      </c>
      <c r="H378" s="5">
        <f>pima_data!F378/$B378</f>
        <v>0.262832889806234</v>
      </c>
      <c r="I378" s="5">
        <f>pima_data!G378/$B378</f>
        <v>0.00359628873417669</v>
      </c>
      <c r="J378" s="5">
        <f>pima_data!H378/$B378</f>
        <v>0.155438805799386</v>
      </c>
    </row>
    <row r="379" spans="1:10">
      <c r="A379" s="4" cm="1">
        <f t="array" ref="A379">SUM(POWER(pima_data!A379:H379,2))</f>
        <v>33333.946644</v>
      </c>
      <c r="B379" s="4">
        <f t="shared" si="5"/>
        <v>182.575865447764</v>
      </c>
      <c r="C379" s="5">
        <f>pima_data!A379/$B379</f>
        <v>0.0219087007485358</v>
      </c>
      <c r="D379" s="5">
        <f>pima_data!B379/$B379</f>
        <v>0.854439329192897</v>
      </c>
      <c r="E379" s="5">
        <f>pima_data!C379/$B379</f>
        <v>0.410788139035047</v>
      </c>
      <c r="F379" s="5">
        <f>pima_data!D379/$B379</f>
        <v>0</v>
      </c>
      <c r="G379" s="5">
        <f>pima_data!E379/$B379</f>
        <v>0</v>
      </c>
      <c r="H379" s="5">
        <f>pima_data!F379/$B379</f>
        <v>0.26454756153857</v>
      </c>
      <c r="I379" s="5">
        <f>pima_data!G379/$B379</f>
        <v>0.00130356769453788</v>
      </c>
      <c r="J379" s="5">
        <f>pima_data!H379/$B379</f>
        <v>0.175269605988287</v>
      </c>
    </row>
    <row r="380" spans="1:10">
      <c r="A380" s="4" cm="1">
        <f t="array" ref="A380">SUM(POWER(pima_data!A380:H380,2))</f>
        <v>28463.602441</v>
      </c>
      <c r="B380" s="4">
        <f t="shared" si="5"/>
        <v>168.711595455084</v>
      </c>
      <c r="C380" s="5">
        <f>pima_data!A380/$B380</f>
        <v>0</v>
      </c>
      <c r="D380" s="5">
        <f>pima_data!B380/$B380</f>
        <v>0.551236562899787</v>
      </c>
      <c r="E380" s="5">
        <f>pima_data!C380/$B380</f>
        <v>0.592727486989018</v>
      </c>
      <c r="F380" s="5">
        <f>pima_data!D380/$B380</f>
        <v>0.231163719925717</v>
      </c>
      <c r="G380" s="5">
        <f>pima_data!E380/$B380</f>
        <v>0.426763790632093</v>
      </c>
      <c r="H380" s="5">
        <f>pima_data!F380/$B380</f>
        <v>0.257243729353234</v>
      </c>
      <c r="I380" s="5">
        <f>pima_data!G380/$B380</f>
        <v>0.00605174764215788</v>
      </c>
      <c r="J380" s="5">
        <f>pima_data!H380/$B380</f>
        <v>0.207454620446156</v>
      </c>
    </row>
    <row r="381" spans="1:10">
      <c r="A381" s="4" cm="1">
        <f t="array" ref="A381">SUM(POWER(pima_data!A381:H381,2))</f>
        <v>25783.314041</v>
      </c>
      <c r="B381" s="4">
        <f t="shared" si="5"/>
        <v>160.571834519632</v>
      </c>
      <c r="C381" s="5">
        <f>pima_data!A381/$B381</f>
        <v>0.00622774226246845</v>
      </c>
      <c r="D381" s="5">
        <f>pima_data!B381/$B381</f>
        <v>0.666368422084124</v>
      </c>
      <c r="E381" s="5">
        <f>pima_data!C381/$B381</f>
        <v>0.448397442897728</v>
      </c>
      <c r="F381" s="5">
        <f>pima_data!D381/$B381</f>
        <v>0.186832267874053</v>
      </c>
      <c r="G381" s="5">
        <f>pima_data!E381/$B381</f>
        <v>0.510674865522412</v>
      </c>
      <c r="H381" s="5">
        <f>pima_data!F381/$B381</f>
        <v>0.191814461684028</v>
      </c>
      <c r="I381" s="5">
        <f>pima_data!G381/$B381</f>
        <v>0.00511297639748659</v>
      </c>
      <c r="J381" s="5">
        <f>pima_data!H381/$B381</f>
        <v>0.149465814299243</v>
      </c>
    </row>
    <row r="382" spans="1:10">
      <c r="A382" s="4" cm="1">
        <f t="array" ref="A382">SUM(POWER(pima_data!A382:H382,2))</f>
        <v>17017.055696</v>
      </c>
      <c r="B382" s="4">
        <f t="shared" si="5"/>
        <v>130.449437315766</v>
      </c>
      <c r="C382" s="5">
        <f>pima_data!A382/$B382</f>
        <v>0</v>
      </c>
      <c r="D382" s="5">
        <f>pima_data!B382/$B382</f>
        <v>0.804909566193351</v>
      </c>
      <c r="E382" s="5">
        <f>pima_data!C382/$B382</f>
        <v>0.521274766677598</v>
      </c>
      <c r="F382" s="5">
        <f>pima_data!D382/$B382</f>
        <v>0.168647718630988</v>
      </c>
      <c r="G382" s="5">
        <f>pima_data!E382/$B382</f>
        <v>0</v>
      </c>
      <c r="H382" s="5">
        <f>pima_data!F382/$B382</f>
        <v>0.153316107846352</v>
      </c>
      <c r="I382" s="5">
        <f>pima_data!G382/$B382</f>
        <v>0.00180913007258696</v>
      </c>
      <c r="J382" s="5">
        <f>pima_data!H382/$B382</f>
        <v>0.168647718630988</v>
      </c>
    </row>
    <row r="383" spans="1:10">
      <c r="A383" s="4" cm="1">
        <f t="array" ref="A383">SUM(POWER(pima_data!A383:H383,2))</f>
        <v>49757.056809</v>
      </c>
      <c r="B383" s="4">
        <f t="shared" si="5"/>
        <v>223.062898772969</v>
      </c>
      <c r="C383" s="5">
        <f>pima_data!A383/$B383</f>
        <v>0.00448304045854702</v>
      </c>
      <c r="D383" s="5">
        <f>pima_data!B383/$B383</f>
        <v>0.488651409981625</v>
      </c>
      <c r="E383" s="5">
        <f>pima_data!C383/$B383</f>
        <v>0.268982427512821</v>
      </c>
      <c r="F383" s="5">
        <f>pima_data!D383/$B383</f>
        <v>0.0358643236683761</v>
      </c>
      <c r="G383" s="5">
        <f>pima_data!E383/$B383</f>
        <v>0.815913363455557</v>
      </c>
      <c r="H383" s="5">
        <f>pima_data!F383/$B383</f>
        <v>0.113869227647094</v>
      </c>
      <c r="I383" s="5">
        <f>pima_data!G383/$B383</f>
        <v>0.00424543931424403</v>
      </c>
      <c r="J383" s="5">
        <f>pima_data!H383/$B383</f>
        <v>0.0941438496294874</v>
      </c>
    </row>
    <row r="384" spans="1:10">
      <c r="A384" s="4" cm="1">
        <f t="array" ref="A384">SUM(POWER(pima_data!A384:H384,2))</f>
        <v>17006.617824</v>
      </c>
      <c r="B384" s="4">
        <f t="shared" si="5"/>
        <v>130.409423831255</v>
      </c>
      <c r="C384" s="5">
        <f>pima_data!A384/$B384</f>
        <v>0.00766815748909343</v>
      </c>
      <c r="D384" s="5">
        <f>pima_data!B384/$B384</f>
        <v>0.690134174018408</v>
      </c>
      <c r="E384" s="5">
        <f>pima_data!C384/$B384</f>
        <v>0.475425764323793</v>
      </c>
      <c r="F384" s="5">
        <f>pima_data!D384/$B384</f>
        <v>0.138026834803682</v>
      </c>
      <c r="G384" s="5">
        <f>pima_data!E384/$B384</f>
        <v>0.452421291856512</v>
      </c>
      <c r="H384" s="5">
        <f>pima_data!F384/$B384</f>
        <v>0.192470752976245</v>
      </c>
      <c r="I384" s="5">
        <f>pima_data!G384/$B384</f>
        <v>0.00972322369617047</v>
      </c>
      <c r="J384" s="5">
        <f>pima_data!H384/$B384</f>
        <v>0.191703937227336</v>
      </c>
    </row>
    <row r="385" spans="1:10">
      <c r="A385" s="4" cm="1">
        <f t="array" ref="A385">SUM(POWER(pima_data!A385:H385,2))</f>
        <v>34417.538841</v>
      </c>
      <c r="B385" s="4">
        <f t="shared" ref="B385:B448" si="6">A385^0.5</f>
        <v>185.519645431421</v>
      </c>
      <c r="C385" s="5">
        <f>pima_data!A385/$B385</f>
        <v>0.00539026472196262</v>
      </c>
      <c r="D385" s="5">
        <f>pima_data!B385/$B385</f>
        <v>0.673783090245328</v>
      </c>
      <c r="E385" s="5">
        <f>pima_data!C385/$B385</f>
        <v>0.377318530537383</v>
      </c>
      <c r="F385" s="5">
        <f>pima_data!D385/$B385</f>
        <v>0.129366353327103</v>
      </c>
      <c r="G385" s="5">
        <f>pima_data!E385/$B385</f>
        <v>0.592929119415888</v>
      </c>
      <c r="H385" s="5">
        <f>pima_data!F385/$B385</f>
        <v>0.130983432743692</v>
      </c>
      <c r="I385" s="5">
        <f>pima_data!G385/$B385</f>
        <v>0.00119124850355374</v>
      </c>
      <c r="J385" s="5">
        <f>pima_data!H385/$B385</f>
        <v>0.134756618049066</v>
      </c>
    </row>
    <row r="386" spans="1:10">
      <c r="A386" s="4" cm="1">
        <f t="array" ref="A386">SUM(POWER(pima_data!A386:H386,2))</f>
        <v>20820.332025</v>
      </c>
      <c r="B386" s="4">
        <f t="shared" si="6"/>
        <v>144.292522415404</v>
      </c>
      <c r="C386" s="5">
        <f>pima_data!A386/$B386</f>
        <v>0.00693036605958759</v>
      </c>
      <c r="D386" s="5">
        <f>pima_data!B386/$B386</f>
        <v>0.824713561090923</v>
      </c>
      <c r="E386" s="5">
        <f>pima_data!C386/$B386</f>
        <v>0.37423976721773</v>
      </c>
      <c r="F386" s="5">
        <f>pima_data!D386/$B386</f>
        <v>0.0900947587746386</v>
      </c>
      <c r="G386" s="5">
        <f>pima_data!E386/$B386</f>
        <v>0.346518302979379</v>
      </c>
      <c r="H386" s="5">
        <f>pima_data!F386/$B386</f>
        <v>0.154547163128803</v>
      </c>
      <c r="I386" s="5">
        <f>pima_data!G386/$B386</f>
        <v>0.00142072504221545</v>
      </c>
      <c r="J386" s="5">
        <f>pima_data!H386/$B386</f>
        <v>0.166328785430102</v>
      </c>
    </row>
    <row r="387" spans="1:10">
      <c r="A387" s="4" cm="1">
        <f t="array" ref="A387">SUM(POWER(pima_data!A387:H387,2))</f>
        <v>22066.7256</v>
      </c>
      <c r="B387" s="4">
        <f t="shared" si="6"/>
        <v>148.548731398151</v>
      </c>
      <c r="C387" s="5">
        <f>pima_data!A387/$B387</f>
        <v>0.0336589882184766</v>
      </c>
      <c r="D387" s="5">
        <f>pima_data!B387/$B387</f>
        <v>0.780888526668656</v>
      </c>
      <c r="E387" s="5">
        <f>pima_data!C387/$B387</f>
        <v>0.498153025633453</v>
      </c>
      <c r="F387" s="5">
        <f>pima_data!D387/$B387</f>
        <v>0.195222131667164</v>
      </c>
      <c r="G387" s="5">
        <f>pima_data!E387/$B387</f>
        <v>0</v>
      </c>
      <c r="H387" s="5">
        <f>pima_data!F387/$B387</f>
        <v>0.217437063891358</v>
      </c>
      <c r="I387" s="5">
        <f>pima_data!G387/$B387</f>
        <v>0.0044429864448389</v>
      </c>
      <c r="J387" s="5">
        <f>pima_data!H387/$B387</f>
        <v>0.235612917529336</v>
      </c>
    </row>
    <row r="388" spans="1:10">
      <c r="A388" s="4" cm="1">
        <f t="array" ref="A388">SUM(POWER(pima_data!A388:H388,2))</f>
        <v>26284.947121</v>
      </c>
      <c r="B388" s="4">
        <f t="shared" si="6"/>
        <v>162.126330745502</v>
      </c>
      <c r="C388" s="5">
        <f>pima_data!A388/$B388</f>
        <v>0.0493442364556933</v>
      </c>
      <c r="D388" s="5">
        <f>pima_data!B388/$B388</f>
        <v>0.647643103480974</v>
      </c>
      <c r="E388" s="5">
        <f>pima_data!C388/$B388</f>
        <v>0.616802955696166</v>
      </c>
      <c r="F388" s="5">
        <f>pima_data!D388/$B388</f>
        <v>0.22204906405062</v>
      </c>
      <c r="G388" s="5">
        <f>pima_data!E388/$B388</f>
        <v>0</v>
      </c>
      <c r="H388" s="5">
        <f>pima_data!F388/$B388</f>
        <v>0.26707567981644</v>
      </c>
      <c r="I388" s="5">
        <f>pima_data!G388/$B388</f>
        <v>0.00147415906411384</v>
      </c>
      <c r="J388" s="5">
        <f>pima_data!H388/$B388</f>
        <v>0.277561330063275</v>
      </c>
    </row>
    <row r="389" spans="1:10">
      <c r="A389" s="4" cm="1">
        <f t="array" ref="A389">SUM(POWER(pima_data!A389:H389,2))</f>
        <v>113774.204304</v>
      </c>
      <c r="B389" s="4">
        <f t="shared" si="6"/>
        <v>337.304320019771</v>
      </c>
      <c r="C389" s="5">
        <f>pima_data!A389/$B389</f>
        <v>0.0148234093168653</v>
      </c>
      <c r="D389" s="5">
        <f>pima_data!B389/$B389</f>
        <v>0.426914188325722</v>
      </c>
      <c r="E389" s="5">
        <f>pima_data!C389/$B389</f>
        <v>0.243103912796592</v>
      </c>
      <c r="F389" s="5">
        <f>pima_data!D389/$B389</f>
        <v>0.0770817284476998</v>
      </c>
      <c r="G389" s="5">
        <f>pima_data!E389/$B389</f>
        <v>0.844934331061325</v>
      </c>
      <c r="H389" s="5">
        <f>pima_data!F389/$B389</f>
        <v>0.0948698196279382</v>
      </c>
      <c r="I389" s="5">
        <f>pima_data!G389/$B389</f>
        <v>0.00134003620224463</v>
      </c>
      <c r="J389" s="5">
        <f>pima_data!H389/$B389</f>
        <v>0.171951548075638</v>
      </c>
    </row>
    <row r="390" spans="1:10">
      <c r="A390" s="4" cm="1">
        <f t="array" ref="A390">SUM(POWER(pima_data!A390:H390,2))</f>
        <v>23506.460601</v>
      </c>
      <c r="B390" s="4">
        <f t="shared" si="6"/>
        <v>153.318167876478</v>
      </c>
      <c r="C390" s="5">
        <f>pima_data!A390/$B390</f>
        <v>0.0195671526835422</v>
      </c>
      <c r="D390" s="5">
        <f>pima_data!B390/$B390</f>
        <v>0.652238422784739</v>
      </c>
      <c r="E390" s="5">
        <f>pima_data!C390/$B390</f>
        <v>0.443522127493622</v>
      </c>
      <c r="F390" s="5">
        <f>pima_data!D390/$B390</f>
        <v>0.15001483724049</v>
      </c>
      <c r="G390" s="5">
        <f>pima_data!E390/$B390</f>
        <v>0.528313122455638</v>
      </c>
      <c r="H390" s="5">
        <f>pima_data!F390/$B390</f>
        <v>0.206107341599977</v>
      </c>
      <c r="I390" s="5">
        <f>pima_data!G390/$B390</f>
        <v>0.00618974263222717</v>
      </c>
      <c r="J390" s="5">
        <f>pima_data!H390/$B390</f>
        <v>0.182626758379727</v>
      </c>
    </row>
    <row r="391" spans="1:10">
      <c r="A391" s="4" cm="1">
        <f t="array" ref="A391">SUM(POWER(pima_data!A391:H391,2))</f>
        <v>56402.197136</v>
      </c>
      <c r="B391" s="4">
        <f t="shared" si="6"/>
        <v>237.491467501466</v>
      </c>
      <c r="C391" s="5">
        <f>pima_data!A391/$B391</f>
        <v>0.00421067758989626</v>
      </c>
      <c r="D391" s="5">
        <f>pima_data!B391/$B391</f>
        <v>0.421067758989626</v>
      </c>
      <c r="E391" s="5">
        <f>pima_data!C391/$B391</f>
        <v>0.277904720933153</v>
      </c>
      <c r="F391" s="5">
        <f>pima_data!D391/$B391</f>
        <v>0.122109650106992</v>
      </c>
      <c r="G391" s="5">
        <f>pima_data!E391/$B391</f>
        <v>0.825292807619667</v>
      </c>
      <c r="H391" s="5">
        <f>pima_data!F391/$B391</f>
        <v>0.13474168287668</v>
      </c>
      <c r="I391" s="5">
        <f>pima_data!G391/$B391</f>
        <v>0.00186954084991394</v>
      </c>
      <c r="J391" s="5">
        <f>pima_data!H391/$B391</f>
        <v>0.176848458775643</v>
      </c>
    </row>
    <row r="392" spans="1:10">
      <c r="A392" s="4" cm="1">
        <f t="array" ref="A392">SUM(POWER(pima_data!A392:H392,2))</f>
        <v>36174.6056</v>
      </c>
      <c r="B392" s="4">
        <f t="shared" si="6"/>
        <v>190.196229195008</v>
      </c>
      <c r="C392" s="5">
        <f>pima_data!A392/$B392</f>
        <v>0.0262886389554732</v>
      </c>
      <c r="D392" s="5">
        <f>pima_data!B392/$B392</f>
        <v>0.872782813321711</v>
      </c>
      <c r="E392" s="5">
        <f>pima_data!C392/$B392</f>
        <v>0.399587312123193</v>
      </c>
      <c r="F392" s="5">
        <f>pima_data!D392/$B392</f>
        <v>0</v>
      </c>
      <c r="G392" s="5">
        <f>pima_data!E392/$B392</f>
        <v>0</v>
      </c>
      <c r="H392" s="5">
        <f>pima_data!F392/$B392</f>
        <v>0.240278160053025</v>
      </c>
      <c r="I392" s="5">
        <f>pima_data!G392/$B392</f>
        <v>0.00178762744897218</v>
      </c>
      <c r="J392" s="5">
        <f>pima_data!H392/$B392</f>
        <v>0.141958650359555</v>
      </c>
    </row>
    <row r="393" spans="1:10">
      <c r="A393" s="4" cm="1">
        <f t="array" ref="A393">SUM(POWER(pima_data!A393:H393,2))</f>
        <v>194681.841321</v>
      </c>
      <c r="B393" s="4">
        <f t="shared" si="6"/>
        <v>441.227652489052</v>
      </c>
      <c r="C393" s="5">
        <f>pima_data!A393/$B393</f>
        <v>0.00226640373593722</v>
      </c>
      <c r="D393" s="5">
        <f>pima_data!B393/$B393</f>
        <v>0.296898889407776</v>
      </c>
      <c r="E393" s="5">
        <f>pima_data!C393/$B393</f>
        <v>0.145049839099982</v>
      </c>
      <c r="F393" s="5">
        <f>pima_data!D393/$B393</f>
        <v>0.0317296523031212</v>
      </c>
      <c r="G393" s="5">
        <f>pima_data!E393/$B393</f>
        <v>0.940557550413948</v>
      </c>
      <c r="H393" s="5">
        <f>pima_data!F393/$B393</f>
        <v>0.0537137685417122</v>
      </c>
      <c r="I393" s="5">
        <f>pima_data!G393/$B393</f>
        <v>0.00088163105327958</v>
      </c>
      <c r="J393" s="5">
        <f>pima_data!H393/$B393</f>
        <v>0.0475944784546817</v>
      </c>
    </row>
    <row r="394" spans="1:10">
      <c r="A394" s="4" cm="1">
        <f t="array" ref="A394">SUM(POWER(pima_data!A394:H394,2))</f>
        <v>28226.624369</v>
      </c>
      <c r="B394" s="4">
        <f t="shared" si="6"/>
        <v>168.007810440467</v>
      </c>
      <c r="C394" s="5">
        <f>pima_data!A394/$B394</f>
        <v>0.0238084169391481</v>
      </c>
      <c r="D394" s="5">
        <f>pima_data!B394/$B394</f>
        <v>0.690444091235294</v>
      </c>
      <c r="E394" s="5">
        <f>pima_data!C394/$B394</f>
        <v>0.428551504904665</v>
      </c>
      <c r="F394" s="5">
        <f>pima_data!D394/$B394</f>
        <v>0.0714252508174442</v>
      </c>
      <c r="G394" s="5">
        <f>pima_data!E394/$B394</f>
        <v>0.51783306842647</v>
      </c>
      <c r="H394" s="5">
        <f>pima_data!F394/$B394</f>
        <v>0.131541503588793</v>
      </c>
      <c r="I394" s="5">
        <f>pima_data!G394/$B394</f>
        <v>0.00275582426070639</v>
      </c>
      <c r="J394" s="5">
        <f>pima_data!H394/$B394</f>
        <v>0.22022785668712</v>
      </c>
    </row>
    <row r="395" spans="1:10">
      <c r="A395" s="4" cm="1">
        <f t="array" ref="A395">SUM(POWER(pima_data!A395:H395,2))</f>
        <v>33108.054809</v>
      </c>
      <c r="B395" s="4">
        <f t="shared" si="6"/>
        <v>181.956189257195</v>
      </c>
      <c r="C395" s="5">
        <f>pima_data!A395/$B395</f>
        <v>0.0219833137654142</v>
      </c>
      <c r="D395" s="5">
        <f>pima_data!B395/$B395</f>
        <v>0.868340893733862</v>
      </c>
      <c r="E395" s="5">
        <f>pima_data!C395/$B395</f>
        <v>0.428674618425577</v>
      </c>
      <c r="F395" s="5">
        <f>pima_data!D395/$B395</f>
        <v>0</v>
      </c>
      <c r="G395" s="5">
        <f>pima_data!E395/$B395</f>
        <v>0</v>
      </c>
      <c r="H395" s="5">
        <f>pima_data!F395/$B395</f>
        <v>0.180812755720532</v>
      </c>
      <c r="I395" s="5">
        <f>pima_data!G395/$B395</f>
        <v>0.0044131502384069</v>
      </c>
      <c r="J395" s="5">
        <f>pima_data!H395/$B395</f>
        <v>0.17037068168196</v>
      </c>
    </row>
    <row r="396" spans="1:10">
      <c r="A396" s="4" cm="1">
        <f t="array" ref="A396">SUM(POWER(pima_data!A396:H396,2))</f>
        <v>97092.85</v>
      </c>
      <c r="B396" s="4">
        <f t="shared" si="6"/>
        <v>311.59725608548</v>
      </c>
      <c r="C396" s="5">
        <f>pima_data!A396/$B396</f>
        <v>0.00641854175844008</v>
      </c>
      <c r="D396" s="5">
        <f>pima_data!B396/$B396</f>
        <v>0.407577401660945</v>
      </c>
      <c r="E396" s="5">
        <f>pima_data!C396/$B396</f>
        <v>0.186137710994762</v>
      </c>
      <c r="F396" s="5">
        <f>pima_data!D396/$B396</f>
        <v>0.077022501101281</v>
      </c>
      <c r="G396" s="5">
        <f>pima_data!E396/$B396</f>
        <v>0.882549491785512</v>
      </c>
      <c r="H396" s="5">
        <f>pima_data!F396/$B396</f>
        <v>0.0888968033543952</v>
      </c>
      <c r="I396" s="5">
        <f>pima_data!G396/$B396</f>
        <v>0.00513483340675207</v>
      </c>
      <c r="J396" s="5">
        <f>pima_data!H396/$B396</f>
        <v>0.0802317719805011</v>
      </c>
    </row>
    <row r="397" spans="1:10">
      <c r="A397" s="4" cm="1">
        <f t="array" ref="A397">SUM(POWER(pima_data!A397:H397,2))</f>
        <v>28873.981136</v>
      </c>
      <c r="B397" s="4">
        <f t="shared" si="6"/>
        <v>169.92345669742</v>
      </c>
      <c r="C397" s="5">
        <f>pima_data!A397/$B397</f>
        <v>0.0176550080742652</v>
      </c>
      <c r="D397" s="5">
        <f>pima_data!B397/$B397</f>
        <v>0.564960258376486</v>
      </c>
      <c r="E397" s="5">
        <f>pima_data!C397/$B397</f>
        <v>0.329560150719617</v>
      </c>
      <c r="F397" s="5">
        <f>pima_data!D397/$B397</f>
        <v>0.200090091508339</v>
      </c>
      <c r="G397" s="5">
        <f>pima_data!E397/$B397</f>
        <v>0.676775309513498</v>
      </c>
      <c r="H397" s="5">
        <f>pima_data!F397/$B397</f>
        <v>0.145359566478117</v>
      </c>
      <c r="I397" s="5">
        <f>pima_data!G397/$B397</f>
        <v>0.00555544254070211</v>
      </c>
      <c r="J397" s="5">
        <f>pima_data!H397/$B397</f>
        <v>0.229515104965447</v>
      </c>
    </row>
    <row r="398" spans="1:10">
      <c r="A398" s="4" cm="1">
        <f t="array" ref="A398">SUM(POWER(pima_data!A398:H398,2))</f>
        <v>24777.528416</v>
      </c>
      <c r="B398" s="4">
        <f t="shared" si="6"/>
        <v>157.408793960185</v>
      </c>
      <c r="C398" s="5">
        <f>pima_data!A398/$B398</f>
        <v>0</v>
      </c>
      <c r="D398" s="5">
        <f>pima_data!B398/$B398</f>
        <v>0.832227963280978</v>
      </c>
      <c r="E398" s="5">
        <f>pima_data!C398/$B398</f>
        <v>0.419290424248432</v>
      </c>
      <c r="F398" s="5">
        <f>pima_data!D398/$B398</f>
        <v>0.254115408635413</v>
      </c>
      <c r="G398" s="5">
        <f>pima_data!E398/$B398</f>
        <v>0</v>
      </c>
      <c r="H398" s="5">
        <f>pima_data!F398/$B398</f>
        <v>0.217903962904867</v>
      </c>
      <c r="I398" s="5">
        <f>pima_data!G398/$B398</f>
        <v>0.00124516550231352</v>
      </c>
      <c r="J398" s="5">
        <f>pima_data!H398/$B398</f>
        <v>0.139763474749477</v>
      </c>
    </row>
    <row r="399" spans="1:10">
      <c r="A399" s="4" cm="1">
        <f t="array" ref="A399">SUM(POWER(pima_data!A399:H399,2))</f>
        <v>12703.361321</v>
      </c>
      <c r="B399" s="4">
        <f t="shared" si="6"/>
        <v>112.709189159536</v>
      </c>
      <c r="C399" s="5">
        <f>pima_data!A399/$B399</f>
        <v>0.0266171731193418</v>
      </c>
      <c r="D399" s="5">
        <f>pima_data!B399/$B399</f>
        <v>0.727536065262008</v>
      </c>
      <c r="E399" s="5">
        <f>pima_data!C399/$B399</f>
        <v>0.621067372784641</v>
      </c>
      <c r="F399" s="5">
        <f>pima_data!D399/$B399</f>
        <v>0</v>
      </c>
      <c r="G399" s="5">
        <f>pima_data!E399/$B399</f>
        <v>0</v>
      </c>
      <c r="H399" s="5">
        <f>pima_data!F399/$B399</f>
        <v>0.18720745093937</v>
      </c>
      <c r="I399" s="5">
        <f>pima_data!G399/$B399</f>
        <v>0.00345136011447465</v>
      </c>
      <c r="J399" s="5">
        <f>pima_data!H399/$B399</f>
        <v>0.221809775994515</v>
      </c>
    </row>
    <row r="400" spans="1:10">
      <c r="A400" s="4" cm="1">
        <f t="array" ref="A400">SUM(POWER(pima_data!A400:H400,2))</f>
        <v>44962.068081</v>
      </c>
      <c r="B400" s="4">
        <f t="shared" si="6"/>
        <v>212.042609116658</v>
      </c>
      <c r="C400" s="5">
        <f>pima_data!A400/$B400</f>
        <v>0.0141480998205861</v>
      </c>
      <c r="D400" s="5">
        <f>pima_data!B400/$B400</f>
        <v>0.910194421791038</v>
      </c>
      <c r="E400" s="5">
        <f>pima_data!C400/$B400</f>
        <v>0.330122329147009</v>
      </c>
      <c r="F400" s="5">
        <f>pima_data!D400/$B400</f>
        <v>0.14619703147939</v>
      </c>
      <c r="G400" s="5">
        <f>pima_data!E400/$B400</f>
        <v>0</v>
      </c>
      <c r="H400" s="5">
        <f>pima_data!F400/$B400</f>
        <v>0.164589561246151</v>
      </c>
      <c r="I400" s="5">
        <f>pima_data!G400/$B400</f>
        <v>0.00113656401892042</v>
      </c>
      <c r="J400" s="5">
        <f>pima_data!H400/$B400</f>
        <v>0.117900831838217</v>
      </c>
    </row>
    <row r="401" spans="1:10">
      <c r="A401" s="4" cm="1">
        <f t="array" ref="A401">SUM(POWER(pima_data!A401:H401,2))</f>
        <v>15122.025921</v>
      </c>
      <c r="B401" s="4">
        <f t="shared" si="6"/>
        <v>122.971646817468</v>
      </c>
      <c r="C401" s="5">
        <f>pima_data!A401/$B401</f>
        <v>0.0325278233114775</v>
      </c>
      <c r="D401" s="5">
        <f>pima_data!B401/$B401</f>
        <v>0.77253580364759</v>
      </c>
      <c r="E401" s="5">
        <f>pima_data!C401/$B401</f>
        <v>0.52044517298364</v>
      </c>
      <c r="F401" s="5">
        <f>pima_data!D401/$B401</f>
        <v>0</v>
      </c>
      <c r="G401" s="5">
        <f>pima_data!E401/$B401</f>
        <v>0</v>
      </c>
      <c r="H401" s="5">
        <f>pima_data!F401/$B401</f>
        <v>0.26022258649182</v>
      </c>
      <c r="I401" s="5">
        <f>pima_data!G401/$B401</f>
        <v>0.00130924488828697</v>
      </c>
      <c r="J401" s="5">
        <f>pima_data!H401/$B401</f>
        <v>0.25209063066395</v>
      </c>
    </row>
    <row r="402" spans="1:10">
      <c r="A402" s="4" cm="1">
        <f t="array" ref="A402">SUM(POWER(pima_data!A402:H402,2))</f>
        <v>26136.662801</v>
      </c>
      <c r="B402" s="4">
        <f t="shared" si="6"/>
        <v>161.668372915051</v>
      </c>
      <c r="C402" s="5">
        <f>pima_data!A402/$B402</f>
        <v>0.0371130103669239</v>
      </c>
      <c r="D402" s="5">
        <f>pima_data!B402/$B402</f>
        <v>0.847413736711428</v>
      </c>
      <c r="E402" s="5">
        <f>pima_data!C402/$B402</f>
        <v>0.377315605397059</v>
      </c>
      <c r="F402" s="5">
        <f>pima_data!D402/$B402</f>
        <v>0</v>
      </c>
      <c r="G402" s="5">
        <f>pima_data!E402/$B402</f>
        <v>0</v>
      </c>
      <c r="H402" s="5">
        <f>pima_data!F402/$B402</f>
        <v>0.14968914181326</v>
      </c>
      <c r="I402" s="5">
        <f>pima_data!G402/$B402</f>
        <v>0.000934010760900917</v>
      </c>
      <c r="J402" s="5">
        <f>pima_data!H402/$B402</f>
        <v>0.340202595030135</v>
      </c>
    </row>
    <row r="403" spans="1:10">
      <c r="A403" s="4" cm="1">
        <f t="array" ref="A403">SUM(POWER(pima_data!A403:H403,2))</f>
        <v>37452.081796</v>
      </c>
      <c r="B403" s="4">
        <f t="shared" si="6"/>
        <v>193.525403490084</v>
      </c>
      <c r="C403" s="5">
        <f>pima_data!A403/$B403</f>
        <v>0.0258364013707181</v>
      </c>
      <c r="D403" s="5">
        <f>pima_data!B403/$B403</f>
        <v>0.702750117283533</v>
      </c>
      <c r="E403" s="5">
        <f>pima_data!C403/$B403</f>
        <v>0.434051543028065</v>
      </c>
      <c r="F403" s="5">
        <f>pima_data!D403/$B403</f>
        <v>0.211858491239889</v>
      </c>
      <c r="G403" s="5">
        <f>pima_data!E403/$B403</f>
        <v>0.454720664124639</v>
      </c>
      <c r="H403" s="5">
        <f>pima_data!F403/$B403</f>
        <v>0.180854809595027</v>
      </c>
      <c r="I403" s="5">
        <f>pima_data!G403/$B403</f>
        <v>0.00147784215840508</v>
      </c>
      <c r="J403" s="5">
        <f>pima_data!H403/$B403</f>
        <v>0.180854809595027</v>
      </c>
    </row>
    <row r="404" spans="1:10">
      <c r="A404" s="4" cm="1">
        <f t="array" ref="A404">SUM(POWER(pima_data!A404:H404,2))</f>
        <v>14416.6384</v>
      </c>
      <c r="B404" s="4">
        <f t="shared" si="6"/>
        <v>120.06930665245</v>
      </c>
      <c r="C404" s="5">
        <f>pima_data!A404/$B404</f>
        <v>0.0749567083455493</v>
      </c>
      <c r="D404" s="5">
        <f>pima_data!B404/$B404</f>
        <v>0.599653666764395</v>
      </c>
      <c r="E404" s="5">
        <f>pima_data!C404/$B404</f>
        <v>0.649624805661428</v>
      </c>
      <c r="F404" s="5">
        <f>pima_data!D404/$B404</f>
        <v>0.208213078737637</v>
      </c>
      <c r="G404" s="5">
        <f>pima_data!E404/$B404</f>
        <v>0</v>
      </c>
      <c r="H404" s="5">
        <f>pima_data!F404/$B404</f>
        <v>0.263181331524373</v>
      </c>
      <c r="I404" s="5">
        <f>pima_data!G404/$B404</f>
        <v>0.00233198648186154</v>
      </c>
      <c r="J404" s="5">
        <f>pima_data!H404/$B404</f>
        <v>0.316483879681208</v>
      </c>
    </row>
    <row r="405" spans="1:10">
      <c r="A405" s="4" cm="1">
        <f t="array" ref="A405">SUM(POWER(pima_data!A405:H405,2))</f>
        <v>35108.428225</v>
      </c>
      <c r="B405" s="4">
        <f t="shared" si="6"/>
        <v>187.372431870326</v>
      </c>
      <c r="C405" s="5">
        <f>pima_data!A405/$B405</f>
        <v>0.0266848220418056</v>
      </c>
      <c r="D405" s="5">
        <f>pima_data!B405/$B405</f>
        <v>0.896610020604669</v>
      </c>
      <c r="E405" s="5">
        <f>pima_data!C405/$B405</f>
        <v>0.341565722135112</v>
      </c>
      <c r="F405" s="5">
        <f>pima_data!D405/$B405</f>
        <v>0</v>
      </c>
      <c r="G405" s="5">
        <f>pima_data!E405/$B405</f>
        <v>0</v>
      </c>
      <c r="H405" s="5">
        <f>pima_data!F405/$B405</f>
        <v>0.175586129035081</v>
      </c>
      <c r="I405" s="5">
        <f>pima_data!G405/$B405</f>
        <v>0.000720490195128752</v>
      </c>
      <c r="J405" s="5">
        <f>pima_data!H405/$B405</f>
        <v>0.218815540742806</v>
      </c>
    </row>
    <row r="406" spans="1:10">
      <c r="A406" s="4" cm="1">
        <f t="array" ref="A406">SUM(POWER(pima_data!A406:H406,2))</f>
        <v>48134.6804</v>
      </c>
      <c r="B406" s="4">
        <f t="shared" si="6"/>
        <v>219.396172254668</v>
      </c>
      <c r="C406" s="5">
        <f>pima_data!A406/$B406</f>
        <v>0.00911592932295311</v>
      </c>
      <c r="D406" s="5">
        <f>pima_data!B406/$B406</f>
        <v>0.560629653361616</v>
      </c>
      <c r="E406" s="5">
        <f>pima_data!C406/$B406</f>
        <v>0.218782303750875</v>
      </c>
      <c r="F406" s="5">
        <f>pima_data!D406/$B406</f>
        <v>0.14585486916725</v>
      </c>
      <c r="G406" s="5">
        <f>pima_data!E406/$B406</f>
        <v>0.752064169143631</v>
      </c>
      <c r="H406" s="5">
        <f>pima_data!F406/$B406</f>
        <v>0.191890312248163</v>
      </c>
      <c r="I406" s="5">
        <f>pima_data!G406/$B406</f>
        <v>0.00237014162396781</v>
      </c>
      <c r="J406" s="5">
        <f>pima_data!H406/$B406</f>
        <v>0.11850708119839</v>
      </c>
    </row>
    <row r="407" spans="1:10">
      <c r="A407" s="4" cm="1">
        <f t="array" ref="A407">SUM(POWER(pima_data!A407:H407,2))</f>
        <v>21376.351376</v>
      </c>
      <c r="B407" s="4">
        <f t="shared" si="6"/>
        <v>146.206536707495</v>
      </c>
      <c r="C407" s="5">
        <f>pima_data!A407/$B407</f>
        <v>0.0273585579008859</v>
      </c>
      <c r="D407" s="5">
        <f>pima_data!B407/$B407</f>
        <v>0.786558539650471</v>
      </c>
      <c r="E407" s="5">
        <f>pima_data!C407/$B407</f>
        <v>0.492454042215947</v>
      </c>
      <c r="F407" s="5">
        <f>pima_data!D407/$B407</f>
        <v>0</v>
      </c>
      <c r="G407" s="5">
        <f>pima_data!E407/$B407</f>
        <v>0</v>
      </c>
      <c r="H407" s="5">
        <f>pima_data!F407/$B407</f>
        <v>0.197665580833901</v>
      </c>
      <c r="I407" s="5">
        <f>pima_data!G407/$B407</f>
        <v>0.00257170444268328</v>
      </c>
      <c r="J407" s="5">
        <f>pima_data!H407/$B407</f>
        <v>0.314623415860188</v>
      </c>
    </row>
    <row r="408" spans="1:10">
      <c r="A408" s="4" cm="1">
        <f t="array" ref="A408">SUM(POWER(pima_data!A408:H408,2))</f>
        <v>15149.722896</v>
      </c>
      <c r="B408" s="4">
        <f t="shared" si="6"/>
        <v>123.084210587711</v>
      </c>
      <c r="C408" s="5">
        <f>pima_data!A408/$B408</f>
        <v>0</v>
      </c>
      <c r="D408" s="5">
        <f>pima_data!B408/$B408</f>
        <v>0.820576412829381</v>
      </c>
      <c r="E408" s="5">
        <f>pima_data!C408/$B408</f>
        <v>0.503720174212095</v>
      </c>
      <c r="F408" s="5">
        <f>pima_data!D408/$B408</f>
        <v>0</v>
      </c>
      <c r="G408" s="5">
        <f>pima_data!E408/$B408</f>
        <v>0</v>
      </c>
      <c r="H408" s="5">
        <f>pima_data!F408/$B408</f>
        <v>0.177926964762014</v>
      </c>
      <c r="I408" s="5">
        <f>pima_data!G408/$B408</f>
        <v>0.002729838363472</v>
      </c>
      <c r="J408" s="5">
        <f>pima_data!H408/$B408</f>
        <v>0.203112973472619</v>
      </c>
    </row>
    <row r="409" spans="1:10">
      <c r="A409" s="4" cm="1">
        <f t="array" ref="A409">SUM(POWER(pima_data!A409:H409,2))</f>
        <v>46542.228481</v>
      </c>
      <c r="B409" s="4">
        <f t="shared" si="6"/>
        <v>215.736479254205</v>
      </c>
      <c r="C409" s="5">
        <f>pima_data!A409/$B409</f>
        <v>0.0370822775436763</v>
      </c>
      <c r="D409" s="5">
        <f>pima_data!B409/$B409</f>
        <v>0.91315108451303</v>
      </c>
      <c r="E409" s="5">
        <f>pima_data!C409/$B409</f>
        <v>0.343011067279006</v>
      </c>
      <c r="F409" s="5">
        <f>pima_data!D409/$B409</f>
        <v>0</v>
      </c>
      <c r="G409" s="5">
        <f>pima_data!E409/$B409</f>
        <v>0</v>
      </c>
      <c r="H409" s="5">
        <f>pima_data!F409/$B409</f>
        <v>0.120053873547652</v>
      </c>
      <c r="I409" s="5">
        <f>pima_data!G409/$B409</f>
        <v>0.00552062406931482</v>
      </c>
      <c r="J409" s="5">
        <f>pima_data!H409/$B409</f>
        <v>0.180776103025422</v>
      </c>
    </row>
    <row r="410" spans="1:10">
      <c r="A410" s="4" cm="1">
        <f t="array" ref="A410">SUM(POWER(pima_data!A410:H410,2))</f>
        <v>374433.252804</v>
      </c>
      <c r="B410" s="4">
        <f t="shared" si="6"/>
        <v>611.909513575332</v>
      </c>
      <c r="C410" s="5">
        <f>pima_data!A410/$B410</f>
        <v>0.00163422855473694</v>
      </c>
      <c r="D410" s="5">
        <f>pima_data!B410/$B410</f>
        <v>0.281087311414754</v>
      </c>
      <c r="E410" s="5">
        <f>pima_data!C410/$B410</f>
        <v>0.111127541722112</v>
      </c>
      <c r="F410" s="5">
        <f>pima_data!D410/$B410</f>
        <v>0.0800771991821101</v>
      </c>
      <c r="G410" s="5">
        <f>pima_data!E410/$B410</f>
        <v>0.946218333192689</v>
      </c>
      <c r="H410" s="5">
        <f>pima_data!F410/$B410</f>
        <v>0.0692912907208463</v>
      </c>
      <c r="I410" s="5">
        <f>pima_data!G410/$B410</f>
        <v>0.00114722844542533</v>
      </c>
      <c r="J410" s="5">
        <f>pima_data!H410/$B410</f>
        <v>0.0457583995326343</v>
      </c>
    </row>
    <row r="411" spans="1:10">
      <c r="A411" s="4" cm="1">
        <f t="array" ref="A411">SUM(POWER(pima_data!A411:H411,2))</f>
        <v>22119.944276</v>
      </c>
      <c r="B411" s="4">
        <f t="shared" si="6"/>
        <v>148.727752205162</v>
      </c>
      <c r="C411" s="5">
        <f>pima_data!A411/$B411</f>
        <v>0.040342168230468</v>
      </c>
      <c r="D411" s="5">
        <f>pima_data!B411/$B411</f>
        <v>0.685816859917957</v>
      </c>
      <c r="E411" s="5">
        <f>pima_data!C411/$B411</f>
        <v>0.605132523457021</v>
      </c>
      <c r="F411" s="5">
        <f>pima_data!D411/$B411</f>
        <v>0.262224093498042</v>
      </c>
      <c r="G411" s="5">
        <f>pima_data!E411/$B411</f>
        <v>0</v>
      </c>
      <c r="H411" s="5">
        <f>pima_data!F411/$B411</f>
        <v>0.240035900971285</v>
      </c>
      <c r="I411" s="5">
        <f>pima_data!G411/$B411</f>
        <v>0.00453177023122258</v>
      </c>
      <c r="J411" s="5">
        <f>pima_data!H411/$B411</f>
        <v>0.188263451742184</v>
      </c>
    </row>
    <row r="412" spans="1:10">
      <c r="A412" s="4" cm="1">
        <f t="array" ref="A412">SUM(POWER(pima_data!A412:H412,2))</f>
        <v>51413.638784</v>
      </c>
      <c r="B412" s="4">
        <f t="shared" si="6"/>
        <v>226.745758028678</v>
      </c>
      <c r="C412" s="5">
        <f>pima_data!A412/$B412</f>
        <v>0.0044102258348468</v>
      </c>
      <c r="D412" s="5">
        <f>pima_data!B412/$B412</f>
        <v>0.493945293502842</v>
      </c>
      <c r="E412" s="5">
        <f>pima_data!C412/$B412</f>
        <v>0.31753626010897</v>
      </c>
      <c r="F412" s="5">
        <f>pima_data!D412/$B412</f>
        <v>0.132306775045404</v>
      </c>
      <c r="G412" s="5">
        <f>pima_data!E412/$B412</f>
        <v>0.776199746933038</v>
      </c>
      <c r="H412" s="5">
        <f>pima_data!F412/$B412</f>
        <v>0.15171176871873</v>
      </c>
      <c r="I412" s="5">
        <f>pima_data!G412/$B412</f>
        <v>0.00232859924079911</v>
      </c>
      <c r="J412" s="5">
        <f>pima_data!H412/$B412</f>
        <v>0.11025564587117</v>
      </c>
    </row>
    <row r="413" spans="1:10">
      <c r="A413" s="4" cm="1">
        <f t="array" ref="A413">SUM(POWER(pima_data!A413:H413,2))</f>
        <v>126417.917776</v>
      </c>
      <c r="B413" s="4">
        <f t="shared" si="6"/>
        <v>355.552974640911</v>
      </c>
      <c r="C413" s="5">
        <f>pima_data!A413/$B413</f>
        <v>0.0028125204155863</v>
      </c>
      <c r="D413" s="5">
        <f>pima_data!B413/$B413</f>
        <v>0.402190419428841</v>
      </c>
      <c r="E413" s="5">
        <f>pima_data!C413/$B413</f>
        <v>0.236251714909249</v>
      </c>
      <c r="F413" s="5">
        <f>pima_data!D413/$B413</f>
        <v>0.064687969558485</v>
      </c>
      <c r="G413" s="5">
        <f>pima_data!E413/$B413</f>
        <v>0.871881328831754</v>
      </c>
      <c r="H413" s="5">
        <f>pima_data!F413/$B413</f>
        <v>0.119250865620859</v>
      </c>
      <c r="I413" s="5">
        <f>pima_data!G413/$B413</f>
        <v>0.00302627196717086</v>
      </c>
      <c r="J413" s="5">
        <f>pima_data!H413/$B413</f>
        <v>0.0618754491428987</v>
      </c>
    </row>
    <row r="414" spans="1:10">
      <c r="A414" s="4" cm="1">
        <f t="array" ref="A414">SUM(POWER(pima_data!A414:H414,2))</f>
        <v>31258.505536</v>
      </c>
      <c r="B414" s="4">
        <f t="shared" si="6"/>
        <v>176.800750948631</v>
      </c>
      <c r="C414" s="5">
        <f>pima_data!A414/$B414</f>
        <v>0.00565608457336556</v>
      </c>
      <c r="D414" s="5">
        <f>pima_data!B414/$B414</f>
        <v>0.808820093991275</v>
      </c>
      <c r="E414" s="5">
        <f>pima_data!C414/$B414</f>
        <v>0.418550258429051</v>
      </c>
      <c r="F414" s="5">
        <f>pima_data!D414/$B414</f>
        <v>0.124433860614042</v>
      </c>
      <c r="G414" s="5">
        <f>pima_data!E414/$B414</f>
        <v>0.345021158975299</v>
      </c>
      <c r="H414" s="5">
        <f>pima_data!F414/$B414</f>
        <v>0.148189415822178</v>
      </c>
      <c r="I414" s="5">
        <f>pima_data!G414/$B414</f>
        <v>0.00144795765078158</v>
      </c>
      <c r="J414" s="5">
        <f>pima_data!H414/$B414</f>
        <v>0.118777776040677</v>
      </c>
    </row>
    <row r="415" spans="1:10">
      <c r="A415" s="4" cm="1">
        <f t="array" ref="A415">SUM(POWER(pima_data!A415:H415,2))</f>
        <v>53396.445156</v>
      </c>
      <c r="B415" s="4">
        <f t="shared" si="6"/>
        <v>231.076708380572</v>
      </c>
      <c r="C415" s="5">
        <f>pima_data!A415/$B415</f>
        <v>0</v>
      </c>
      <c r="D415" s="5">
        <f>pima_data!B415/$B415</f>
        <v>0.597204283231872</v>
      </c>
      <c r="E415" s="5">
        <f>pima_data!C415/$B415</f>
        <v>0.259654036187771</v>
      </c>
      <c r="F415" s="5">
        <f>pima_data!D415/$B415</f>
        <v>0.151464854442866</v>
      </c>
      <c r="G415" s="5">
        <f>pima_data!E415/$B415</f>
        <v>0.722703734055961</v>
      </c>
      <c r="H415" s="5">
        <f>pima_data!F415/$B415</f>
        <v>0.149733827534948</v>
      </c>
      <c r="I415" s="5">
        <f>pima_data!G415/$B415</f>
        <v>0.00231092092207116</v>
      </c>
      <c r="J415" s="5">
        <f>pima_data!H415/$B415</f>
        <v>0.0908789126657197</v>
      </c>
    </row>
    <row r="416" spans="1:10">
      <c r="A416" s="4" cm="1">
        <f t="array" ref="A416">SUM(POWER(pima_data!A416:H416,2))</f>
        <v>264517.556564</v>
      </c>
      <c r="B416" s="4">
        <f t="shared" si="6"/>
        <v>514.312703094139</v>
      </c>
      <c r="C416" s="5">
        <f>pima_data!A416/$B416</f>
        <v>0.00583302722633877</v>
      </c>
      <c r="D416" s="5">
        <f>pima_data!B416/$B416</f>
        <v>0.336371236718869</v>
      </c>
      <c r="E416" s="5">
        <f>pima_data!C416/$B416</f>
        <v>0.163324762337485</v>
      </c>
      <c r="F416" s="5">
        <f>pima_data!D416/$B416</f>
        <v>0.0641632994897264</v>
      </c>
      <c r="G416" s="5">
        <f>pima_data!E416/$B416</f>
        <v>0.921618301761525</v>
      </c>
      <c r="H416" s="5">
        <f>pima_data!F416/$B416</f>
        <v>0.0694130239934313</v>
      </c>
      <c r="I416" s="5">
        <f>pima_data!G416/$B416</f>
        <v>0.000501640341465134</v>
      </c>
      <c r="J416" s="5">
        <f>pima_data!H416/$B416</f>
        <v>0.042775532993151</v>
      </c>
    </row>
    <row r="417" spans="1:10">
      <c r="A417" s="4" cm="1">
        <f t="array" ref="A417">SUM(POWER(pima_data!A417:H417,2))</f>
        <v>15700.039025</v>
      </c>
      <c r="B417" s="4">
        <f t="shared" si="6"/>
        <v>125.299796588023</v>
      </c>
      <c r="C417" s="5">
        <f>pima_data!A417/$B417</f>
        <v>0.00798085892579641</v>
      </c>
      <c r="D417" s="5">
        <f>pima_data!B417/$B417</f>
        <v>0.774143315802252</v>
      </c>
      <c r="E417" s="5">
        <f>pima_data!C417/$B417</f>
        <v>0.542698406954156</v>
      </c>
      <c r="F417" s="5">
        <f>pima_data!D417/$B417</f>
        <v>0.167598037441725</v>
      </c>
      <c r="G417" s="5">
        <f>pima_data!E417/$B417</f>
        <v>0</v>
      </c>
      <c r="H417" s="5">
        <f>pima_data!F417/$B417</f>
        <v>0.217079362781662</v>
      </c>
      <c r="I417" s="5">
        <f>pima_data!G417/$B417</f>
        <v>0.00873904052374707</v>
      </c>
      <c r="J417" s="5">
        <f>pima_data!H417/$B417</f>
        <v>0.175578896367521</v>
      </c>
    </row>
    <row r="418" spans="1:10">
      <c r="A418" s="4" cm="1">
        <f t="array" ref="A418">SUM(POWER(pima_data!A418:H418,2))</f>
        <v>31351.556916</v>
      </c>
      <c r="B418" s="4">
        <f t="shared" si="6"/>
        <v>177.063708636186</v>
      </c>
      <c r="C418" s="5">
        <f>pima_data!A418/$B418</f>
        <v>0.0225907388408928</v>
      </c>
      <c r="D418" s="5">
        <f>pima_data!B418/$B418</f>
        <v>0.81326659827214</v>
      </c>
      <c r="E418" s="5">
        <f>pima_data!C418/$B418</f>
        <v>0.463110146238302</v>
      </c>
      <c r="F418" s="5">
        <f>pima_data!D418/$B418</f>
        <v>0.180725910727142</v>
      </c>
      <c r="G418" s="5">
        <f>pima_data!E418/$B418</f>
        <v>0</v>
      </c>
      <c r="H418" s="5">
        <f>pima_data!F418/$B418</f>
        <v>0.217435861343593</v>
      </c>
      <c r="I418" s="5">
        <f>pima_data!G418/$B418</f>
        <v>0.00312881732946365</v>
      </c>
      <c r="J418" s="5">
        <f>pima_data!H418/$B418</f>
        <v>0.208964334278258</v>
      </c>
    </row>
    <row r="419" spans="1:10">
      <c r="A419" s="4" cm="1">
        <f t="array" ref="A419">SUM(POWER(pima_data!A419:H419,2))</f>
        <v>12574.629376</v>
      </c>
      <c r="B419" s="4">
        <f t="shared" si="6"/>
        <v>112.136654917114</v>
      </c>
      <c r="C419" s="5">
        <f>pima_data!A419/$B419</f>
        <v>0.00891769065823435</v>
      </c>
      <c r="D419" s="5">
        <f>pima_data!B419/$B419</f>
        <v>0.740168324633451</v>
      </c>
      <c r="E419" s="5">
        <f>pima_data!C419/$B419</f>
        <v>0.606402964759936</v>
      </c>
      <c r="F419" s="5">
        <f>pima_data!D419/$B419</f>
        <v>0</v>
      </c>
      <c r="G419" s="5">
        <f>pima_data!E419/$B419</f>
        <v>0</v>
      </c>
      <c r="H419" s="5">
        <f>pima_data!F419/$B419</f>
        <v>0.162301969979865</v>
      </c>
      <c r="I419" s="5">
        <f>pima_data!G419/$B419</f>
        <v>0.00556463897073823</v>
      </c>
      <c r="J419" s="5">
        <f>pima_data!H419/$B419</f>
        <v>0.240777647772327</v>
      </c>
    </row>
    <row r="420" spans="1:10">
      <c r="A420" s="4" cm="1">
        <f t="array" ref="A420">SUM(POWER(pima_data!A420:H420,2))</f>
        <v>36293.007961</v>
      </c>
      <c r="B420" s="4">
        <f t="shared" si="6"/>
        <v>190.507238605256</v>
      </c>
      <c r="C420" s="5">
        <f>pima_data!A420/$B420</f>
        <v>0.0157474331262352</v>
      </c>
      <c r="D420" s="5">
        <f>pima_data!B420/$B420</f>
        <v>0.677139624428113</v>
      </c>
      <c r="E420" s="5">
        <f>pima_data!C420/$B420</f>
        <v>0.335945240026351</v>
      </c>
      <c r="F420" s="5">
        <f>pima_data!D420/$B420</f>
        <v>0.15222518688694</v>
      </c>
      <c r="G420" s="5">
        <f>pima_data!E420/$B420</f>
        <v>0.603651603172349</v>
      </c>
      <c r="H420" s="5">
        <f>pima_data!F420/$B420</f>
        <v>0.13857741151087</v>
      </c>
      <c r="I420" s="5">
        <f>pima_data!G420/$B420</f>
        <v>0.00114956261821517</v>
      </c>
      <c r="J420" s="5">
        <f>pima_data!H420/$B420</f>
        <v>0.146976042511528</v>
      </c>
    </row>
    <row r="421" spans="1:10">
      <c r="A421" s="4" cm="1">
        <f t="array" ref="A421">SUM(POWER(pima_data!A421:H421,2))</f>
        <v>55215.347049</v>
      </c>
      <c r="B421" s="4">
        <f t="shared" si="6"/>
        <v>234.979460908821</v>
      </c>
      <c r="C421" s="5">
        <f>pima_data!A421/$B421</f>
        <v>0.00425569109798933</v>
      </c>
      <c r="D421" s="5">
        <f>pima_data!B421/$B421</f>
        <v>0.50642724066073</v>
      </c>
      <c r="E421" s="5">
        <f>pima_data!C421/$B421</f>
        <v>0.374500816623061</v>
      </c>
      <c r="F421" s="5">
        <f>pima_data!D421/$B421</f>
        <v>0.174483335017563</v>
      </c>
      <c r="G421" s="5">
        <f>pima_data!E421/$B421</f>
        <v>0.723467486658186</v>
      </c>
      <c r="H421" s="5">
        <f>pima_data!F421/$B421</f>
        <v>0.192782806738917</v>
      </c>
      <c r="I421" s="5">
        <f>pima_data!G421/$B421</f>
        <v>0.00215763538668059</v>
      </c>
      <c r="J421" s="5">
        <f>pima_data!H421/$B421</f>
        <v>0.110647968547723</v>
      </c>
    </row>
    <row r="422" spans="1:10">
      <c r="A422" s="4" cm="1">
        <f t="array" ref="A422">SUM(POWER(pima_data!A422:H422,2))</f>
        <v>20681.314721</v>
      </c>
      <c r="B422" s="4">
        <f t="shared" si="6"/>
        <v>143.809995205479</v>
      </c>
      <c r="C422" s="5">
        <f>pima_data!A422/$B422</f>
        <v>0.0139072391814098</v>
      </c>
      <c r="D422" s="5">
        <f>pima_data!B422/$B422</f>
        <v>0.653640241526261</v>
      </c>
      <c r="E422" s="5">
        <f>pima_data!C422/$B422</f>
        <v>0.472846132167934</v>
      </c>
      <c r="F422" s="5">
        <f>pima_data!D422/$B422</f>
        <v>0.125165152632688</v>
      </c>
      <c r="G422" s="5">
        <f>pima_data!E422/$B422</f>
        <v>0.528475088893573</v>
      </c>
      <c r="H422" s="5">
        <f>pima_data!F422/$B422</f>
        <v>0.180794109358328</v>
      </c>
      <c r="I422" s="5">
        <f>pima_data!G422/$B422</f>
        <v>0.00390098059038545</v>
      </c>
      <c r="J422" s="5">
        <f>pima_data!H422/$B422</f>
        <v>0.146026011404803</v>
      </c>
    </row>
    <row r="423" spans="1:10">
      <c r="A423" s="4" cm="1">
        <f t="array" ref="A423">SUM(POWER(pima_data!A423:H423,2))</f>
        <v>24789.606016</v>
      </c>
      <c r="B423" s="4">
        <f t="shared" si="6"/>
        <v>157.447153089537</v>
      </c>
      <c r="C423" s="5">
        <f>pima_data!A423/$B423</f>
        <v>0</v>
      </c>
      <c r="D423" s="5">
        <f>pima_data!B423/$B423</f>
        <v>0.647836420020849</v>
      </c>
      <c r="E423" s="5">
        <f>pima_data!C423/$B423</f>
        <v>0.406485596875827</v>
      </c>
      <c r="F423" s="5">
        <f>pima_data!D423/$B423</f>
        <v>0.292161522754501</v>
      </c>
      <c r="G423" s="5">
        <f>pima_data!E423/$B423</f>
        <v>0.495404321192414</v>
      </c>
      <c r="H423" s="5">
        <f>pima_data!F423/$B423</f>
        <v>0.257864300518103</v>
      </c>
      <c r="I423" s="5">
        <f>pima_data!G423/$B423</f>
        <v>0.00315026337578766</v>
      </c>
      <c r="J423" s="5">
        <f>pima_data!H423/$B423</f>
        <v>0.133378086474881</v>
      </c>
    </row>
    <row r="424" spans="1:10">
      <c r="A424" s="4" cm="1">
        <f t="array" ref="A424">SUM(POWER(pima_data!A424:H424,2))</f>
        <v>19198.817241</v>
      </c>
      <c r="B424" s="4">
        <f t="shared" si="6"/>
        <v>138.559796625861</v>
      </c>
      <c r="C424" s="5">
        <f>pima_data!A424/$B424</f>
        <v>0.0144342013246483</v>
      </c>
      <c r="D424" s="5">
        <f>pima_data!B424/$B424</f>
        <v>0.829966576167276</v>
      </c>
      <c r="E424" s="5">
        <f>pima_data!C424/$B424</f>
        <v>0.461894442388745</v>
      </c>
      <c r="F424" s="5">
        <f>pima_data!D424/$B424</f>
        <v>0.158776214571131</v>
      </c>
      <c r="G424" s="5">
        <f>pima_data!E424/$B424</f>
        <v>0</v>
      </c>
      <c r="H424" s="5">
        <f>pima_data!F424/$B424</f>
        <v>0.222286700399583</v>
      </c>
      <c r="I424" s="5">
        <f>pima_data!G424/$B424</f>
        <v>0.00303839937883846</v>
      </c>
      <c r="J424" s="5">
        <f>pima_data!H424/$B424</f>
        <v>0.151559113908807</v>
      </c>
    </row>
    <row r="425" spans="1:10">
      <c r="A425" s="4" cm="1">
        <f t="array" ref="A425">SUM(POWER(pima_data!A425:H425,2))</f>
        <v>77209.676256</v>
      </c>
      <c r="B425" s="4">
        <f t="shared" si="6"/>
        <v>277.866292047092</v>
      </c>
      <c r="C425" s="5">
        <f>pima_data!A425/$B425</f>
        <v>0.0287908257639404</v>
      </c>
      <c r="D425" s="5">
        <f>pima_data!B425/$B425</f>
        <v>0.543426836294374</v>
      </c>
      <c r="E425" s="5">
        <f>pima_data!C425/$B425</f>
        <v>0.280710551198418</v>
      </c>
      <c r="F425" s="5">
        <f>pima_data!D425/$B425</f>
        <v>0.115163303055761</v>
      </c>
      <c r="G425" s="5">
        <f>pima_data!E425/$B425</f>
        <v>0.755759176303434</v>
      </c>
      <c r="H425" s="5">
        <f>pima_data!F425/$B425</f>
        <v>0.15439080315913</v>
      </c>
      <c r="I425" s="5">
        <f>pima_data!G425/$B425</f>
        <v>0.00185700826177415</v>
      </c>
      <c r="J425" s="5">
        <f>pima_data!H425/$B425</f>
        <v>0.129558715937732</v>
      </c>
    </row>
    <row r="426" spans="1:10">
      <c r="A426" s="4" cm="1">
        <f t="array" ref="A426">SUM(POWER(pima_data!A426:H426,2))</f>
        <v>120536.069696</v>
      </c>
      <c r="B426" s="4">
        <f t="shared" si="6"/>
        <v>347.183049263641</v>
      </c>
      <c r="C426" s="5">
        <f>pima_data!A426/$B426</f>
        <v>0.0115212998113929</v>
      </c>
      <c r="D426" s="5">
        <f>pima_data!B426/$B426</f>
        <v>0.529979791324073</v>
      </c>
      <c r="E426" s="5">
        <f>pima_data!C426/$B426</f>
        <v>0.224665346322161</v>
      </c>
      <c r="F426" s="5">
        <f>pima_data!D426/$B426</f>
        <v>0.112332673161081</v>
      </c>
      <c r="G426" s="5">
        <f>pima_data!E426/$B426</f>
        <v>0.797850011938958</v>
      </c>
      <c r="H426" s="5">
        <f>pima_data!F426/$B426</f>
        <v>0.106572023255384</v>
      </c>
      <c r="I426" s="5">
        <f>pima_data!G426/$B426</f>
        <v>0.000760405787551931</v>
      </c>
      <c r="J426" s="5">
        <f>pima_data!H426/$B426</f>
        <v>0.0892900735382949</v>
      </c>
    </row>
    <row r="427" spans="1:10">
      <c r="A427" s="4" cm="1">
        <f t="array" ref="A427">SUM(POWER(pima_data!A427:H427,2))</f>
        <v>9461.065536</v>
      </c>
      <c r="B427" s="4">
        <f t="shared" si="6"/>
        <v>97.2680088004273</v>
      </c>
      <c r="C427" s="5">
        <f>pima_data!A427/$B427</f>
        <v>0</v>
      </c>
      <c r="D427" s="5">
        <f>pima_data!B427/$B427</f>
        <v>0.96640201808662</v>
      </c>
      <c r="E427" s="5">
        <f>pima_data!C427/$B427</f>
        <v>0</v>
      </c>
      <c r="F427" s="5">
        <f>pima_data!D427/$B427</f>
        <v>0</v>
      </c>
      <c r="G427" s="5">
        <f>pima_data!E427/$B427</f>
        <v>0</v>
      </c>
      <c r="H427" s="5">
        <f>pima_data!F427/$B427</f>
        <v>0</v>
      </c>
      <c r="I427" s="5">
        <f>pima_data!G427/$B427</f>
        <v>0.00263190336840611</v>
      </c>
      <c r="J427" s="5">
        <f>pima_data!H427/$B427</f>
        <v>0.257021813320909</v>
      </c>
    </row>
    <row r="428" spans="1:10">
      <c r="A428" s="4" cm="1">
        <f t="array" ref="A428">SUM(POWER(pima_data!A428:H428,2))</f>
        <v>72764.917584</v>
      </c>
      <c r="B428" s="4">
        <f t="shared" si="6"/>
        <v>269.749731388189</v>
      </c>
      <c r="C428" s="5">
        <f>pima_data!A428/$B428</f>
        <v>0.00370713992875466</v>
      </c>
      <c r="D428" s="5">
        <f>pima_data!B428/$B428</f>
        <v>0.670992327104594</v>
      </c>
      <c r="E428" s="5">
        <f>pima_data!C428/$B428</f>
        <v>0.237256955440299</v>
      </c>
      <c r="F428" s="5">
        <f>pima_data!D428/$B428</f>
        <v>0.11121419786264</v>
      </c>
      <c r="G428" s="5">
        <f>pima_data!E428/$B428</f>
        <v>0.66728518717584</v>
      </c>
      <c r="H428" s="5">
        <f>pima_data!F428/$B428</f>
        <v>0.126413471570534</v>
      </c>
      <c r="I428" s="5">
        <f>pima_data!G428/$B428</f>
        <v>0.00121594189663153</v>
      </c>
      <c r="J428" s="5">
        <f>pima_data!H428/$B428</f>
        <v>0.140871317292677</v>
      </c>
    </row>
    <row r="429" spans="1:10">
      <c r="A429" s="4" cm="1">
        <f t="array" ref="A429">SUM(POWER(pima_data!A429:H429,2))</f>
        <v>52526.440656</v>
      </c>
      <c r="B429" s="4">
        <f t="shared" si="6"/>
        <v>229.186475726645</v>
      </c>
      <c r="C429" s="5">
        <f>pima_data!A429/$B429</f>
        <v>0</v>
      </c>
      <c r="D429" s="5">
        <f>pima_data!B429/$B429</f>
        <v>0.589039992748163</v>
      </c>
      <c r="E429" s="5">
        <f>pima_data!C429/$B429</f>
        <v>0.410146365320943</v>
      </c>
      <c r="F429" s="5">
        <f>pima_data!D429/$B429</f>
        <v>0.20070992345493</v>
      </c>
      <c r="G429" s="5">
        <f>pima_data!E429/$B429</f>
        <v>0.632672584803583</v>
      </c>
      <c r="H429" s="5">
        <f>pima_data!F429/$B429</f>
        <v>0.177148323745003</v>
      </c>
      <c r="I429" s="5">
        <f>pima_data!G429/$B429</f>
        <v>0.00123916561437391</v>
      </c>
      <c r="J429" s="5">
        <f>pima_data!H429/$B429</f>
        <v>0.113444739344091</v>
      </c>
    </row>
    <row r="430" spans="1:10">
      <c r="A430" s="4" cm="1">
        <f t="array" ref="A430">SUM(POWER(pima_data!A430:H430,2))</f>
        <v>51849.054289</v>
      </c>
      <c r="B430" s="4">
        <f t="shared" si="6"/>
        <v>227.703874119436</v>
      </c>
      <c r="C430" s="5">
        <f>pima_data!A430/$B430</f>
        <v>0.00439166880171514</v>
      </c>
      <c r="D430" s="5">
        <f>pima_data!B430/$B430</f>
        <v>0.417208536162939</v>
      </c>
      <c r="E430" s="5">
        <f>pima_data!C430/$B430</f>
        <v>0.360116841740642</v>
      </c>
      <c r="F430" s="5">
        <f>pima_data!D430/$B430</f>
        <v>0.109791720042879</v>
      </c>
      <c r="G430" s="5">
        <f>pima_data!E430/$B430</f>
        <v>0.790500384308726</v>
      </c>
      <c r="H430" s="5">
        <f>pima_data!F430/$B430</f>
        <v>0.15370840806003</v>
      </c>
      <c r="I430" s="5">
        <f>pima_data!G430/$B430</f>
        <v>0.00102325883079963</v>
      </c>
      <c r="J430" s="5">
        <f>pima_data!H430/$B430</f>
        <v>0.188841758473751</v>
      </c>
    </row>
    <row r="431" spans="1:10">
      <c r="A431" s="4" cm="1">
        <f t="array" ref="A431">SUM(POWER(pima_data!A431:H431,2))</f>
        <v>10826.851664</v>
      </c>
      <c r="B431" s="4">
        <f t="shared" si="6"/>
        <v>104.052158382227</v>
      </c>
      <c r="C431" s="5">
        <f>pima_data!A431/$B431</f>
        <v>0.0192211293940984</v>
      </c>
      <c r="D431" s="5">
        <f>pima_data!B431/$B431</f>
        <v>0.95144590500787</v>
      </c>
      <c r="E431" s="5">
        <f>pima_data!C431/$B431</f>
        <v>0</v>
      </c>
      <c r="F431" s="5">
        <f>pima_data!D431/$B431</f>
        <v>0</v>
      </c>
      <c r="G431" s="5">
        <f>pima_data!E431/$B431</f>
        <v>0</v>
      </c>
      <c r="H431" s="5">
        <f>pima_data!F431/$B431</f>
        <v>0.213354536274492</v>
      </c>
      <c r="I431" s="5">
        <f>pima_data!G431/$B431</f>
        <v>0.00103794098728131</v>
      </c>
      <c r="J431" s="5">
        <f>pima_data!H431/$B431</f>
        <v>0.221042988032132</v>
      </c>
    </row>
    <row r="432" spans="1:10">
      <c r="A432" s="4" cm="1">
        <f t="array" ref="A432">SUM(POWER(pima_data!A432:H432,2))</f>
        <v>23255.463601</v>
      </c>
      <c r="B432" s="4">
        <f t="shared" si="6"/>
        <v>152.497421620826</v>
      </c>
      <c r="C432" s="5">
        <f>pima_data!A432/$B432</f>
        <v>0.0196724637578417</v>
      </c>
      <c r="D432" s="5">
        <f>pima_data!B432/$B432</f>
        <v>0.583616424815969</v>
      </c>
      <c r="E432" s="5">
        <f>pima_data!C432/$B432</f>
        <v>0.485254106026761</v>
      </c>
      <c r="F432" s="5">
        <f>pima_data!D432/$B432</f>
        <v>0.104919806708489</v>
      </c>
      <c r="G432" s="5">
        <f>pima_data!E432/$B432</f>
        <v>0.557386473138847</v>
      </c>
      <c r="H432" s="5">
        <f>pima_data!F432/$B432</f>
        <v>0.199347632746129</v>
      </c>
      <c r="I432" s="5">
        <f>pima_data!G432/$B432</f>
        <v>0.00361317584352358</v>
      </c>
      <c r="J432" s="5">
        <f>pima_data!H432/$B432</f>
        <v>0.249184540932661</v>
      </c>
    </row>
    <row r="433" spans="1:10">
      <c r="A433" s="4" cm="1">
        <f t="array" ref="A433">SUM(POWER(pima_data!A433:H433,2))</f>
        <v>16982.277729</v>
      </c>
      <c r="B433" s="4">
        <f t="shared" si="6"/>
        <v>130.316068575598</v>
      </c>
      <c r="C433" s="5">
        <f>pima_data!A433/$B433</f>
        <v>0.00767365077024163</v>
      </c>
      <c r="D433" s="5">
        <f>pima_data!B433/$B433</f>
        <v>0.61389206161933</v>
      </c>
      <c r="E433" s="5">
        <f>pima_data!C433/$B433</f>
        <v>0.567850156997881</v>
      </c>
      <c r="F433" s="5">
        <f>pima_data!D433/$B433</f>
        <v>0.0844101584726579</v>
      </c>
      <c r="G433" s="5">
        <f>pima_data!E433/$B433</f>
        <v>0.460419046214498</v>
      </c>
      <c r="H433" s="5">
        <f>pima_data!F433/$B433</f>
        <v>0.230209523107249</v>
      </c>
      <c r="I433" s="5">
        <f>pima_data!G433/$B433</f>
        <v>0.00404401395591734</v>
      </c>
      <c r="J433" s="5">
        <f>pima_data!H433/$B433</f>
        <v>0.168820316945316</v>
      </c>
    </row>
    <row r="434" spans="1:10">
      <c r="A434" s="4" cm="1">
        <f t="array" ref="A434">SUM(POWER(pima_data!A434:H434,2))</f>
        <v>26446.387889</v>
      </c>
      <c r="B434" s="4">
        <f t="shared" si="6"/>
        <v>162.623454301647</v>
      </c>
      <c r="C434" s="5">
        <f>pima_data!A434/$B434</f>
        <v>0.0122983490209858</v>
      </c>
      <c r="D434" s="5">
        <f>pima_data!B434/$B434</f>
        <v>0.854735256958516</v>
      </c>
      <c r="E434" s="5">
        <f>pima_data!C434/$B434</f>
        <v>0.461188088286969</v>
      </c>
      <c r="F434" s="5">
        <f>pima_data!D434/$B434</f>
        <v>0</v>
      </c>
      <c r="G434" s="5">
        <f>pima_data!E434/$B434</f>
        <v>0</v>
      </c>
      <c r="H434" s="5">
        <f>pima_data!F434/$B434</f>
        <v>0.157418867468619</v>
      </c>
      <c r="I434" s="5">
        <f>pima_data!G434/$B434</f>
        <v>0.00102691214325232</v>
      </c>
      <c r="J434" s="5">
        <f>pima_data!H434/$B434</f>
        <v>0.178326060804295</v>
      </c>
    </row>
    <row r="435" spans="1:10">
      <c r="A435" s="4" cm="1">
        <f t="array" ref="A435">SUM(POWER(pima_data!A435:H435,2))</f>
        <v>14686.545044</v>
      </c>
      <c r="B435" s="4">
        <f t="shared" si="6"/>
        <v>121.188056523735</v>
      </c>
      <c r="C435" s="5">
        <f>pima_data!A435/$B435</f>
        <v>0.00825163822809673</v>
      </c>
      <c r="D435" s="5">
        <f>pima_data!B435/$B435</f>
        <v>0.742647440528706</v>
      </c>
      <c r="E435" s="5">
        <f>pima_data!C435/$B435</f>
        <v>0.561111399510578</v>
      </c>
      <c r="F435" s="5">
        <f>pima_data!D435/$B435</f>
        <v>0.0660131058247739</v>
      </c>
      <c r="G435" s="5">
        <f>pima_data!E435/$B435</f>
        <v>0</v>
      </c>
      <c r="H435" s="5">
        <f>pima_data!F435/$B435</f>
        <v>0.20216513658837</v>
      </c>
      <c r="I435" s="5">
        <f>pima_data!G435/$B435</f>
        <v>0.00939036430357408</v>
      </c>
      <c r="J435" s="5">
        <f>pima_data!H435/$B435</f>
        <v>0.297058976211482</v>
      </c>
    </row>
    <row r="436" spans="1:10">
      <c r="A436" s="4" cm="1">
        <f t="array" ref="A436">SUM(POWER(pima_data!A436:H436,2))</f>
        <v>22519.802025</v>
      </c>
      <c r="B436" s="4">
        <f t="shared" si="6"/>
        <v>150.065992233417</v>
      </c>
      <c r="C436" s="5">
        <f>pima_data!A436/$B436</f>
        <v>0</v>
      </c>
      <c r="D436" s="5">
        <f>pima_data!B436/$B436</f>
        <v>0.939586630531749</v>
      </c>
      <c r="E436" s="5">
        <f>pima_data!C436/$B436</f>
        <v>0</v>
      </c>
      <c r="F436" s="5">
        <f>pima_data!D436/$B436</f>
        <v>0</v>
      </c>
      <c r="G436" s="5">
        <f>pima_data!E436/$B436</f>
        <v>0</v>
      </c>
      <c r="H436" s="5">
        <f>pima_data!F436/$B436</f>
        <v>0.282542362656356</v>
      </c>
      <c r="I436" s="5">
        <f>pima_data!G436/$B436</f>
        <v>0.00136606566850361</v>
      </c>
      <c r="J436" s="5">
        <f>pima_data!H436/$B436</f>
        <v>0.193248314080998</v>
      </c>
    </row>
    <row r="437" spans="1:10">
      <c r="A437" s="4" cm="1">
        <f t="array" ref="A437">SUM(POWER(pima_data!A437:H437,2))</f>
        <v>31137.819536</v>
      </c>
      <c r="B437" s="4">
        <f t="shared" si="6"/>
        <v>176.459115763397</v>
      </c>
      <c r="C437" s="5">
        <f>pima_data!A437/$B437</f>
        <v>0.0680044210132507</v>
      </c>
      <c r="D437" s="5">
        <f>pima_data!B437/$B437</f>
        <v>0.793384911821258</v>
      </c>
      <c r="E437" s="5">
        <f>pima_data!C437/$B437</f>
        <v>0.481697982177192</v>
      </c>
      <c r="F437" s="5">
        <f>pima_data!D437/$B437</f>
        <v>0.187012157786439</v>
      </c>
      <c r="G437" s="5">
        <f>pima_data!E437/$B437</f>
        <v>0</v>
      </c>
      <c r="H437" s="5">
        <f>pima_data!F437/$B437</f>
        <v>0.211947112157965</v>
      </c>
      <c r="I437" s="5">
        <f>pima_data!G437/$B437</f>
        <v>0.00138275656060276</v>
      </c>
      <c r="J437" s="5">
        <f>pima_data!H437/$B437</f>
        <v>0.23234843846194</v>
      </c>
    </row>
    <row r="438" spans="1:10">
      <c r="A438" s="4" cm="1">
        <f t="array" ref="A438">SUM(POWER(pima_data!A438:H438,2))</f>
        <v>28937.198356</v>
      </c>
      <c r="B438" s="4">
        <f t="shared" si="6"/>
        <v>170.109371746533</v>
      </c>
      <c r="C438" s="5">
        <f>pima_data!A438/$B438</f>
        <v>0.0293928544245648</v>
      </c>
      <c r="D438" s="5">
        <f>pima_data!B438/$B438</f>
        <v>0.864149920082204</v>
      </c>
      <c r="E438" s="5">
        <f>pima_data!C438/$B438</f>
        <v>0.440892816368471</v>
      </c>
      <c r="F438" s="5">
        <f>pima_data!D438/$B438</f>
        <v>0</v>
      </c>
      <c r="G438" s="5">
        <f>pima_data!E438/$B438</f>
        <v>0</v>
      </c>
      <c r="H438" s="5">
        <f>pima_data!F438/$B438</f>
        <v>0.175769269458897</v>
      </c>
      <c r="I438" s="5">
        <f>pima_data!G438/$B438</f>
        <v>0.00255129976405222</v>
      </c>
      <c r="J438" s="5">
        <f>pima_data!H438/$B438</f>
        <v>0.164599984777563</v>
      </c>
    </row>
    <row r="439" spans="1:10">
      <c r="A439" s="4" cm="1">
        <f t="array" ref="A439">SUM(POWER(pima_data!A439:H439,2))</f>
        <v>15307.261609</v>
      </c>
      <c r="B439" s="4">
        <f t="shared" si="6"/>
        <v>123.722518601102</v>
      </c>
      <c r="C439" s="5">
        <f>pima_data!A439/$B439</f>
        <v>0.00808260299989637</v>
      </c>
      <c r="D439" s="5">
        <f>pima_data!B439/$B439</f>
        <v>0.784012490989948</v>
      </c>
      <c r="E439" s="5">
        <f>pima_data!C439/$B439</f>
        <v>0.565782209992746</v>
      </c>
      <c r="F439" s="5">
        <f>pima_data!D439/$B439</f>
        <v>0.121239044998445</v>
      </c>
      <c r="G439" s="5">
        <f>pima_data!E439/$B439</f>
        <v>0</v>
      </c>
      <c r="H439" s="5">
        <f>pima_data!F439/$B439</f>
        <v>0.147103374598114</v>
      </c>
      <c r="I439" s="5">
        <f>pima_data!G439/$B439</f>
        <v>0.00118814264098477</v>
      </c>
      <c r="J439" s="5">
        <f>pima_data!H439/$B439</f>
        <v>0.169734662997824</v>
      </c>
    </row>
    <row r="440" spans="1:10">
      <c r="A440" s="4" cm="1">
        <f t="array" ref="A440">SUM(POWER(pima_data!A440:H440,2))</f>
        <v>21544.768529</v>
      </c>
      <c r="B440" s="4">
        <f t="shared" si="6"/>
        <v>146.781363016563</v>
      </c>
      <c r="C440" s="5">
        <f>pima_data!A440/$B440</f>
        <v>0.0408771241572607</v>
      </c>
      <c r="D440" s="5">
        <f>pima_data!B440/$B440</f>
        <v>0.728975380804483</v>
      </c>
      <c r="E440" s="5">
        <f>pima_data!C440/$B440</f>
        <v>0.599531154306491</v>
      </c>
      <c r="F440" s="5">
        <f>pima_data!D440/$B440</f>
        <v>0</v>
      </c>
      <c r="G440" s="5">
        <f>pima_data!E440/$B440</f>
        <v>0</v>
      </c>
      <c r="H440" s="5">
        <f>pima_data!F440/$B440</f>
        <v>0.250713028164533</v>
      </c>
      <c r="I440" s="5">
        <f>pima_data!G440/$B440</f>
        <v>0.00495294487705476</v>
      </c>
      <c r="J440" s="5">
        <f>pima_data!H440/$B440</f>
        <v>0.211198474812514</v>
      </c>
    </row>
    <row r="441" spans="1:10">
      <c r="A441" s="4" cm="1">
        <f t="array" ref="A441">SUM(POWER(pima_data!A441:H441,2))</f>
        <v>50019.679225</v>
      </c>
      <c r="B441" s="4">
        <f t="shared" si="6"/>
        <v>223.650797505844</v>
      </c>
      <c r="C441" s="5">
        <f>pima_data!A441/$B441</f>
        <v>0</v>
      </c>
      <c r="D441" s="5">
        <f>pima_data!B441/$B441</f>
        <v>0.845067409138398</v>
      </c>
      <c r="E441" s="5">
        <f>pima_data!C441/$B441</f>
        <v>0.465010637832769</v>
      </c>
      <c r="F441" s="5">
        <f>pima_data!D441/$B441</f>
        <v>0.111781403325185</v>
      </c>
      <c r="G441" s="5">
        <f>pima_data!E441/$B441</f>
        <v>0</v>
      </c>
      <c r="H441" s="5">
        <f>pima_data!F441/$B441</f>
        <v>0.153364085362154</v>
      </c>
      <c r="I441" s="5">
        <f>pima_data!G441/$B441</f>
        <v>0.00194499641785822</v>
      </c>
      <c r="J441" s="5">
        <f>pima_data!H441/$B441</f>
        <v>0.183321501453303</v>
      </c>
    </row>
    <row r="442" spans="1:10">
      <c r="A442" s="4" cm="1">
        <f t="array" ref="A442">SUM(POWER(pima_data!A442:H442,2))</f>
        <v>15799.087009</v>
      </c>
      <c r="B442" s="4">
        <f t="shared" si="6"/>
        <v>125.694419164098</v>
      </c>
      <c r="C442" s="5">
        <f>pima_data!A442/$B442</f>
        <v>0.0159116054101729</v>
      </c>
      <c r="D442" s="5">
        <f>pima_data!B442/$B442</f>
        <v>0.660331624522174</v>
      </c>
      <c r="E442" s="5">
        <f>pima_data!C442/$B442</f>
        <v>0.525082978535705</v>
      </c>
      <c r="F442" s="5">
        <f>pima_data!D442/$B442</f>
        <v>0.182983462216988</v>
      </c>
      <c r="G442" s="5">
        <f>pima_data!E442/$B442</f>
        <v>0.397790135254322</v>
      </c>
      <c r="H442" s="5">
        <f>pima_data!F442/$B442</f>
        <v>0.256176847103783</v>
      </c>
      <c r="I442" s="5">
        <f>pima_data!G442/$B442</f>
        <v>0.00395403394442796</v>
      </c>
      <c r="J442" s="5">
        <f>pima_data!H442/$B442</f>
        <v>0.175027659511902</v>
      </c>
    </row>
    <row r="443" spans="1:10">
      <c r="A443" s="4" cm="1">
        <f t="array" ref="A443">SUM(POWER(pima_data!A443:H443,2))</f>
        <v>34608.2929</v>
      </c>
      <c r="B443" s="4">
        <f t="shared" si="6"/>
        <v>186.033042495144</v>
      </c>
      <c r="C443" s="5">
        <f>pima_data!A443/$B443</f>
        <v>0.0215015566393503</v>
      </c>
      <c r="D443" s="5">
        <f>pima_data!B443/$B443</f>
        <v>0.628920531700997</v>
      </c>
      <c r="E443" s="5">
        <f>pima_data!C443/$B443</f>
        <v>0.344024906229605</v>
      </c>
      <c r="F443" s="5">
        <f>pima_data!D443/$B443</f>
        <v>0.145135507315615</v>
      </c>
      <c r="G443" s="5">
        <f>pima_data!E443/$B443</f>
        <v>0.645046699180509</v>
      </c>
      <c r="H443" s="5">
        <f>pima_data!F443/$B443</f>
        <v>0.178462920106608</v>
      </c>
      <c r="I443" s="5">
        <f>pima_data!G443/$B443</f>
        <v>0.00123633950676264</v>
      </c>
      <c r="J443" s="5">
        <f>pima_data!H443/$B443</f>
        <v>0.129009339836102</v>
      </c>
    </row>
    <row r="444" spans="1:10">
      <c r="A444" s="4" cm="1">
        <f t="array" ref="A444">SUM(POWER(pima_data!A444:H444,2))</f>
        <v>18648.162025</v>
      </c>
      <c r="B444" s="4">
        <f t="shared" si="6"/>
        <v>136.558273367087</v>
      </c>
      <c r="C444" s="5">
        <f>pima_data!A444/$B444</f>
        <v>0.0585830488534</v>
      </c>
      <c r="D444" s="5">
        <f>pima_data!B444/$B444</f>
        <v>0.7908711595209</v>
      </c>
      <c r="E444" s="5">
        <f>pima_data!C444/$B444</f>
        <v>0.51260167746725</v>
      </c>
      <c r="F444" s="5">
        <f>pima_data!D444/$B444</f>
        <v>0</v>
      </c>
      <c r="G444" s="5">
        <f>pima_data!E444/$B444</f>
        <v>0</v>
      </c>
      <c r="H444" s="5">
        <f>pima_data!F444/$B444</f>
        <v>0.223347873753588</v>
      </c>
      <c r="I444" s="5">
        <f>pima_data!G444/$B444</f>
        <v>0.00699335145687463</v>
      </c>
      <c r="J444" s="5">
        <f>pima_data!H444/$B444</f>
        <v>0.241655076520275</v>
      </c>
    </row>
    <row r="445" spans="1:10">
      <c r="A445" s="4" cm="1">
        <f t="array" ref="A445">SUM(POWER(pima_data!A445:H445,2))</f>
        <v>19475.2344</v>
      </c>
      <c r="B445" s="4">
        <f t="shared" si="6"/>
        <v>139.553697192156</v>
      </c>
      <c r="C445" s="5">
        <f>pima_data!A445/$B445</f>
        <v>0.0286628020645864</v>
      </c>
      <c r="D445" s="5">
        <f>pima_data!B445/$B445</f>
        <v>0.838386960389153</v>
      </c>
      <c r="E445" s="5">
        <f>pima_data!C445/$B445</f>
        <v>0.444273432001089</v>
      </c>
      <c r="F445" s="5">
        <f>pima_data!D445/$B445</f>
        <v>0.0859884061937593</v>
      </c>
      <c r="G445" s="5">
        <f>pima_data!E445/$B445</f>
        <v>0</v>
      </c>
      <c r="H445" s="5">
        <f>pima_data!F445/$B445</f>
        <v>0.212821305329554</v>
      </c>
      <c r="I445" s="5">
        <f>pima_data!G445/$B445</f>
        <v>0.00272296619613571</v>
      </c>
      <c r="J445" s="5">
        <f>pima_data!H445/$B445</f>
        <v>0.214971015484398</v>
      </c>
    </row>
    <row r="446" spans="1:10">
      <c r="A446" s="4" cm="1">
        <f t="array" ref="A446">SUM(POWER(pima_data!A446:H446,2))</f>
        <v>46808.2164</v>
      </c>
      <c r="B446" s="4">
        <f t="shared" si="6"/>
        <v>216.352065855633</v>
      </c>
      <c r="C446" s="5">
        <f>pima_data!A446/$B446</f>
        <v>0</v>
      </c>
      <c r="D446" s="5">
        <f>pima_data!B446/$B446</f>
        <v>0.831977264872111</v>
      </c>
      <c r="E446" s="5">
        <f>pima_data!C446/$B446</f>
        <v>0.360523481444581</v>
      </c>
      <c r="F446" s="5">
        <f>pima_data!D446/$B446</f>
        <v>0.291192042705239</v>
      </c>
      <c r="G446" s="5">
        <f>pima_data!E446/$B446</f>
        <v>0.0647093428233864</v>
      </c>
      <c r="H446" s="5">
        <f>pima_data!F446/$B446</f>
        <v>0.274552497407797</v>
      </c>
      <c r="I446" s="5">
        <f>pima_data!G446/$B446</f>
        <v>0.0111854721166139</v>
      </c>
      <c r="J446" s="5">
        <f>pima_data!H446/$B446</f>
        <v>0.115552397898904</v>
      </c>
    </row>
    <row r="447" spans="1:10">
      <c r="A447" s="4" cm="1">
        <f t="array" ref="A447">SUM(POWER(pima_data!A447:H447,2))</f>
        <v>21653.522964</v>
      </c>
      <c r="B447" s="4">
        <f t="shared" si="6"/>
        <v>147.151360727653</v>
      </c>
      <c r="C447" s="5">
        <f>pima_data!A447/$B447</f>
        <v>0.00679572377078314</v>
      </c>
      <c r="D447" s="5">
        <f>pima_data!B447/$B447</f>
        <v>0.679572377078314</v>
      </c>
      <c r="E447" s="5">
        <f>pima_data!C447/$B447</f>
        <v>0.489292111496386</v>
      </c>
      <c r="F447" s="5">
        <f>pima_data!D447/$B447</f>
        <v>0.0815486852493977</v>
      </c>
      <c r="G447" s="5">
        <f>pima_data!E447/$B447</f>
        <v>0.47570066395482</v>
      </c>
      <c r="H447" s="5">
        <f>pima_data!F447/$B447</f>
        <v>0.171931811400814</v>
      </c>
      <c r="I447" s="5">
        <f>pima_data!G447/$B447</f>
        <v>0.00447158624117531</v>
      </c>
      <c r="J447" s="5">
        <f>pima_data!H447/$B447</f>
        <v>0.190280265581928</v>
      </c>
    </row>
    <row r="448" spans="1:10">
      <c r="A448" s="4" cm="1">
        <f t="array" ref="A448">SUM(POWER(pima_data!A448:H448,2))</f>
        <v>27922.3589</v>
      </c>
      <c r="B448" s="4">
        <f t="shared" si="6"/>
        <v>167.099847097476</v>
      </c>
      <c r="C448" s="5">
        <f>pima_data!A448/$B448</f>
        <v>0</v>
      </c>
      <c r="D448" s="5">
        <f>pima_data!B448/$B448</f>
        <v>0.568522363426117</v>
      </c>
      <c r="E448" s="5">
        <f>pima_data!C448/$B448</f>
        <v>0.478755674464098</v>
      </c>
      <c r="F448" s="5">
        <f>pima_data!D448/$B448</f>
        <v>0.269300066886055</v>
      </c>
      <c r="G448" s="5">
        <f>pima_data!E448/$B448</f>
        <v>0.550569025633713</v>
      </c>
      <c r="H448" s="5">
        <f>pima_data!F448/$B448</f>
        <v>0.218432276474245</v>
      </c>
      <c r="I448" s="5">
        <f>pima_data!G448/$B448</f>
        <v>0.00197486715716441</v>
      </c>
      <c r="J448" s="5">
        <f>pima_data!H448/$B448</f>
        <v>0.155595594200832</v>
      </c>
    </row>
    <row r="449" spans="1:10">
      <c r="A449" s="4" cm="1">
        <f t="array" ref="A449">SUM(POWER(pima_data!A449:H449,2))</f>
        <v>21990.2201</v>
      </c>
      <c r="B449" s="4">
        <f t="shared" ref="B449:B512" si="7">A449^0.5</f>
        <v>148.290998041014</v>
      </c>
      <c r="C449" s="5">
        <f>pima_data!A449/$B449</f>
        <v>0</v>
      </c>
      <c r="D449" s="5">
        <f>pima_data!B449/$B449</f>
        <v>0.701323757840216</v>
      </c>
      <c r="E449" s="5">
        <f>pima_data!C449/$B449</f>
        <v>0.431583850978594</v>
      </c>
      <c r="F449" s="5">
        <f>pima_data!D449/$B449</f>
        <v>0.249509413847</v>
      </c>
      <c r="G449" s="5">
        <f>pima_data!E449/$B449</f>
        <v>0.431583850978594</v>
      </c>
      <c r="H449" s="5">
        <f>pima_data!F449/$B449</f>
        <v>0.226581521763762</v>
      </c>
      <c r="I449" s="5">
        <f>pima_data!G449/$B449</f>
        <v>0.00343918381248567</v>
      </c>
      <c r="J449" s="5">
        <f>pima_data!H449/$B449</f>
        <v>0.148356948773892</v>
      </c>
    </row>
    <row r="450" spans="1:10">
      <c r="A450" s="4" cm="1">
        <f t="array" ref="A450">SUM(POWER(pima_data!A450:H450,2))</f>
        <v>25775.331225</v>
      </c>
      <c r="B450" s="4">
        <f t="shared" si="7"/>
        <v>160.546975135005</v>
      </c>
      <c r="C450" s="5">
        <f>pima_data!A450/$B450</f>
        <v>0</v>
      </c>
      <c r="D450" s="5">
        <f>pima_data!B450/$B450</f>
        <v>0.747444789284202</v>
      </c>
      <c r="E450" s="5">
        <f>pima_data!C450/$B450</f>
        <v>0.460924286725258</v>
      </c>
      <c r="F450" s="5">
        <f>pima_data!D450/$B450</f>
        <v>0.11211671839263</v>
      </c>
      <c r="G450" s="5">
        <f>pima_data!E450/$B450</f>
        <v>0.392408514374206</v>
      </c>
      <c r="H450" s="5">
        <f>pima_data!F450/$B450</f>
        <v>0.189975550609735</v>
      </c>
      <c r="I450" s="5">
        <f>pima_data!G450/$B450</f>
        <v>0.00177518137454998</v>
      </c>
      <c r="J450" s="5">
        <f>pima_data!H450/$B450</f>
        <v>0.161946371011577</v>
      </c>
    </row>
    <row r="451" spans="1:10">
      <c r="A451" s="4" cm="1">
        <f t="array" ref="A451">SUM(POWER(pima_data!A451:H451,2))</f>
        <v>20993.612225</v>
      </c>
      <c r="B451" s="4">
        <f t="shared" si="7"/>
        <v>144.891725867974</v>
      </c>
      <c r="C451" s="5">
        <f>pima_data!A451/$B451</f>
        <v>0.00690170535280398</v>
      </c>
      <c r="D451" s="5">
        <f>pima_data!B451/$B451</f>
        <v>0.565939838929926</v>
      </c>
      <c r="E451" s="5">
        <f>pima_data!C451/$B451</f>
        <v>0.441709142579455</v>
      </c>
      <c r="F451" s="5">
        <f>pima_data!D451/$B451</f>
        <v>0.0897221695864518</v>
      </c>
      <c r="G451" s="5">
        <f>pima_data!E451/$B451</f>
        <v>0.655662008516378</v>
      </c>
      <c r="H451" s="5">
        <f>pima_data!F451/$B451</f>
        <v>0.146316153479444</v>
      </c>
      <c r="I451" s="5">
        <f>pima_data!G451/$B451</f>
        <v>0.00286420772141365</v>
      </c>
      <c r="J451" s="5">
        <f>pima_data!H451/$B451</f>
        <v>0.158739223114492</v>
      </c>
    </row>
    <row r="452" spans="1:10">
      <c r="A452" s="4" cm="1">
        <f t="array" ref="A452">SUM(POWER(pima_data!A452:H452,2))</f>
        <v>24224.503764</v>
      </c>
      <c r="B452" s="4">
        <f t="shared" si="7"/>
        <v>155.642230014865</v>
      </c>
      <c r="C452" s="5">
        <f>pima_data!A452/$B452</f>
        <v>0.0128499829372079</v>
      </c>
      <c r="D452" s="5">
        <f>pima_data!B452/$B452</f>
        <v>0.860948856792931</v>
      </c>
      <c r="E452" s="5">
        <f>pima_data!C452/$B452</f>
        <v>0.449749402802277</v>
      </c>
      <c r="F452" s="5">
        <f>pima_data!D452/$B452</f>
        <v>0</v>
      </c>
      <c r="G452" s="5">
        <f>pima_data!E452/$B452</f>
        <v>0</v>
      </c>
      <c r="H452" s="5">
        <f>pima_data!F452/$B452</f>
        <v>0.185682253442654</v>
      </c>
      <c r="I452" s="5">
        <f>pima_data!G452/$B452</f>
        <v>0.00348234537598335</v>
      </c>
      <c r="J452" s="5">
        <f>pima_data!H452/$B452</f>
        <v>0.147774803777891</v>
      </c>
    </row>
    <row r="453" spans="1:10">
      <c r="A453" s="4" cm="1">
        <f t="array" ref="A453">SUM(POWER(pima_data!A453:H453,2))</f>
        <v>60246.155161</v>
      </c>
      <c r="B453" s="4">
        <f t="shared" si="7"/>
        <v>245.450922102566</v>
      </c>
      <c r="C453" s="5">
        <f>pima_data!A453/$B453</f>
        <v>0</v>
      </c>
      <c r="D453" s="5">
        <f>pima_data!B453/$B453</f>
        <v>0.370746213623813</v>
      </c>
      <c r="E453" s="5">
        <f>pima_data!C453/$B453</f>
        <v>0.277041126663949</v>
      </c>
      <c r="F453" s="5">
        <f>pima_data!D453/$B453</f>
        <v>0.130372294900682</v>
      </c>
      <c r="G453" s="5">
        <f>pima_data!E453/$B453</f>
        <v>0.855568185285724</v>
      </c>
      <c r="H453" s="5">
        <f>pima_data!F453/$B453</f>
        <v>0.162557955204287</v>
      </c>
      <c r="I453" s="5">
        <f>pima_data!G453/$B453</f>
        <v>0.00155224513616124</v>
      </c>
      <c r="J453" s="5">
        <f>pima_data!H453/$B453</f>
        <v>0.101853355391158</v>
      </c>
    </row>
    <row r="454" spans="1:10">
      <c r="A454" s="4" cm="1">
        <f t="array" ref="A454">SUM(POWER(pima_data!A454:H454,2))</f>
        <v>19733.852224</v>
      </c>
      <c r="B454" s="4">
        <f t="shared" si="7"/>
        <v>140.477230268823</v>
      </c>
      <c r="C454" s="5">
        <f>pima_data!A454/$B454</f>
        <v>0.0142371827531958</v>
      </c>
      <c r="D454" s="5">
        <f>pima_data!B454/$B454</f>
        <v>0.847112373815148</v>
      </c>
      <c r="E454" s="5">
        <f>pima_data!C454/$B454</f>
        <v>0</v>
      </c>
      <c r="F454" s="5">
        <f>pima_data!D454/$B454</f>
        <v>0</v>
      </c>
      <c r="G454" s="5">
        <f>pima_data!E454/$B454</f>
        <v>0</v>
      </c>
      <c r="H454" s="5">
        <f>pima_data!F454/$B454</f>
        <v>0.139524390981318</v>
      </c>
      <c r="I454" s="5">
        <f>pima_data!G454/$B454</f>
        <v>0.00592266802532943</v>
      </c>
      <c r="J454" s="5">
        <f>pima_data!H454/$B454</f>
        <v>0.512538579115047</v>
      </c>
    </row>
    <row r="455" spans="1:10">
      <c r="A455" s="4" cm="1">
        <f t="array" ref="A455">SUM(POWER(pima_data!A455:H455,2))</f>
        <v>26734.088004</v>
      </c>
      <c r="B455" s="4">
        <f t="shared" si="7"/>
        <v>163.505620710727</v>
      </c>
      <c r="C455" s="5">
        <f>pima_data!A455/$B455</f>
        <v>0.0122319953975062</v>
      </c>
      <c r="D455" s="5">
        <f>pima_data!B455/$B455</f>
        <v>0.611599769875309</v>
      </c>
      <c r="E455" s="5">
        <f>pima_data!C455/$B455</f>
        <v>0.330263875732667</v>
      </c>
      <c r="F455" s="5">
        <f>pima_data!D455/$B455</f>
        <v>0.171247935565087</v>
      </c>
      <c r="G455" s="5">
        <f>pima_data!E455/$B455</f>
        <v>0.642179758369075</v>
      </c>
      <c r="H455" s="5">
        <f>pima_data!F455/$B455</f>
        <v>0.231184713012867</v>
      </c>
      <c r="I455" s="5">
        <f>pima_data!G455/$B455</f>
        <v>0.00304576685397904</v>
      </c>
      <c r="J455" s="5">
        <f>pima_data!H455/$B455</f>
        <v>0.146783944770074</v>
      </c>
    </row>
    <row r="456" spans="1:10">
      <c r="A456" s="4" cm="1">
        <f t="array" ref="A456">SUM(POWER(pima_data!A456:H456,2))</f>
        <v>38138.004944</v>
      </c>
      <c r="B456" s="4">
        <f t="shared" si="7"/>
        <v>195.28954130726</v>
      </c>
      <c r="C456" s="5">
        <f>pima_data!A456/$B456</f>
        <v>0.0716884268675352</v>
      </c>
      <c r="D456" s="5">
        <f>pima_data!B456/$B456</f>
        <v>0.89610533584419</v>
      </c>
      <c r="E456" s="5">
        <f>pima_data!C456/$B456</f>
        <v>0.317477318984799</v>
      </c>
      <c r="F456" s="5">
        <f>pima_data!D456/$B456</f>
        <v>0.15361805757329</v>
      </c>
      <c r="G456" s="5">
        <f>pima_data!E456/$B456</f>
        <v>0</v>
      </c>
      <c r="H456" s="5">
        <f>pima_data!F456/$B456</f>
        <v>0.172052224482084</v>
      </c>
      <c r="I456" s="5">
        <f>pima_data!G456/$B456</f>
        <v>0.00108556760685125</v>
      </c>
      <c r="J456" s="5">
        <f>pima_data!H456/$B456</f>
        <v>0.194582872926167</v>
      </c>
    </row>
    <row r="457" spans="1:10">
      <c r="A457" s="4" cm="1">
        <f t="array" ref="A457">SUM(POWER(pima_data!A457:H457,2))</f>
        <v>25699.361969</v>
      </c>
      <c r="B457" s="4">
        <f t="shared" si="7"/>
        <v>160.310205442448</v>
      </c>
      <c r="C457" s="5">
        <f>pima_data!A457/$B457</f>
        <v>0.00623790604746622</v>
      </c>
      <c r="D457" s="5">
        <f>pima_data!B457/$B457</f>
        <v>0.842117316407939</v>
      </c>
      <c r="E457" s="5">
        <f>pima_data!C457/$B457</f>
        <v>0.336846926563176</v>
      </c>
      <c r="F457" s="5">
        <f>pima_data!D457/$B457</f>
        <v>0</v>
      </c>
      <c r="G457" s="5">
        <f>pima_data!E457/$B457</f>
        <v>0</v>
      </c>
      <c r="H457" s="5">
        <f>pima_data!F457/$B457</f>
        <v>0.166552091467348</v>
      </c>
      <c r="I457" s="5">
        <f>pima_data!G457/$B457</f>
        <v>0.00428544145460929</v>
      </c>
      <c r="J457" s="5">
        <f>pima_data!H457/$B457</f>
        <v>0.386750174942905</v>
      </c>
    </row>
    <row r="458" spans="1:10">
      <c r="A458" s="4" cm="1">
        <f t="array" ref="A458">SUM(POWER(pima_data!A458:H458,2))</f>
        <v>19358.172496</v>
      </c>
      <c r="B458" s="4">
        <f t="shared" si="7"/>
        <v>139.133649761659</v>
      </c>
      <c r="C458" s="5">
        <f>pima_data!A458/$B458</f>
        <v>0.0359366695875885</v>
      </c>
      <c r="D458" s="5">
        <f>pima_data!B458/$B458</f>
        <v>0.618110716906522</v>
      </c>
      <c r="E458" s="5">
        <f>pima_data!C458/$B458</f>
        <v>0.488738706391203</v>
      </c>
      <c r="F458" s="5">
        <f>pima_data!D458/$B458</f>
        <v>0.201245349690496</v>
      </c>
      <c r="G458" s="5">
        <f>pima_data!E458/$B458</f>
        <v>0.510300708143756</v>
      </c>
      <c r="H458" s="5">
        <f>pima_data!F458/$B458</f>
        <v>0.217057484309034</v>
      </c>
      <c r="I458" s="5">
        <f>pima_data!G458/$B458</f>
        <v>0.00261618954597644</v>
      </c>
      <c r="J458" s="5">
        <f>pima_data!H458/$B458</f>
        <v>0.172496014020425</v>
      </c>
    </row>
    <row r="459" spans="1:10">
      <c r="A459" s="4" cm="1">
        <f t="array" ref="A459">SUM(POWER(pima_data!A459:H459,2))</f>
        <v>91548.762001</v>
      </c>
      <c r="B459" s="4">
        <f t="shared" si="7"/>
        <v>302.570259610888</v>
      </c>
      <c r="C459" s="5">
        <f>pima_data!A459/$B459</f>
        <v>0.0330501749010634</v>
      </c>
      <c r="D459" s="5">
        <f>pima_data!B459/$B459</f>
        <v>0.489142588535738</v>
      </c>
      <c r="E459" s="5">
        <f>pima_data!C459/$B459</f>
        <v>0.277621469168933</v>
      </c>
      <c r="F459" s="5">
        <f>pima_data!D459/$B459</f>
        <v>0.158640839525104</v>
      </c>
      <c r="G459" s="5">
        <f>pima_data!E459/$B459</f>
        <v>0.783289145155203</v>
      </c>
      <c r="H459" s="5">
        <f>pima_data!F459/$B459</f>
        <v>0.124268657627998</v>
      </c>
      <c r="I459" s="5">
        <f>pima_data!G459/$B459</f>
        <v>0.00330832250759645</v>
      </c>
      <c r="J459" s="5">
        <f>pima_data!H459/$B459</f>
        <v>0.168555891995423</v>
      </c>
    </row>
    <row r="460" spans="1:10">
      <c r="A460" s="4" cm="1">
        <f t="array" ref="A460">SUM(POWER(pima_data!A460:H460,2))</f>
        <v>35434.0216</v>
      </c>
      <c r="B460" s="4">
        <f t="shared" si="7"/>
        <v>188.2392668919</v>
      </c>
      <c r="C460" s="5">
        <f>pima_data!A460/$B460</f>
        <v>0.047811490921118</v>
      </c>
      <c r="D460" s="5">
        <f>pima_data!B460/$B460</f>
        <v>0.711859975936647</v>
      </c>
      <c r="E460" s="5">
        <f>pima_data!C460/$B460</f>
        <v>0.393116703129193</v>
      </c>
      <c r="F460" s="5">
        <f>pima_data!D460/$B460</f>
        <v>0.1753088000441</v>
      </c>
      <c r="G460" s="5">
        <f>pima_data!E460/$B460</f>
        <v>0.318743272807454</v>
      </c>
      <c r="H460" s="5">
        <f>pima_data!F460/$B460</f>
        <v>0.137590846095217</v>
      </c>
      <c r="I460" s="5">
        <f>pima_data!G460/$B460</f>
        <v>0.00244369842485714</v>
      </c>
      <c r="J460" s="5">
        <f>pima_data!H460/$B460</f>
        <v>0.430303418290062</v>
      </c>
    </row>
    <row r="461" spans="1:10">
      <c r="A461" s="4" cm="1">
        <f t="array" ref="A461">SUM(POWER(pima_data!A461:H461,2))</f>
        <v>26022.177289</v>
      </c>
      <c r="B461" s="4">
        <f t="shared" si="7"/>
        <v>161.31390916161</v>
      </c>
      <c r="C461" s="5">
        <f>pima_data!A461/$B461</f>
        <v>0.0557918411795694</v>
      </c>
      <c r="D461" s="5">
        <f>pima_data!B461/$B461</f>
        <v>0.743891215727592</v>
      </c>
      <c r="E461" s="5">
        <f>pima_data!C461/$B461</f>
        <v>0.446334729436555</v>
      </c>
      <c r="F461" s="5">
        <f>pima_data!D461/$B461</f>
        <v>0.136380056216725</v>
      </c>
      <c r="G461" s="5">
        <f>pima_data!E461/$B461</f>
        <v>0.34714923400621</v>
      </c>
      <c r="H461" s="5">
        <f>pima_data!F461/$B461</f>
        <v>0.128941144059449</v>
      </c>
      <c r="I461" s="5">
        <f>pima_data!G461/$B461</f>
        <v>0.00454393550940271</v>
      </c>
      <c r="J461" s="5">
        <f>pima_data!H461/$B461</f>
        <v>0.297556486291037</v>
      </c>
    </row>
    <row r="462" spans="1:10">
      <c r="A462" s="4" cm="1">
        <f t="array" ref="A462">SUM(POWER(pima_data!A462:H462,2))</f>
        <v>10037.413056</v>
      </c>
      <c r="B462" s="4">
        <f t="shared" si="7"/>
        <v>100.186890639444</v>
      </c>
      <c r="C462" s="5">
        <f>pima_data!A462/$B462</f>
        <v>0.00998134579901107</v>
      </c>
      <c r="D462" s="5">
        <f>pima_data!B462/$B462</f>
        <v>0.708675551729786</v>
      </c>
      <c r="E462" s="5">
        <f>pima_data!C462/$B462</f>
        <v>0.618843439538686</v>
      </c>
      <c r="F462" s="5">
        <f>pima_data!D462/$B462</f>
        <v>0</v>
      </c>
      <c r="G462" s="5">
        <f>pima_data!E462/$B462</f>
        <v>0</v>
      </c>
      <c r="H462" s="5">
        <f>pima_data!F462/$B462</f>
        <v>0.217593338418441</v>
      </c>
      <c r="I462" s="5">
        <f>pima_data!G462/$B462</f>
        <v>0.0041522398523886</v>
      </c>
      <c r="J462" s="5">
        <f>pima_data!H462/$B462</f>
        <v>0.259514990774288</v>
      </c>
    </row>
    <row r="463" spans="1:10">
      <c r="A463" s="4" cm="1">
        <f t="array" ref="A463">SUM(POWER(pima_data!A463:H463,2))</f>
        <v>17208.587025</v>
      </c>
      <c r="B463" s="4">
        <f t="shared" si="7"/>
        <v>131.181504126916</v>
      </c>
      <c r="C463" s="5">
        <f>pima_data!A463/$B463</f>
        <v>0.0609842069828697</v>
      </c>
      <c r="D463" s="5">
        <f>pima_data!B463/$B463</f>
        <v>0.564103914591545</v>
      </c>
      <c r="E463" s="5">
        <f>pima_data!C463/$B463</f>
        <v>0.53361181110011</v>
      </c>
      <c r="F463" s="5">
        <f>pima_data!D463/$B463</f>
        <v>0.304921034914348</v>
      </c>
      <c r="G463" s="5">
        <f>pima_data!E463/$B463</f>
        <v>0.373528267770077</v>
      </c>
      <c r="H463" s="5">
        <f>pima_data!F463/$B463</f>
        <v>0.269092813311912</v>
      </c>
      <c r="I463" s="5">
        <f>pima_data!G463/$B463</f>
        <v>0.00537423324036539</v>
      </c>
      <c r="J463" s="5">
        <f>pima_data!H463/$B463</f>
        <v>0.29729800904149</v>
      </c>
    </row>
    <row r="464" spans="1:10">
      <c r="A464" s="4" cm="1">
        <f t="array" ref="A464">SUM(POWER(pima_data!A464:H464,2))</f>
        <v>16883.826564</v>
      </c>
      <c r="B464" s="4">
        <f t="shared" si="7"/>
        <v>129.937779587001</v>
      </c>
      <c r="C464" s="5">
        <f>pima_data!A464/$B464</f>
        <v>0.0384799556825751</v>
      </c>
      <c r="D464" s="5">
        <f>pima_data!B464/$B464</f>
        <v>0.677247220013321</v>
      </c>
      <c r="E464" s="5">
        <f>pima_data!C464/$B464</f>
        <v>0.600287308648171</v>
      </c>
      <c r="F464" s="5">
        <f>pima_data!D464/$B464</f>
        <v>0.230879734095451</v>
      </c>
      <c r="G464" s="5">
        <f>pima_data!E464/$B464</f>
        <v>0</v>
      </c>
      <c r="H464" s="5">
        <f>pima_data!F464/$B464</f>
        <v>0.212409355367814</v>
      </c>
      <c r="I464" s="5">
        <f>pima_data!G464/$B464</f>
        <v>0.00198556571322087</v>
      </c>
      <c r="J464" s="5">
        <f>pima_data!H464/$B464</f>
        <v>0.284751672051056</v>
      </c>
    </row>
    <row r="465" spans="1:10">
      <c r="A465" s="4" cm="1">
        <f t="array" ref="A465">SUM(POWER(pima_data!A465:H465,2))</f>
        <v>24662.044484</v>
      </c>
      <c r="B465" s="4">
        <f t="shared" si="7"/>
        <v>157.041537447899</v>
      </c>
      <c r="C465" s="5">
        <f>pima_data!A465/$B465</f>
        <v>0.0636774203978844</v>
      </c>
      <c r="D465" s="5">
        <f>pima_data!B465/$B465</f>
        <v>0.732290334575671</v>
      </c>
      <c r="E465" s="5">
        <f>pima_data!C465/$B465</f>
        <v>0.624038719899267</v>
      </c>
      <c r="F465" s="5">
        <f>pima_data!D465/$B465</f>
        <v>0</v>
      </c>
      <c r="G465" s="5">
        <f>pima_data!E465/$B465</f>
        <v>0</v>
      </c>
      <c r="H465" s="5">
        <f>pima_data!F465/$B465</f>
        <v>0.152825808954923</v>
      </c>
      <c r="I465" s="5">
        <f>pima_data!G465/$B465</f>
        <v>0.00650783236466379</v>
      </c>
      <c r="J465" s="5">
        <f>pima_data!H465/$B465</f>
        <v>0.216503229352807</v>
      </c>
    </row>
    <row r="466" spans="1:10">
      <c r="A466" s="4" cm="1">
        <f t="array" ref="A466">SUM(POWER(pima_data!A466:H466,2))</f>
        <v>30622.444304</v>
      </c>
      <c r="B466" s="4">
        <f t="shared" si="7"/>
        <v>174.992697859082</v>
      </c>
      <c r="C466" s="5">
        <f>pima_data!A466/$B466</f>
        <v>0</v>
      </c>
      <c r="D466" s="5">
        <f>pima_data!B466/$B466</f>
        <v>0.708600996024729</v>
      </c>
      <c r="E466" s="5">
        <f>pima_data!C466/$B466</f>
        <v>0.320013353043426</v>
      </c>
      <c r="F466" s="5">
        <f>pima_data!D466/$B466</f>
        <v>0.0742888140993667</v>
      </c>
      <c r="G466" s="5">
        <f>pima_data!E466/$B466</f>
        <v>0.600025036956424</v>
      </c>
      <c r="H466" s="5">
        <f>pima_data!F466/$B466</f>
        <v>0.124576626720477</v>
      </c>
      <c r="I466" s="5">
        <f>pima_data!G466/$B466</f>
        <v>0.00258296492099337</v>
      </c>
      <c r="J466" s="5">
        <f>pima_data!H466/$B466</f>
        <v>0.120005007391285</v>
      </c>
    </row>
    <row r="467" spans="1:10">
      <c r="A467" s="4" cm="1">
        <f t="array" ref="A467">SUM(POWER(pima_data!A467:H467,2))</f>
        <v>10832.912361</v>
      </c>
      <c r="B467" s="4">
        <f t="shared" si="7"/>
        <v>104.081277667984</v>
      </c>
      <c r="C467" s="5">
        <f>pima_data!A467/$B467</f>
        <v>0</v>
      </c>
      <c r="D467" s="5">
        <f>pima_data!B467/$B467</f>
        <v>0.710982817063964</v>
      </c>
      <c r="E467" s="5">
        <f>pima_data!C467/$B467</f>
        <v>0.499609547126029</v>
      </c>
      <c r="F467" s="5">
        <f>pima_data!D467/$B467</f>
        <v>0.0960787590626979</v>
      </c>
      <c r="G467" s="5">
        <f>pima_data!E467/$B467</f>
        <v>0.345883532625712</v>
      </c>
      <c r="H467" s="5">
        <f>pima_data!F467/$B467</f>
        <v>0.2670989501943</v>
      </c>
      <c r="I467" s="5">
        <f>pima_data!G467/$B467</f>
        <v>0.00258451861878657</v>
      </c>
      <c r="J467" s="5">
        <f>pima_data!H467/$B467</f>
        <v>0.211373269937935</v>
      </c>
    </row>
    <row r="468" spans="1:10">
      <c r="A468" s="4" cm="1">
        <f t="array" ref="A468">SUM(POWER(pima_data!A468:H468,2))</f>
        <v>26780.6</v>
      </c>
      <c r="B468" s="4">
        <f t="shared" si="7"/>
        <v>163.647792530177</v>
      </c>
      <c r="C468" s="5">
        <f>pima_data!A468/$B468</f>
        <v>0</v>
      </c>
      <c r="D468" s="5">
        <f>pima_data!B468/$B468</f>
        <v>0.592736379148608</v>
      </c>
      <c r="E468" s="5">
        <f>pima_data!C468/$B468</f>
        <v>0.391083796551659</v>
      </c>
      <c r="F468" s="5">
        <f>pima_data!D468/$B468</f>
        <v>0.219984635560308</v>
      </c>
      <c r="G468" s="5">
        <f>pima_data!E468/$B468</f>
        <v>0.611068432111967</v>
      </c>
      <c r="H468" s="5">
        <f>pima_data!F468/$B468</f>
        <v>0.224873183017204</v>
      </c>
      <c r="I468" s="5">
        <f>pima_data!G468/$B468</f>
        <v>0.0036664105926718</v>
      </c>
      <c r="J468" s="5">
        <f>pima_data!H468/$B468</f>
        <v>0.152767108027992</v>
      </c>
    </row>
    <row r="469" spans="1:10">
      <c r="A469" s="4" cm="1">
        <f t="array" ref="A469">SUM(POWER(pima_data!A469:H469,2))</f>
        <v>16808.033489</v>
      </c>
      <c r="B469" s="4">
        <f t="shared" si="7"/>
        <v>129.645800120945</v>
      </c>
      <c r="C469" s="5">
        <f>pima_data!A469/$B469</f>
        <v>0.0617065882005966</v>
      </c>
      <c r="D469" s="5">
        <f>pima_data!B469/$B469</f>
        <v>0.925598823008948</v>
      </c>
      <c r="E469" s="5">
        <f>pima_data!C469/$B469</f>
        <v>0</v>
      </c>
      <c r="F469" s="5">
        <f>pima_data!D469/$B469</f>
        <v>0</v>
      </c>
      <c r="G469" s="5">
        <f>pima_data!E469/$B469</f>
        <v>0</v>
      </c>
      <c r="H469" s="5">
        <f>pima_data!F469/$B469</f>
        <v>0.231399705752237</v>
      </c>
      <c r="I469" s="5">
        <f>pima_data!G469/$B469</f>
        <v>0.00141153820508865</v>
      </c>
      <c r="J469" s="5">
        <f>pima_data!H469/$B469</f>
        <v>0.293106293952834</v>
      </c>
    </row>
    <row r="470" spans="1:10">
      <c r="A470" s="4" cm="1">
        <f t="array" ref="A470">SUM(POWER(pima_data!A470:H470,2))</f>
        <v>53971.536041</v>
      </c>
      <c r="B470" s="4">
        <f t="shared" si="7"/>
        <v>232.31774801121</v>
      </c>
      <c r="C470" s="5">
        <f>pima_data!A470/$B470</f>
        <v>0.0258266966315053</v>
      </c>
      <c r="D470" s="5">
        <f>pima_data!B470/$B470</f>
        <v>0.662885213541968</v>
      </c>
      <c r="E470" s="5">
        <f>pima_data!C470/$B470</f>
        <v>0.335747056209568</v>
      </c>
      <c r="F470" s="5">
        <f>pima_data!D470/$B470</f>
        <v>0.176482426981953</v>
      </c>
      <c r="G470" s="5">
        <f>pima_data!E470/$B470</f>
        <v>0.602622921401789</v>
      </c>
      <c r="H470" s="5">
        <f>pima_data!F470/$B470</f>
        <v>0.198435119118732</v>
      </c>
      <c r="I470" s="5">
        <f>pima_data!G470/$B470</f>
        <v>0.00245784062943158</v>
      </c>
      <c r="J470" s="5">
        <f>pima_data!H470/$B470</f>
        <v>0.116220134841774</v>
      </c>
    </row>
    <row r="471" spans="1:10">
      <c r="A471" s="4" cm="1">
        <f t="array" ref="A471">SUM(POWER(pima_data!A471:H471,2))</f>
        <v>31551.058449</v>
      </c>
      <c r="B471" s="4">
        <f t="shared" si="7"/>
        <v>177.626176136852</v>
      </c>
      <c r="C471" s="5">
        <f>pima_data!A471/$B471</f>
        <v>0.00562980086465156</v>
      </c>
      <c r="D471" s="5">
        <f>pima_data!B471/$B471</f>
        <v>0.810691324509825</v>
      </c>
      <c r="E471" s="5">
        <f>pima_data!C471/$B471</f>
        <v>0.461643670901428</v>
      </c>
      <c r="F471" s="5">
        <f>pima_data!D471/$B471</f>
        <v>0.225192034586062</v>
      </c>
      <c r="G471" s="5">
        <f>pima_data!E471/$B471</f>
        <v>0</v>
      </c>
      <c r="H471" s="5">
        <f>pima_data!F471/$B471</f>
        <v>0.232510775710109</v>
      </c>
      <c r="I471" s="5">
        <f>pima_data!G471/$B471</f>
        <v>0.0034172891248435</v>
      </c>
      <c r="J471" s="5">
        <f>pima_data!H471/$B471</f>
        <v>0.157634424210244</v>
      </c>
    </row>
    <row r="472" spans="1:10">
      <c r="A472" s="4" cm="1">
        <f t="array" ref="A472">SUM(POWER(pima_data!A472:H472,2))</f>
        <v>26699.2689</v>
      </c>
      <c r="B472" s="4">
        <f t="shared" si="7"/>
        <v>163.399109238698</v>
      </c>
      <c r="C472" s="5">
        <f>pima_data!A472/$B472</f>
        <v>0</v>
      </c>
      <c r="D472" s="5">
        <f>pima_data!B472/$B472</f>
        <v>0.83843786320687</v>
      </c>
      <c r="E472" s="5">
        <f>pima_data!C472/$B472</f>
        <v>0.42839890820789</v>
      </c>
      <c r="F472" s="5">
        <f>pima_data!D472/$B472</f>
        <v>0.232559407312854</v>
      </c>
      <c r="G472" s="5">
        <f>pima_data!E472/$B472</f>
        <v>0</v>
      </c>
      <c r="H472" s="5">
        <f>pima_data!F472/$B472</f>
        <v>0.203183482178599</v>
      </c>
      <c r="I472" s="5">
        <f>pima_data!G472/$B472</f>
        <v>0.00104039734850488</v>
      </c>
      <c r="J472" s="5">
        <f>pima_data!H472/$B472</f>
        <v>0.134639656865337</v>
      </c>
    </row>
    <row r="473" spans="1:10">
      <c r="A473" s="4" cm="1">
        <f t="array" ref="A473">SUM(POWER(pima_data!A473:H473,2))</f>
        <v>21235.507081</v>
      </c>
      <c r="B473" s="4">
        <f t="shared" si="7"/>
        <v>145.724078590328</v>
      </c>
      <c r="C473" s="5">
        <f>pima_data!A473/$B473</f>
        <v>0</v>
      </c>
      <c r="D473" s="5">
        <f>pima_data!B473/$B473</f>
        <v>0.816611785445172</v>
      </c>
      <c r="E473" s="5">
        <f>pima_data!C473/$B473</f>
        <v>0.452910738146062</v>
      </c>
      <c r="F473" s="5">
        <f>pima_data!D473/$B473</f>
        <v>0.185281665605207</v>
      </c>
      <c r="G473" s="5">
        <f>pima_data!E473/$B473</f>
        <v>0</v>
      </c>
      <c r="H473" s="5">
        <f>pima_data!F473/$B473</f>
        <v>0.266256615758594</v>
      </c>
      <c r="I473" s="5">
        <f>pima_data!G473/$B473</f>
        <v>0.00177733153302773</v>
      </c>
      <c r="J473" s="5">
        <f>pima_data!H473/$B473</f>
        <v>0.150970246048687</v>
      </c>
    </row>
    <row r="474" spans="1:10">
      <c r="A474" s="4" cm="1">
        <f t="array" ref="A474">SUM(POWER(pima_data!A474:H474,2))</f>
        <v>30039.0541</v>
      </c>
      <c r="B474" s="4">
        <f t="shared" si="7"/>
        <v>173.317783565334</v>
      </c>
      <c r="C474" s="5">
        <f>pima_data!A474/$B474</f>
        <v>0.0403882386215796</v>
      </c>
      <c r="D474" s="5">
        <f>pima_data!B474/$B474</f>
        <v>0.784685778933546</v>
      </c>
      <c r="E474" s="5">
        <f>pima_data!C474/$B474</f>
        <v>0.519277353706023</v>
      </c>
      <c r="F474" s="5">
        <f>pima_data!D474/$B474</f>
        <v>0</v>
      </c>
      <c r="G474" s="5">
        <f>pima_data!E474/$B474</f>
        <v>0</v>
      </c>
      <c r="H474" s="5">
        <f>pima_data!F474/$B474</f>
        <v>0.17251547639789</v>
      </c>
      <c r="I474" s="5">
        <f>pima_data!G474/$B474</f>
        <v>0.00121164715864739</v>
      </c>
      <c r="J474" s="5">
        <f>pima_data!H474/$B474</f>
        <v>0.288487418725569</v>
      </c>
    </row>
    <row r="475" spans="1:10">
      <c r="A475" s="4" cm="1">
        <f t="array" ref="A475">SUM(POWER(pima_data!A475:H475,2))</f>
        <v>18519.225876</v>
      </c>
      <c r="B475" s="4">
        <f t="shared" si="7"/>
        <v>136.085362460479</v>
      </c>
      <c r="C475" s="5">
        <f>pima_data!A475/$B475</f>
        <v>0.029393315546054</v>
      </c>
      <c r="D475" s="5">
        <f>pima_data!B475/$B475</f>
        <v>0.83770949306254</v>
      </c>
      <c r="E475" s="5">
        <f>pima_data!C475/$B475</f>
        <v>0.470293048736864</v>
      </c>
      <c r="F475" s="5">
        <f>pima_data!D475/$B475</f>
        <v>0</v>
      </c>
      <c r="G475" s="5">
        <f>pima_data!E475/$B475</f>
        <v>0</v>
      </c>
      <c r="H475" s="5">
        <f>pima_data!F475/$B475</f>
        <v>0.21236670482024</v>
      </c>
      <c r="I475" s="5">
        <f>pima_data!G475/$B475</f>
        <v>0.000925889439700702</v>
      </c>
      <c r="J475" s="5">
        <f>pima_data!H475/$B475</f>
        <v>0.176359893276324</v>
      </c>
    </row>
    <row r="476" spans="1:10">
      <c r="A476" s="4" cm="1">
        <f t="array" ref="A476">SUM(POWER(pima_data!A476:H476,2))</f>
        <v>30780.343361</v>
      </c>
      <c r="B476" s="4">
        <f t="shared" si="7"/>
        <v>175.443276762035</v>
      </c>
      <c r="C476" s="5">
        <f>pima_data!A476/$B476</f>
        <v>0</v>
      </c>
      <c r="D476" s="5">
        <f>pima_data!B476/$B476</f>
        <v>0.780879168061948</v>
      </c>
      <c r="E476" s="5">
        <f>pima_data!C476/$B476</f>
        <v>0.478787227132873</v>
      </c>
      <c r="F476" s="5">
        <f>pima_data!D476/$B476</f>
        <v>0.153895894435566</v>
      </c>
      <c r="G476" s="5">
        <f>pima_data!E476/$B476</f>
        <v>0</v>
      </c>
      <c r="H476" s="5">
        <f>pima_data!F476/$B476</f>
        <v>0.155605848818184</v>
      </c>
      <c r="I476" s="5">
        <f>pima_data!G476/$B476</f>
        <v>0.0013166648746154</v>
      </c>
      <c r="J476" s="5">
        <f>pima_data!H476/$B476</f>
        <v>0.336291028581423</v>
      </c>
    </row>
    <row r="477" spans="1:10">
      <c r="A477" s="4" cm="1">
        <f t="array" ref="A477">SUM(POWER(pima_data!A477:H477,2))</f>
        <v>57912.195521</v>
      </c>
      <c r="B477" s="4">
        <f t="shared" si="7"/>
        <v>240.64952840386</v>
      </c>
      <c r="C477" s="5">
        <f>pima_data!A477/$B477</f>
        <v>0.00831084113592605</v>
      </c>
      <c r="D477" s="5">
        <f>pima_data!B477/$B477</f>
        <v>0.436319159636118</v>
      </c>
      <c r="E477" s="5">
        <f>pima_data!C477/$B477</f>
        <v>0.332433645437042</v>
      </c>
      <c r="F477" s="5">
        <f>pima_data!D477/$B477</f>
        <v>0.186993925558336</v>
      </c>
      <c r="G477" s="5">
        <f>pima_data!E477/$B477</f>
        <v>0.793685328480938</v>
      </c>
      <c r="H477" s="5">
        <f>pima_data!F477/$B477</f>
        <v>0.140037673140354</v>
      </c>
      <c r="I477" s="5">
        <f>pima_data!G477/$B477</f>
        <v>0.00295450402382171</v>
      </c>
      <c r="J477" s="5">
        <f>pima_data!H477/$B477</f>
        <v>0.120507196470928</v>
      </c>
    </row>
    <row r="478" spans="1:10">
      <c r="A478" s="4" cm="1">
        <f t="array" ref="A478">SUM(POWER(pima_data!A478:H478,2))</f>
        <v>32737.657156</v>
      </c>
      <c r="B478" s="4">
        <f t="shared" si="7"/>
        <v>180.935505515087</v>
      </c>
      <c r="C478" s="5">
        <f>pima_data!A478/$B478</f>
        <v>0.0386878185134113</v>
      </c>
      <c r="D478" s="5">
        <f>pima_data!B478/$B478</f>
        <v>0.630058758646983</v>
      </c>
      <c r="E478" s="5">
        <f>pima_data!C478/$B478</f>
        <v>0.420039172431322</v>
      </c>
      <c r="F478" s="5">
        <f>pima_data!D478/$B478</f>
        <v>0.0939561306754274</v>
      </c>
      <c r="G478" s="5">
        <f>pima_data!E478/$B478</f>
        <v>0.607951433782177</v>
      </c>
      <c r="H478" s="5">
        <f>pima_data!F478/$B478</f>
        <v>0.131538582945598</v>
      </c>
      <c r="I478" s="5">
        <f>pima_data!G478/$B478</f>
        <v>0.00257550334674995</v>
      </c>
      <c r="J478" s="5">
        <f>pima_data!H478/$B478</f>
        <v>0.17133176770225</v>
      </c>
    </row>
    <row r="479" spans="1:10">
      <c r="A479" s="4" cm="1">
        <f t="array" ref="A479">SUM(POWER(pima_data!A479:H479,2))</f>
        <v>30676.836244</v>
      </c>
      <c r="B479" s="4">
        <f t="shared" si="7"/>
        <v>175.148040936803</v>
      </c>
      <c r="C479" s="5">
        <f>pima_data!A479/$B479</f>
        <v>0.0456756464828891</v>
      </c>
      <c r="D479" s="5">
        <f>pima_data!B479/$B479</f>
        <v>0.719391432105503</v>
      </c>
      <c r="E479" s="5">
        <f>pima_data!C479/$B479</f>
        <v>0.422499729966724</v>
      </c>
      <c r="F479" s="5">
        <f>pima_data!D479/$B479</f>
        <v>0.216959320793723</v>
      </c>
      <c r="G479" s="5">
        <f>pima_data!E479/$B479</f>
        <v>0.428209185777085</v>
      </c>
      <c r="H479" s="5">
        <f>pima_data!F479/$B479</f>
        <v>0.147874905488353</v>
      </c>
      <c r="I479" s="5">
        <f>pima_data!G479/$B479</f>
        <v>0.000924931841278504</v>
      </c>
      <c r="J479" s="5">
        <f>pima_data!H479/$B479</f>
        <v>0.222668776604084</v>
      </c>
    </row>
    <row r="480" spans="1:10">
      <c r="A480" s="4" cm="1">
        <f t="array" ref="A480">SUM(POWER(pima_data!A480:H480,2))</f>
        <v>30550.175561</v>
      </c>
      <c r="B480" s="4">
        <f t="shared" si="7"/>
        <v>174.786085146959</v>
      </c>
      <c r="C480" s="5">
        <f>pima_data!A480/$B480</f>
        <v>0.0228851169510252</v>
      </c>
      <c r="D480" s="5">
        <f>pima_data!B480/$B480</f>
        <v>0.755208859383831</v>
      </c>
      <c r="E480" s="5">
        <f>pima_data!C480/$B480</f>
        <v>0.492030014447041</v>
      </c>
      <c r="F480" s="5">
        <f>pima_data!D480/$B480</f>
        <v>0.177359656370445</v>
      </c>
      <c r="G480" s="5">
        <f>pima_data!E480/$B480</f>
        <v>0</v>
      </c>
      <c r="H480" s="5">
        <f>pima_data!F480/$B480</f>
        <v>0.160195818657176</v>
      </c>
      <c r="I480" s="5">
        <f>pima_data!G480/$B480</f>
        <v>0.00239721600061989</v>
      </c>
      <c r="J480" s="5">
        <f>pima_data!H480/$B480</f>
        <v>0.360440591978646</v>
      </c>
    </row>
    <row r="481" spans="1:10">
      <c r="A481" s="4" cm="1">
        <f t="array" ref="A481">SUM(POWER(pima_data!A481:H481,2))</f>
        <v>140842.368336</v>
      </c>
      <c r="B481" s="4">
        <f t="shared" si="7"/>
        <v>375.289712536861</v>
      </c>
      <c r="C481" s="5">
        <f>pima_data!A481/$B481</f>
        <v>0.00799382423706948</v>
      </c>
      <c r="D481" s="5">
        <f>pima_data!B481/$B481</f>
        <v>0.421008076485659</v>
      </c>
      <c r="E481" s="5">
        <f>pima_data!C481/$B481</f>
        <v>0.186522565531621</v>
      </c>
      <c r="F481" s="5">
        <f>pima_data!D481/$B481</f>
        <v>0.0799382423706948</v>
      </c>
      <c r="G481" s="5">
        <f>pima_data!E481/$B481</f>
        <v>0.873991449919597</v>
      </c>
      <c r="H481" s="5">
        <f>pima_data!F481/$B481</f>
        <v>0.0945935868053222</v>
      </c>
      <c r="I481" s="5">
        <f>pima_data!G481/$B481</f>
        <v>0.000916625179183967</v>
      </c>
      <c r="J481" s="5">
        <f>pima_data!H481/$B481</f>
        <v>0.0932612827658106</v>
      </c>
    </row>
    <row r="482" spans="1:10">
      <c r="A482" s="4" cm="1">
        <f t="array" ref="A482">SUM(POWER(pima_data!A482:H482,2))</f>
        <v>26322.078809</v>
      </c>
      <c r="B482" s="4">
        <f t="shared" si="7"/>
        <v>162.240805006016</v>
      </c>
      <c r="C482" s="5">
        <f>pima_data!A482/$B482</f>
        <v>0</v>
      </c>
      <c r="D482" s="5">
        <f>pima_data!B482/$B482</f>
        <v>0.7581323329568</v>
      </c>
      <c r="E482" s="5">
        <f>pima_data!C482/$B482</f>
        <v>0.542403620326817</v>
      </c>
      <c r="F482" s="5">
        <f>pima_data!D482/$B482</f>
        <v>0.228056067637411</v>
      </c>
      <c r="G482" s="5">
        <f>pima_data!E482/$B482</f>
        <v>0</v>
      </c>
      <c r="H482" s="5">
        <f>pima_data!F482/$B482</f>
        <v>0.216961448130727</v>
      </c>
      <c r="I482" s="5">
        <f>pima_data!G482/$B482</f>
        <v>0.00121424446823162</v>
      </c>
      <c r="J482" s="5">
        <f>pima_data!H482/$B482</f>
        <v>0.178746647607701</v>
      </c>
    </row>
    <row r="483" spans="1:10">
      <c r="A483" s="4" cm="1">
        <f t="array" ref="A483">SUM(POWER(pima_data!A483:H483,2))</f>
        <v>15046.933636</v>
      </c>
      <c r="B483" s="4">
        <f t="shared" si="7"/>
        <v>122.665943260548</v>
      </c>
      <c r="C483" s="5">
        <f>pima_data!A483/$B483</f>
        <v>0.0326088879576283</v>
      </c>
      <c r="D483" s="5">
        <f>pima_data!B483/$B483</f>
        <v>0.692938869099601</v>
      </c>
      <c r="E483" s="5">
        <f>pima_data!C483/$B483</f>
        <v>0.47282887538561</v>
      </c>
      <c r="F483" s="5">
        <f>pima_data!D483/$B483</f>
        <v>0.179348883766956</v>
      </c>
      <c r="G483" s="5">
        <f>pima_data!E483/$B483</f>
        <v>0.399458877480946</v>
      </c>
      <c r="H483" s="5">
        <f>pima_data!F483/$B483</f>
        <v>0.226631771305517</v>
      </c>
      <c r="I483" s="5">
        <f>pima_data!G483/$B483</f>
        <v>0.00249457992875856</v>
      </c>
      <c r="J483" s="5">
        <f>pima_data!H483/$B483</f>
        <v>0.228262215703398</v>
      </c>
    </row>
    <row r="484" spans="1:10">
      <c r="A484" s="4" cm="1">
        <f t="array" ref="A484">SUM(POWER(pima_data!A484:H484,2))</f>
        <v>32354.294289</v>
      </c>
      <c r="B484" s="4">
        <f t="shared" si="7"/>
        <v>179.87299488528</v>
      </c>
      <c r="C484" s="5">
        <f>pima_data!A484/$B484</f>
        <v>0</v>
      </c>
      <c r="D484" s="5">
        <f>pima_data!B484/$B484</f>
        <v>0.466996171679766</v>
      </c>
      <c r="E484" s="5">
        <f>pima_data!C484/$B484</f>
        <v>0.455877215211201</v>
      </c>
      <c r="F484" s="5">
        <f>pima_data!D484/$B484</f>
        <v>0.172343825262771</v>
      </c>
      <c r="G484" s="5">
        <f>pima_data!E484/$B484</f>
        <v>0.694934779285367</v>
      </c>
      <c r="H484" s="5">
        <f>pima_data!F484/$B484</f>
        <v>0.212372068549608</v>
      </c>
      <c r="I484" s="5">
        <f>pima_data!G484/$B484</f>
        <v>0.00129535842858792</v>
      </c>
      <c r="J484" s="5">
        <f>pima_data!H484/$B484</f>
        <v>0.127867999388507</v>
      </c>
    </row>
    <row r="485" spans="1:10">
      <c r="A485" s="4" cm="1">
        <f t="array" ref="A485">SUM(POWER(pima_data!A485:H485,2))</f>
        <v>23940.0369</v>
      </c>
      <c r="B485" s="4">
        <f t="shared" si="7"/>
        <v>154.725682742071</v>
      </c>
      <c r="C485" s="5">
        <f>pima_data!A485/$B485</f>
        <v>0</v>
      </c>
      <c r="D485" s="5">
        <f>pima_data!B485/$B485</f>
        <v>0.937142415081252</v>
      </c>
      <c r="E485" s="5">
        <f>pima_data!C485/$B485</f>
        <v>0</v>
      </c>
      <c r="F485" s="5">
        <f>pima_data!D485/$B485</f>
        <v>0</v>
      </c>
      <c r="G485" s="5">
        <f>pima_data!E485/$B485</f>
        <v>0</v>
      </c>
      <c r="H485" s="5">
        <f>pima_data!F485/$B485</f>
        <v>0.28566686032132</v>
      </c>
      <c r="I485" s="5">
        <f>pima_data!G485/$B485</f>
        <v>0.00407172221724958</v>
      </c>
      <c r="J485" s="5">
        <f>pima_data!H485/$B485</f>
        <v>0.200354585293233</v>
      </c>
    </row>
    <row r="486" spans="1:10">
      <c r="A486" s="4" cm="1">
        <f t="array" ref="A486">SUM(POWER(pima_data!A486:H486,2))</f>
        <v>89478.423225</v>
      </c>
      <c r="B486" s="4">
        <f t="shared" si="7"/>
        <v>299.129442257027</v>
      </c>
      <c r="C486" s="5">
        <f>pima_data!A486/$B486</f>
        <v>0</v>
      </c>
      <c r="D486" s="5">
        <f>pima_data!B486/$B486</f>
        <v>0.451309636996552</v>
      </c>
      <c r="E486" s="5">
        <f>pima_data!C486/$B486</f>
        <v>0.227326335672338</v>
      </c>
      <c r="F486" s="5">
        <f>pima_data!D486/$B486</f>
        <v>0.14040744262115</v>
      </c>
      <c r="G486" s="5">
        <f>pima_data!E486/$B486</f>
        <v>0.835758587030653</v>
      </c>
      <c r="H486" s="5">
        <f>pima_data!F486/$B486</f>
        <v>0.141410352925586</v>
      </c>
      <c r="I486" s="5">
        <f>pima_data!G486/$B486</f>
        <v>0.00122020753706475</v>
      </c>
      <c r="J486" s="5">
        <f>pima_data!H486/$B486</f>
        <v>0.0802328243549427</v>
      </c>
    </row>
    <row r="487" spans="1:10">
      <c r="A487" s="4" cm="1">
        <f t="array" ref="A487">SUM(POWER(pima_data!A487:H487,2))</f>
        <v>257344.777296</v>
      </c>
      <c r="B487" s="4">
        <f t="shared" si="7"/>
        <v>507.291609723638</v>
      </c>
      <c r="C487" s="5">
        <f>pima_data!A487/$B487</f>
        <v>0.00197125278800645</v>
      </c>
      <c r="D487" s="5">
        <f>pima_data!B487/$B487</f>
        <v>0.274004137532896</v>
      </c>
      <c r="E487" s="5">
        <f>pima_data!C487/$B487</f>
        <v>0.1222176728564</v>
      </c>
      <c r="F487" s="5">
        <f>pima_data!D487/$B487</f>
        <v>0.0808213643082643</v>
      </c>
      <c r="G487" s="5">
        <f>pima_data!E487/$B487</f>
        <v>0.946201338243094</v>
      </c>
      <c r="H487" s="5">
        <f>pima_data!F487/$B487</f>
        <v>0.0802299884718624</v>
      </c>
      <c r="I487" s="5">
        <f>pima_data!G487/$B487</f>
        <v>0.00105659149437146</v>
      </c>
      <c r="J487" s="5">
        <f>pima_data!H487/$B487</f>
        <v>0.0413963085481354</v>
      </c>
    </row>
    <row r="488" spans="1:10">
      <c r="A488" s="4" cm="1">
        <f t="array" ref="A488">SUM(POWER(pima_data!A488:H488,2))</f>
        <v>112789.593281</v>
      </c>
      <c r="B488" s="4">
        <f t="shared" si="7"/>
        <v>335.841619340129</v>
      </c>
      <c r="C488" s="5">
        <f>pima_data!A488/$B488</f>
        <v>0</v>
      </c>
      <c r="D488" s="5">
        <f>pima_data!B488/$B488</f>
        <v>0.515123766791964</v>
      </c>
      <c r="E488" s="5">
        <f>pima_data!C488/$B488</f>
        <v>0.232252334160539</v>
      </c>
      <c r="F488" s="5">
        <f>pima_data!D488/$B488</f>
        <v>0.0952830088863748</v>
      </c>
      <c r="G488" s="5">
        <f>pima_data!E488/$B488</f>
        <v>0.789062417340291</v>
      </c>
      <c r="H488" s="5">
        <f>pima_data!F488/$B488</f>
        <v>0.138458122288013</v>
      </c>
      <c r="I488" s="5">
        <f>pima_data!G488/$B488</f>
        <v>0.00345103147810339</v>
      </c>
      <c r="J488" s="5">
        <f>pima_data!H488/$B488</f>
        <v>0.172700453606554</v>
      </c>
    </row>
    <row r="489" spans="1:10">
      <c r="A489" s="4" cm="1">
        <f t="array" ref="A489">SUM(POWER(pima_data!A489:H489,2))</f>
        <v>16729.446436</v>
      </c>
      <c r="B489" s="4">
        <f t="shared" si="7"/>
        <v>129.342361336107</v>
      </c>
      <c r="C489" s="5">
        <f>pima_data!A489/$B489</f>
        <v>0.0309256763111481</v>
      </c>
      <c r="D489" s="5">
        <f>pima_data!B489/$B489</f>
        <v>0.765410488700917</v>
      </c>
      <c r="E489" s="5">
        <f>pima_data!C489/$B489</f>
        <v>0.556662173600667</v>
      </c>
      <c r="F489" s="5">
        <f>pima_data!D489/$B489</f>
        <v>0.13143412432238</v>
      </c>
      <c r="G489" s="5">
        <f>pima_data!E489/$B489</f>
        <v>0</v>
      </c>
      <c r="H489" s="5">
        <f>pima_data!F489/$B489</f>
        <v>0.197924328391348</v>
      </c>
      <c r="I489" s="5">
        <f>pima_data!G489/$B489</f>
        <v>0.00227303720886939</v>
      </c>
      <c r="J489" s="5">
        <f>pima_data!H489/$B489</f>
        <v>0.216479734178037</v>
      </c>
    </row>
    <row r="490" spans="1:10">
      <c r="A490" s="4" cm="1">
        <f t="array" ref="A490">SUM(POWER(pima_data!A490:H490,2))</f>
        <v>49270.513601</v>
      </c>
      <c r="B490" s="4">
        <f t="shared" si="7"/>
        <v>221.969623149205</v>
      </c>
      <c r="C490" s="5">
        <f>pima_data!A490/$B490</f>
        <v>0.0360409676175488</v>
      </c>
      <c r="D490" s="5">
        <f>pima_data!B490/$B490</f>
        <v>0.873993464725558</v>
      </c>
      <c r="E490" s="5">
        <f>pima_data!C490/$B490</f>
        <v>0.360409676175488</v>
      </c>
      <c r="F490" s="5">
        <f>pima_data!D490/$B490</f>
        <v>0</v>
      </c>
      <c r="G490" s="5">
        <f>pima_data!E490/$B490</f>
        <v>0</v>
      </c>
      <c r="H490" s="5">
        <f>pima_data!F490/$B490</f>
        <v>0.117583656852253</v>
      </c>
      <c r="I490" s="5">
        <f>pima_data!G490/$B490</f>
        <v>0.00248232164465867</v>
      </c>
      <c r="J490" s="5">
        <f>pima_data!H490/$B490</f>
        <v>0.301843103796971</v>
      </c>
    </row>
    <row r="491" spans="1:10">
      <c r="A491" s="4" cm="1">
        <f t="array" ref="A491">SUM(POWER(pima_data!A491:H491,2))</f>
        <v>18188.635641</v>
      </c>
      <c r="B491" s="4">
        <f t="shared" si="7"/>
        <v>134.865249938596</v>
      </c>
      <c r="C491" s="5">
        <f>pima_data!A491/$B491</f>
        <v>0.0148296169762826</v>
      </c>
      <c r="D491" s="5">
        <f>pima_data!B491/$B491</f>
        <v>0.615429104515728</v>
      </c>
      <c r="E491" s="5">
        <f>pima_data!C491/$B491</f>
        <v>0.481962551729184</v>
      </c>
      <c r="F491" s="5">
        <f>pima_data!D491/$B491</f>
        <v>0.207614637667956</v>
      </c>
      <c r="G491" s="5">
        <f>pima_data!E491/$B491</f>
        <v>0.489377360217326</v>
      </c>
      <c r="H491" s="5">
        <f>pima_data!F491/$B491</f>
        <v>0.2728649523636</v>
      </c>
      <c r="I491" s="5">
        <f>pima_data!G491/$B491</f>
        <v>0.00466391453904088</v>
      </c>
      <c r="J491" s="5">
        <f>pima_data!H491/$B491</f>
        <v>0.177955403715391</v>
      </c>
    </row>
    <row r="492" spans="1:10">
      <c r="A492" s="4" cm="1">
        <f t="array" ref="A492">SUM(POWER(pima_data!A492:H492,2))</f>
        <v>19811.335264</v>
      </c>
      <c r="B492" s="4">
        <f t="shared" si="7"/>
        <v>140.752745138416</v>
      </c>
      <c r="C492" s="5">
        <f>pima_data!A492/$B492</f>
        <v>0.0142093143407839</v>
      </c>
      <c r="D492" s="5">
        <f>pima_data!B492/$B492</f>
        <v>0.632314488164883</v>
      </c>
      <c r="E492" s="5">
        <f>pima_data!C492/$B492</f>
        <v>0.639419145335275</v>
      </c>
      <c r="F492" s="5">
        <f>pima_data!D492/$B492</f>
        <v>0.213139715111758</v>
      </c>
      <c r="G492" s="5">
        <f>pima_data!E492/$B492</f>
        <v>0</v>
      </c>
      <c r="H492" s="5">
        <f>pima_data!F492/$B492</f>
        <v>0.23800601520813</v>
      </c>
      <c r="I492" s="5">
        <f>pima_data!G492/$B492</f>
        <v>0.00207455989375445</v>
      </c>
      <c r="J492" s="5">
        <f>pima_data!H492/$B492</f>
        <v>0.298395601156462</v>
      </c>
    </row>
    <row r="493" spans="1:10">
      <c r="A493" s="4" cm="1">
        <f t="array" ref="A493">SUM(POWER(pima_data!A493:H493,2))</f>
        <v>18049.861025</v>
      </c>
      <c r="B493" s="4">
        <f t="shared" si="7"/>
        <v>134.349771213054</v>
      </c>
      <c r="C493" s="5">
        <f>pima_data!A493/$B493</f>
        <v>0.0297730317207368</v>
      </c>
      <c r="D493" s="5">
        <f>pima_data!B493/$B493</f>
        <v>0.736882535088237</v>
      </c>
      <c r="E493" s="5">
        <f>pima_data!C493/$B493</f>
        <v>0.506141539252526</v>
      </c>
      <c r="F493" s="5">
        <f>pima_data!D493/$B493</f>
        <v>0.282843801347</v>
      </c>
      <c r="G493" s="5">
        <f>pima_data!E493/$B493</f>
        <v>0</v>
      </c>
      <c r="H493" s="5">
        <f>pima_data!F493/$B493</f>
        <v>0.244138860110042</v>
      </c>
      <c r="I493" s="5">
        <f>pima_data!G493/$B493</f>
        <v>0.00107927239987671</v>
      </c>
      <c r="J493" s="5">
        <f>pima_data!H493/$B493</f>
        <v>0.245627511696079</v>
      </c>
    </row>
    <row r="494" spans="1:10">
      <c r="A494" s="4" cm="1">
        <f t="array" ref="A494">SUM(POWER(pima_data!A494:H494,2))</f>
        <v>38610.518736</v>
      </c>
      <c r="B494" s="4">
        <f t="shared" si="7"/>
        <v>196.495594698711</v>
      </c>
      <c r="C494" s="5">
        <f>pima_data!A494/$B494</f>
        <v>0.0203566904699988</v>
      </c>
      <c r="D494" s="5">
        <f>pima_data!B494/$B494</f>
        <v>0.636146577187464</v>
      </c>
      <c r="E494" s="5">
        <f>pima_data!C494/$B494</f>
        <v>0.35624208322498</v>
      </c>
      <c r="F494" s="5">
        <f>pima_data!D494/$B494</f>
        <v>0.0916051071149948</v>
      </c>
      <c r="G494" s="5">
        <f>pima_data!E494/$B494</f>
        <v>0.620879059334965</v>
      </c>
      <c r="H494" s="5">
        <f>pima_data!F494/$B494</f>
        <v>0.147077088645742</v>
      </c>
      <c r="I494" s="5">
        <f>pima_data!G494/$B494</f>
        <v>0.00582201347441967</v>
      </c>
      <c r="J494" s="5">
        <f>pima_data!H494/$B494</f>
        <v>0.229012767787487</v>
      </c>
    </row>
    <row r="495" spans="1:10">
      <c r="A495" s="4" cm="1">
        <f t="array" ref="A495">SUM(POWER(pima_data!A495:H495,2))</f>
        <v>6893.030276</v>
      </c>
      <c r="B495" s="4">
        <f t="shared" si="7"/>
        <v>83.0242752211665</v>
      </c>
      <c r="C495" s="5">
        <f>pima_data!A495/$B495</f>
        <v>0.0361340101073857</v>
      </c>
      <c r="D495" s="5">
        <f>pima_data!B495/$B495</f>
        <v>0.963573602863618</v>
      </c>
      <c r="E495" s="5">
        <f>pima_data!C495/$B495</f>
        <v>0</v>
      </c>
      <c r="F495" s="5">
        <f>pima_data!D495/$B495</f>
        <v>0</v>
      </c>
      <c r="G495" s="5">
        <f>pima_data!E495/$B495</f>
        <v>0</v>
      </c>
      <c r="H495" s="5">
        <f>pima_data!F495/$B495</f>
        <v>0</v>
      </c>
      <c r="I495" s="5">
        <f>pima_data!G495/$B495</f>
        <v>0.00209577258622837</v>
      </c>
      <c r="J495" s="5">
        <f>pima_data!H495/$B495</f>
        <v>0.264982740787495</v>
      </c>
    </row>
    <row r="496" spans="1:10">
      <c r="A496" s="4" cm="1">
        <f t="array" ref="A496">SUM(POWER(pima_data!A496:H496,2))</f>
        <v>38131.652416</v>
      </c>
      <c r="B496" s="4">
        <f t="shared" si="7"/>
        <v>195.273276246393</v>
      </c>
      <c r="C496" s="5">
        <f>pima_data!A496/$B496</f>
        <v>0.0307261706022144</v>
      </c>
      <c r="D496" s="5">
        <f>pima_data!B496/$B496</f>
        <v>0.850090719994598</v>
      </c>
      <c r="E496" s="5">
        <f>pima_data!C496/$B496</f>
        <v>0.378956104093977</v>
      </c>
      <c r="F496" s="5">
        <f>pima_data!D496/$B496</f>
        <v>0</v>
      </c>
      <c r="G496" s="5">
        <f>pima_data!E496/$B496</f>
        <v>0</v>
      </c>
      <c r="H496" s="5">
        <f>pima_data!F496/$B496</f>
        <v>0.136219356336484</v>
      </c>
      <c r="I496" s="5">
        <f>pima_data!G496/$B496</f>
        <v>0.00155679264384553</v>
      </c>
      <c r="J496" s="5">
        <f>pima_data!H496/$B496</f>
        <v>0.337987876624358</v>
      </c>
    </row>
    <row r="497" spans="1:10">
      <c r="A497" s="4" cm="1">
        <f t="array" ref="A497">SUM(POWER(pima_data!A497:H497,2))</f>
        <v>18325.085264</v>
      </c>
      <c r="B497" s="4">
        <f t="shared" si="7"/>
        <v>135.370178636212</v>
      </c>
      <c r="C497" s="5">
        <f>pima_data!A497/$B497</f>
        <v>0.0369357568289599</v>
      </c>
      <c r="D497" s="5">
        <f>pima_data!B497/$B497</f>
        <v>0.812586650237119</v>
      </c>
      <c r="E497" s="5">
        <f>pima_data!C497/$B497</f>
        <v>0.502326292873855</v>
      </c>
      <c r="F497" s="5">
        <f>pima_data!D497/$B497</f>
        <v>0</v>
      </c>
      <c r="G497" s="5">
        <f>pima_data!E497/$B497</f>
        <v>0</v>
      </c>
      <c r="H497" s="5">
        <f>pima_data!F497/$B497</f>
        <v>0.192065935510592</v>
      </c>
      <c r="I497" s="5">
        <f>pima_data!G497/$B497</f>
        <v>0.00215704819881126</v>
      </c>
      <c r="J497" s="5">
        <f>pima_data!H497/$B497</f>
        <v>0.22161454097376</v>
      </c>
    </row>
    <row r="498" spans="1:10">
      <c r="A498" s="4" cm="1">
        <f t="array" ref="A498">SUM(POWER(pima_data!A498:H498,2))</f>
        <v>19281.309209</v>
      </c>
      <c r="B498" s="4">
        <f t="shared" si="7"/>
        <v>138.857153971266</v>
      </c>
      <c r="C498" s="5">
        <f>pima_data!A498/$B498</f>
        <v>0.0144032910282308</v>
      </c>
      <c r="D498" s="5">
        <f>pima_data!B498/$B498</f>
        <v>0.583333286643346</v>
      </c>
      <c r="E498" s="5">
        <f>pima_data!C498/$B498</f>
        <v>0.518518477016307</v>
      </c>
      <c r="F498" s="5">
        <f>pima_data!D498/$B498</f>
        <v>0.108024682711731</v>
      </c>
      <c r="G498" s="5">
        <f>pima_data!E498/$B498</f>
        <v>0.547325059072769</v>
      </c>
      <c r="H498" s="5">
        <f>pima_data!F498/$B498</f>
        <v>0.216769529974873</v>
      </c>
      <c r="I498" s="5">
        <f>pima_data!G498/$B498</f>
        <v>0.00393930009622111</v>
      </c>
      <c r="J498" s="5">
        <f>pima_data!H498/$B498</f>
        <v>0.180041137852885</v>
      </c>
    </row>
    <row r="499" spans="1:10">
      <c r="A499" s="4" cm="1">
        <f t="array" ref="A499">SUM(POWER(pima_data!A499:H499,2))</f>
        <v>68743.036569</v>
      </c>
      <c r="B499" s="4">
        <f t="shared" si="7"/>
        <v>262.18893296438</v>
      </c>
      <c r="C499" s="5">
        <f>pima_data!A499/$B499</f>
        <v>0.0266983046189482</v>
      </c>
      <c r="D499" s="5">
        <f>pima_data!B499/$B499</f>
        <v>0.743738485813557</v>
      </c>
      <c r="E499" s="5">
        <f>pima_data!C499/$B499</f>
        <v>0.266983046189482</v>
      </c>
      <c r="F499" s="5">
        <f>pima_data!D499/$B499</f>
        <v>0.125863436060756</v>
      </c>
      <c r="G499" s="5">
        <f>pima_data!E499/$B499</f>
        <v>0.553036309963927</v>
      </c>
      <c r="H499" s="5">
        <f>pima_data!F499/$B499</f>
        <v>0.0957324922765143</v>
      </c>
      <c r="I499" s="5">
        <f>pima_data!G499/$B499</f>
        <v>0.000621689093269794</v>
      </c>
      <c r="J499" s="5">
        <f>pima_data!H499/$B499</f>
        <v>0.209772393434593</v>
      </c>
    </row>
    <row r="500" spans="1:10">
      <c r="A500" s="4" cm="1">
        <f t="array" ref="A500">SUM(POWER(pima_data!A500:H500,2))</f>
        <v>69881.193921</v>
      </c>
      <c r="B500" s="4">
        <f t="shared" si="7"/>
        <v>264.350513373816</v>
      </c>
      <c r="C500" s="5">
        <f>pima_data!A500/$B500</f>
        <v>0.0226971376882308</v>
      </c>
      <c r="D500" s="5">
        <f>pima_data!B500/$B500</f>
        <v>0.582559867331258</v>
      </c>
      <c r="E500" s="5">
        <f>pima_data!C500/$B500</f>
        <v>0.279931364821513</v>
      </c>
      <c r="F500" s="5">
        <f>pima_data!D500/$B500</f>
        <v>0.121051401003898</v>
      </c>
      <c r="G500" s="5">
        <f>pima_data!E500/$B500</f>
        <v>0.730091262304758</v>
      </c>
      <c r="H500" s="5">
        <f>pima_data!F500/$B500</f>
        <v>0.110837689044194</v>
      </c>
      <c r="I500" s="5">
        <f>pima_data!G500/$B500</f>
        <v>0.00317381642007094</v>
      </c>
      <c r="J500" s="5">
        <f>pima_data!H500/$B500</f>
        <v>0.1475313949735</v>
      </c>
    </row>
    <row r="501" spans="1:10">
      <c r="A501" s="4" cm="1">
        <f t="array" ref="A501">SUM(POWER(pima_data!A501:H501,2))</f>
        <v>28271.137969</v>
      </c>
      <c r="B501" s="4">
        <f t="shared" si="7"/>
        <v>168.140233046704</v>
      </c>
      <c r="C501" s="5">
        <f>pima_data!A501/$B501</f>
        <v>0.0118948330435849</v>
      </c>
      <c r="D501" s="5">
        <f>pima_data!B501/$B501</f>
        <v>0.695847733049716</v>
      </c>
      <c r="E501" s="5">
        <f>pima_data!C501/$B501</f>
        <v>0.53526748696132</v>
      </c>
      <c r="F501" s="5">
        <f>pima_data!D501/$B501</f>
        <v>0.113000913914056</v>
      </c>
      <c r="G501" s="5">
        <f>pima_data!E501/$B501</f>
        <v>0.422266573047263</v>
      </c>
      <c r="H501" s="5">
        <f>pima_data!F501/$B501</f>
        <v>0.14987489634917</v>
      </c>
      <c r="I501" s="5">
        <f>pima_data!G501/$B501</f>
        <v>0.00186154137132103</v>
      </c>
      <c r="J501" s="5">
        <f>pima_data!H501/$B501</f>
        <v>0.124895746957641</v>
      </c>
    </row>
    <row r="502" spans="1:10">
      <c r="A502" s="4" cm="1">
        <f t="array" ref="A502">SUM(POWER(pima_data!A502:H502,2))</f>
        <v>15440.911289</v>
      </c>
      <c r="B502" s="4">
        <f t="shared" si="7"/>
        <v>124.261463410826</v>
      </c>
      <c r="C502" s="5">
        <f>pima_data!A502/$B502</f>
        <v>0.0241426417945971</v>
      </c>
      <c r="D502" s="5">
        <f>pima_data!B502/$B502</f>
        <v>0.675993970248719</v>
      </c>
      <c r="E502" s="5">
        <f>pima_data!C502/$B502</f>
        <v>0.57942340307033</v>
      </c>
      <c r="F502" s="5">
        <f>pima_data!D502/$B502</f>
        <v>0.257521512475702</v>
      </c>
      <c r="G502" s="5">
        <f>pima_data!E502/$B502</f>
        <v>0</v>
      </c>
      <c r="H502" s="5">
        <f>pima_data!F502/$B502</f>
        <v>0.299368758253004</v>
      </c>
      <c r="I502" s="5">
        <f>pima_data!G502/$B502</f>
        <v>0.00214869511971914</v>
      </c>
      <c r="J502" s="5">
        <f>pima_data!H502/$B502</f>
        <v>0.22533132341624</v>
      </c>
    </row>
    <row r="503" spans="1:10">
      <c r="A503" s="4" cm="1">
        <f t="array" ref="A503">SUM(POWER(pima_data!A503:H503,2))</f>
        <v>9543.528529</v>
      </c>
      <c r="B503" s="4">
        <f t="shared" si="7"/>
        <v>97.6909848911352</v>
      </c>
      <c r="C503" s="5">
        <f>pima_data!A503/$B503</f>
        <v>0.0614181544662108</v>
      </c>
      <c r="D503" s="5">
        <f>pima_data!B503/$B503</f>
        <v>0</v>
      </c>
      <c r="E503" s="5">
        <f>pima_data!C503/$B503</f>
        <v>0.696072417283722</v>
      </c>
      <c r="F503" s="5">
        <f>pima_data!D503/$B503</f>
        <v>0.419690722185773</v>
      </c>
      <c r="G503" s="5">
        <f>pima_data!E503/$B503</f>
        <v>0</v>
      </c>
      <c r="H503" s="5">
        <f>pima_data!F503/$B503</f>
        <v>0.39921800403037</v>
      </c>
      <c r="I503" s="5">
        <f>pima_data!G503/$B503</f>
        <v>0.0074418330494892</v>
      </c>
      <c r="J503" s="5">
        <f>pima_data!H503/$B503</f>
        <v>0.419690722185773</v>
      </c>
    </row>
    <row r="504" spans="1:10">
      <c r="A504" s="4" cm="1">
        <f t="array" ref="A504">SUM(POWER(pima_data!A504:H504,2))</f>
        <v>22637.434644</v>
      </c>
      <c r="B504" s="4">
        <f t="shared" si="7"/>
        <v>150.457418042448</v>
      </c>
      <c r="C504" s="5">
        <f>pima_data!A504/$B504</f>
        <v>0.0465247914730606</v>
      </c>
      <c r="D504" s="5">
        <f>pima_data!B504/$B504</f>
        <v>0.624761485495385</v>
      </c>
      <c r="E504" s="5">
        <f>pima_data!C504/$B504</f>
        <v>0.425369522039411</v>
      </c>
      <c r="F504" s="5">
        <f>pima_data!D504/$B504</f>
        <v>0.166159969546645</v>
      </c>
      <c r="G504" s="5">
        <f>pima_data!E504/$B504</f>
        <v>0.525065503767398</v>
      </c>
      <c r="H504" s="5">
        <f>pima_data!F504/$B504</f>
        <v>0.221325079436131</v>
      </c>
      <c r="I504" s="5">
        <f>pima_data!G504/$B504</f>
        <v>0.00490504230101696</v>
      </c>
      <c r="J504" s="5">
        <f>pima_data!H504/$B504</f>
        <v>0.272502350056498</v>
      </c>
    </row>
    <row r="505" spans="1:10">
      <c r="A505" s="4" cm="1">
        <f t="array" ref="A505">SUM(POWER(pima_data!A505:H505,2))</f>
        <v>19821.346644</v>
      </c>
      <c r="B505" s="4">
        <f t="shared" si="7"/>
        <v>140.788304357997</v>
      </c>
      <c r="C505" s="5">
        <f>pima_data!A505/$B505</f>
        <v>0.0213085881933175</v>
      </c>
      <c r="D505" s="5">
        <f>pima_data!B505/$B505</f>
        <v>0.681874822186159</v>
      </c>
      <c r="E505" s="5">
        <f>pima_data!C505/$B505</f>
        <v>0.554023293026254</v>
      </c>
      <c r="F505" s="5">
        <f>pima_data!D505/$B505</f>
        <v>0.277011646513127</v>
      </c>
      <c r="G505" s="5">
        <f>pima_data!E505/$B505</f>
        <v>0</v>
      </c>
      <c r="H505" s="5">
        <f>pima_data!F505/$B505</f>
        <v>0.264936779870247</v>
      </c>
      <c r="I505" s="5">
        <f>pima_data!G505/$B505</f>
        <v>0.00169048133000318</v>
      </c>
      <c r="J505" s="5">
        <f>pima_data!H505/$B505</f>
        <v>0.284114509244233</v>
      </c>
    </row>
    <row r="506" spans="1:10">
      <c r="A506" s="4" cm="1">
        <f t="array" ref="A506">SUM(POWER(pima_data!A506:H506,2))</f>
        <v>15001.959169</v>
      </c>
      <c r="B506" s="4">
        <f t="shared" si="7"/>
        <v>122.48248515196</v>
      </c>
      <c r="C506" s="5">
        <f>pima_data!A506/$B506</f>
        <v>0.0816443264324149</v>
      </c>
      <c r="D506" s="5">
        <f>pima_data!B506/$B506</f>
        <v>0.612332448243112</v>
      </c>
      <c r="E506" s="5">
        <f>pima_data!C506/$B506</f>
        <v>0.669483476745802</v>
      </c>
      <c r="F506" s="5">
        <f>pima_data!D506/$B506</f>
        <v>0</v>
      </c>
      <c r="G506" s="5">
        <f>pima_data!E506/$B506</f>
        <v>0</v>
      </c>
      <c r="H506" s="5">
        <f>pima_data!F506/$B506</f>
        <v>0.271875607019942</v>
      </c>
      <c r="I506" s="5">
        <f>pima_data!G506/$B506</f>
        <v>0.00214724578517251</v>
      </c>
      <c r="J506" s="5">
        <f>pima_data!H506/$B506</f>
        <v>0.310248440443177</v>
      </c>
    </row>
    <row r="507" spans="1:10">
      <c r="A507" s="4" cm="1">
        <f t="array" ref="A507">SUM(POWER(pima_data!A507:H507,2))</f>
        <v>51833.348596</v>
      </c>
      <c r="B507" s="4">
        <f t="shared" si="7"/>
        <v>227.669384406424</v>
      </c>
      <c r="C507" s="5">
        <f>pima_data!A507/$B507</f>
        <v>0</v>
      </c>
      <c r="D507" s="5">
        <f>pima_data!B507/$B507</f>
        <v>0.790620137482663</v>
      </c>
      <c r="E507" s="5">
        <f>pima_data!C507/$B507</f>
        <v>0.395310068741331</v>
      </c>
      <c r="F507" s="5">
        <f>pima_data!D507/$B507</f>
        <v>0.114200686525273</v>
      </c>
      <c r="G507" s="5">
        <f>pima_data!E507/$B507</f>
        <v>0.395310068741331</v>
      </c>
      <c r="H507" s="5">
        <f>pima_data!F507/$B507</f>
        <v>0.160320194545095</v>
      </c>
      <c r="I507" s="5">
        <f>pima_data!G507/$B507</f>
        <v>0.00137919290649753</v>
      </c>
      <c r="J507" s="5">
        <f>pima_data!H507/$B507</f>
        <v>0.153731693399407</v>
      </c>
    </row>
    <row r="508" spans="1:10">
      <c r="A508" s="4" cm="1">
        <f t="array" ref="A508">SUM(POWER(pima_data!A508:H508,2))</f>
        <v>51189.438864</v>
      </c>
      <c r="B508" s="4">
        <f t="shared" si="7"/>
        <v>226.250831742118</v>
      </c>
      <c r="C508" s="5">
        <f>pima_data!A508/$B508</f>
        <v>0.00441987325438789</v>
      </c>
      <c r="D508" s="5">
        <f>pima_data!B508/$B508</f>
        <v>0.574583523070426</v>
      </c>
      <c r="E508" s="5">
        <f>pima_data!C508/$B508</f>
        <v>0.265192395263273</v>
      </c>
      <c r="F508" s="5">
        <f>pima_data!D508/$B508</f>
        <v>0.101657084850921</v>
      </c>
      <c r="G508" s="5">
        <f>pima_data!E508/$B508</f>
        <v>0.751378453245941</v>
      </c>
      <c r="H508" s="5">
        <f>pima_data!F508/$B508</f>
        <v>0.126408375075494</v>
      </c>
      <c r="I508" s="5">
        <f>pima_data!G508/$B508</f>
        <v>0.00305855229203642</v>
      </c>
      <c r="J508" s="5">
        <f>pima_data!H508/$B508</f>
        <v>0.0928173383421457</v>
      </c>
    </row>
    <row r="509" spans="1:10">
      <c r="A509" s="4" cm="1">
        <f t="array" ref="A509">SUM(POWER(pima_data!A509:H509,2))</f>
        <v>17231.097024</v>
      </c>
      <c r="B509" s="4">
        <f t="shared" si="7"/>
        <v>131.267273240515</v>
      </c>
      <c r="C509" s="5">
        <f>pima_data!A509/$B509</f>
        <v>0.0152360900826781</v>
      </c>
      <c r="D509" s="5">
        <f>pima_data!B509/$B509</f>
        <v>0.639915783472478</v>
      </c>
      <c r="E509" s="5">
        <f>pima_data!C509/$B509</f>
        <v>0.380902252066951</v>
      </c>
      <c r="F509" s="5">
        <f>pima_data!D509/$B509</f>
        <v>0.175215035950798</v>
      </c>
      <c r="G509" s="5">
        <f>pima_data!E509/$B509</f>
        <v>0.578971423141766</v>
      </c>
      <c r="H509" s="5">
        <f>pima_data!F509/$B509</f>
        <v>0.231588569256706</v>
      </c>
      <c r="I509" s="5">
        <f>pima_data!G509/$B509</f>
        <v>0.00737426760001618</v>
      </c>
      <c r="J509" s="5">
        <f>pima_data!H509/$B509</f>
        <v>0.15997894586812</v>
      </c>
    </row>
    <row r="510" spans="1:10">
      <c r="A510" s="4" cm="1">
        <f t="array" ref="A510">SUM(POWER(pima_data!A510:H510,2))</f>
        <v>25269.167281</v>
      </c>
      <c r="B510" s="4">
        <f t="shared" si="7"/>
        <v>158.962785836811</v>
      </c>
      <c r="C510" s="5">
        <f>pima_data!A510/$B510</f>
        <v>0.0503262443337692</v>
      </c>
      <c r="D510" s="5">
        <f>pima_data!B510/$B510</f>
        <v>0.754893665006538</v>
      </c>
      <c r="E510" s="5">
        <f>pima_data!C510/$B510</f>
        <v>0.49068088225425</v>
      </c>
      <c r="F510" s="5">
        <f>pima_data!D510/$B510</f>
        <v>0</v>
      </c>
      <c r="G510" s="5">
        <f>pima_data!E510/$B510</f>
        <v>0</v>
      </c>
      <c r="H510" s="5">
        <f>pima_data!F510/$B510</f>
        <v>0.157269513543029</v>
      </c>
      <c r="I510" s="5">
        <f>pima_data!G510/$B510</f>
        <v>0.00257292924156395</v>
      </c>
      <c r="J510" s="5">
        <f>pima_data!H510/$B510</f>
        <v>0.402609954670154</v>
      </c>
    </row>
    <row r="511" spans="1:10">
      <c r="A511" s="4" cm="1">
        <f t="array" ref="A511">SUM(POWER(pima_data!A511:H511,2))</f>
        <v>16343.178209</v>
      </c>
      <c r="B511" s="4">
        <f t="shared" si="7"/>
        <v>127.840440428684</v>
      </c>
      <c r="C511" s="5">
        <f>pima_data!A511/$B511</f>
        <v>0.0938670107812573</v>
      </c>
      <c r="D511" s="5">
        <f>pima_data!B511/$B511</f>
        <v>0.657069075468801</v>
      </c>
      <c r="E511" s="5">
        <f>pima_data!C511/$B511</f>
        <v>0.563202064687544</v>
      </c>
      <c r="F511" s="5">
        <f>pima_data!D511/$B511</f>
        <v>0.242489777851581</v>
      </c>
      <c r="G511" s="5">
        <f>pima_data!E511/$B511</f>
        <v>0</v>
      </c>
      <c r="H511" s="5">
        <f>pima_data!F511/$B511</f>
        <v>0.232320851683612</v>
      </c>
      <c r="I511" s="5">
        <f>pima_data!G511/$B511</f>
        <v>0.00232320851683612</v>
      </c>
      <c r="J511" s="5">
        <f>pima_data!H511/$B511</f>
        <v>0.359823541328153</v>
      </c>
    </row>
    <row r="512" spans="1:10">
      <c r="A512" s="4" cm="1">
        <f t="array" ref="A512">SUM(POWER(pima_data!A512:H512,2))</f>
        <v>68483.452849</v>
      </c>
      <c r="B512" s="4">
        <f t="shared" si="7"/>
        <v>261.693432949702</v>
      </c>
      <c r="C512" s="5">
        <f>pima_data!A512/$B512</f>
        <v>0</v>
      </c>
      <c r="D512" s="5">
        <f>pima_data!B512/$B512</f>
        <v>0.531155858338701</v>
      </c>
      <c r="E512" s="5">
        <f>pima_data!C512/$B512</f>
        <v>0.236918440410068</v>
      </c>
      <c r="F512" s="5">
        <f>pima_data!D512/$B512</f>
        <v>0.0649615078543735</v>
      </c>
      <c r="G512" s="5">
        <f>pima_data!E512/$B512</f>
        <v>0.802465685259907</v>
      </c>
      <c r="H512" s="5">
        <f>pima_data!F512/$B512</f>
        <v>0.0844499602106855</v>
      </c>
      <c r="I512" s="5">
        <f>pima_data!G512/$B512</f>
        <v>0.000791001889756194</v>
      </c>
      <c r="J512" s="5">
        <f>pima_data!H512/$B512</f>
        <v>0.0802465685259907</v>
      </c>
    </row>
    <row r="513" spans="1:10">
      <c r="A513" s="4" cm="1">
        <f t="array" ref="A513">SUM(POWER(pima_data!A513:H513,2))</f>
        <v>16935.68</v>
      </c>
      <c r="B513" s="4">
        <f t="shared" ref="B513:B576" si="8">A513^0.5</f>
        <v>130.137158413729</v>
      </c>
      <c r="C513" s="5">
        <f>pima_data!A513/$B513</f>
        <v>0.0691578032723552</v>
      </c>
      <c r="D513" s="5">
        <f>pima_data!B513/$B513</f>
        <v>0.699262233087147</v>
      </c>
      <c r="E513" s="5">
        <f>pima_data!C513/$B513</f>
        <v>0.522525624724462</v>
      </c>
      <c r="F513" s="5">
        <f>pima_data!D513/$B513</f>
        <v>0</v>
      </c>
      <c r="G513" s="5">
        <f>pima_data!E513/$B513</f>
        <v>0</v>
      </c>
      <c r="H513" s="5">
        <f>pima_data!F513/$B513</f>
        <v>0.185957648799</v>
      </c>
      <c r="I513" s="5">
        <f>pima_data!G513/$B513</f>
        <v>0.00153684007271901</v>
      </c>
      <c r="J513" s="5">
        <f>pima_data!H513/$B513</f>
        <v>0.445683621088511</v>
      </c>
    </row>
    <row r="514" spans="1:10">
      <c r="A514" s="4" cm="1">
        <f t="array" ref="A514">SUM(POWER(pima_data!A514:H514,2))</f>
        <v>13358.565625</v>
      </c>
      <c r="B514" s="4">
        <f t="shared" si="8"/>
        <v>115.57926122363</v>
      </c>
      <c r="C514" s="5">
        <f>pima_data!A514/$B514</f>
        <v>0.0173041424458518</v>
      </c>
      <c r="D514" s="5">
        <f>pima_data!B514/$B514</f>
        <v>0.787338481286256</v>
      </c>
      <c r="E514" s="5">
        <f>pima_data!C514/$B514</f>
        <v>0.536428415821405</v>
      </c>
      <c r="F514" s="5">
        <f>pima_data!D514/$B514</f>
        <v>0</v>
      </c>
      <c r="G514" s="5">
        <f>pima_data!E514/$B514</f>
        <v>0</v>
      </c>
      <c r="H514" s="5">
        <f>pima_data!F514/$B514</f>
        <v>0.236201544385877</v>
      </c>
      <c r="I514" s="5">
        <f>pima_data!G514/$B514</f>
        <v>0.00454233739203609</v>
      </c>
      <c r="J514" s="5">
        <f>pima_data!H514/$B514</f>
        <v>0.19034556690437</v>
      </c>
    </row>
    <row r="515" spans="1:10">
      <c r="A515" s="4" cm="1">
        <f t="array" ref="A515">SUM(POWER(pima_data!A515:H515,2))</f>
        <v>21714.383716</v>
      </c>
      <c r="B515" s="4">
        <f t="shared" si="8"/>
        <v>147.35801205228</v>
      </c>
      <c r="C515" s="5">
        <f>pima_data!A515/$B515</f>
        <v>0.0203585808346522</v>
      </c>
      <c r="D515" s="5">
        <f>pima_data!B515/$B515</f>
        <v>0.671833167543522</v>
      </c>
      <c r="E515" s="5">
        <f>pima_data!C515/$B515</f>
        <v>0.366454455023739</v>
      </c>
      <c r="F515" s="5">
        <f>pima_data!D515/$B515</f>
        <v>0.128937678619464</v>
      </c>
      <c r="G515" s="5">
        <f>pima_data!E515/$B515</f>
        <v>0.583612650593363</v>
      </c>
      <c r="H515" s="5">
        <f>pima_data!F515/$B515</f>
        <v>0.173726556455699</v>
      </c>
      <c r="I515" s="5">
        <f>pima_data!G515/$B515</f>
        <v>0.00104507381617881</v>
      </c>
      <c r="J515" s="5">
        <f>pima_data!H515/$B515</f>
        <v>0.162868646677217</v>
      </c>
    </row>
    <row r="516" spans="1:10">
      <c r="A516" s="4" cm="1">
        <f t="array" ref="A516">SUM(POWER(pima_data!A516:H516,2))</f>
        <v>44609.631824</v>
      </c>
      <c r="B516" s="4">
        <f t="shared" si="8"/>
        <v>211.209923592619</v>
      </c>
      <c r="C516" s="5">
        <f>pima_data!A516/$B516</f>
        <v>0.014203878061082</v>
      </c>
      <c r="D516" s="5">
        <f>pima_data!B516/$B516</f>
        <v>0.771744041318787</v>
      </c>
      <c r="E516" s="5">
        <f>pima_data!C516/$B516</f>
        <v>0.331423821425246</v>
      </c>
      <c r="F516" s="5">
        <f>pima_data!D516/$B516</f>
        <v>0.0852232683664918</v>
      </c>
      <c r="G516" s="5">
        <f>pima_data!E516/$B516</f>
        <v>0.497135732137869</v>
      </c>
      <c r="H516" s="5">
        <f>pima_data!F516/$B516</f>
        <v>0.149614182243397</v>
      </c>
      <c r="I516" s="5">
        <f>pima_data!G516/$B516</f>
        <v>0.00126887977345666</v>
      </c>
      <c r="J516" s="5">
        <f>pima_data!H516/$B516</f>
        <v>0.132569528570098</v>
      </c>
    </row>
    <row r="517" spans="1:10">
      <c r="A517" s="4" cm="1">
        <f t="array" ref="A517">SUM(POWER(pima_data!A517:H517,2))</f>
        <v>60958.684441</v>
      </c>
      <c r="B517" s="4">
        <f t="shared" si="8"/>
        <v>246.89812563282</v>
      </c>
      <c r="C517" s="5">
        <f>pima_data!A517/$B517</f>
        <v>0.0364522815915765</v>
      </c>
      <c r="D517" s="5">
        <f>pima_data!B517/$B517</f>
        <v>0.587286758975399</v>
      </c>
      <c r="E517" s="5">
        <f>pima_data!C517/$B517</f>
        <v>0.356422308895415</v>
      </c>
      <c r="F517" s="5">
        <f>pima_data!D517/$B517</f>
        <v>0.137708619345956</v>
      </c>
      <c r="G517" s="5">
        <f>pima_data!E517/$B517</f>
        <v>0.668291829178902</v>
      </c>
      <c r="H517" s="5">
        <f>pima_data!F517/$B517</f>
        <v>0.122722681358308</v>
      </c>
      <c r="I517" s="5">
        <f>pima_data!G517/$B517</f>
        <v>0.00312274545634505</v>
      </c>
      <c r="J517" s="5">
        <f>pima_data!H517/$B517</f>
        <v>0.214663436039284</v>
      </c>
    </row>
    <row r="518" spans="1:10">
      <c r="A518" s="4" cm="1">
        <f t="array" ref="A518">SUM(POWER(pima_data!A518:H518,2))</f>
        <v>27084.852416</v>
      </c>
      <c r="B518" s="4">
        <f t="shared" si="8"/>
        <v>164.574762390836</v>
      </c>
      <c r="C518" s="5">
        <f>pima_data!A518/$B518</f>
        <v>0.0425338605890024</v>
      </c>
      <c r="D518" s="5">
        <f>pima_data!B518/$B518</f>
        <v>0.759533224803615</v>
      </c>
      <c r="E518" s="5">
        <f>pima_data!C518/$B518</f>
        <v>0.522558858664887</v>
      </c>
      <c r="F518" s="5">
        <f>pima_data!D518/$B518</f>
        <v>0</v>
      </c>
      <c r="G518" s="5">
        <f>pima_data!E518/$B518</f>
        <v>0</v>
      </c>
      <c r="H518" s="5">
        <f>pima_data!F518/$B518</f>
        <v>0.228467594020927</v>
      </c>
      <c r="I518" s="5">
        <f>pima_data!G518/$B518</f>
        <v>0.00184718480272239</v>
      </c>
      <c r="J518" s="5">
        <f>pima_data!H518/$B518</f>
        <v>0.309889555719875</v>
      </c>
    </row>
    <row r="519" spans="1:10">
      <c r="A519" s="4" cm="1">
        <f t="array" ref="A519">SUM(POWER(pima_data!A519:H519,2))</f>
        <v>12301.8724</v>
      </c>
      <c r="B519" s="4">
        <f t="shared" si="8"/>
        <v>110.913806173984</v>
      </c>
      <c r="C519" s="5">
        <f>pima_data!A519/$B519</f>
        <v>0.117208131687481</v>
      </c>
      <c r="D519" s="5">
        <f>pima_data!B519/$B519</f>
        <v>0.685216769865273</v>
      </c>
      <c r="E519" s="5">
        <f>pima_data!C519/$B519</f>
        <v>0.540960607788373</v>
      </c>
      <c r="F519" s="5">
        <f>pima_data!D519/$B519</f>
        <v>0</v>
      </c>
      <c r="G519" s="5">
        <f>pima_data!E519/$B519</f>
        <v>0</v>
      </c>
      <c r="H519" s="5">
        <f>pima_data!F519/$B519</f>
        <v>0.295725132257644</v>
      </c>
      <c r="I519" s="5">
        <f>pima_data!G519/$B519</f>
        <v>0.00162288182336512</v>
      </c>
      <c r="J519" s="5">
        <f>pima_data!H519/$B519</f>
        <v>0.369656415322055</v>
      </c>
    </row>
    <row r="520" spans="1:10">
      <c r="A520" s="4" cm="1">
        <f t="array" ref="A520">SUM(POWER(pima_data!A520:H520,2))</f>
        <v>135086.498724</v>
      </c>
      <c r="B520" s="4">
        <f t="shared" si="8"/>
        <v>367.541152422419</v>
      </c>
      <c r="C520" s="5">
        <f>pima_data!A520/$B520</f>
        <v>0.0163247025821591</v>
      </c>
      <c r="D520" s="5">
        <f>pima_data!B520/$B520</f>
        <v>0.350981105516421</v>
      </c>
      <c r="E520" s="5">
        <f>pima_data!C520/$B520</f>
        <v>0.244870538732387</v>
      </c>
      <c r="F520" s="5">
        <f>pima_data!D520/$B520</f>
        <v>0.0190454863458523</v>
      </c>
      <c r="G520" s="5">
        <f>pima_data!E520/$B520</f>
        <v>0.886975506963978</v>
      </c>
      <c r="H520" s="5">
        <f>pima_data!F520/$B520</f>
        <v>0.0533273617683864</v>
      </c>
      <c r="I520" s="5">
        <f>pima_data!G520/$B520</f>
        <v>0.00158349615046943</v>
      </c>
      <c r="J520" s="5">
        <f>pima_data!H520/$B520</f>
        <v>0.163247025821591</v>
      </c>
    </row>
    <row r="521" spans="1:10">
      <c r="A521" s="4" cm="1">
        <f t="array" ref="A521">SUM(POWER(pima_data!A521:H521,2))</f>
        <v>16158.034969</v>
      </c>
      <c r="B521" s="4">
        <f t="shared" si="8"/>
        <v>127.114259503016</v>
      </c>
      <c r="C521" s="5">
        <f>pima_data!A521/$B521</f>
        <v>0.015733876024763</v>
      </c>
      <c r="D521" s="5">
        <f>pima_data!B521/$B521</f>
        <v>0.534951784841942</v>
      </c>
      <c r="E521" s="5">
        <f>pima_data!C521/$B521</f>
        <v>0.550685660866705</v>
      </c>
      <c r="F521" s="5">
        <f>pima_data!D521/$B521</f>
        <v>0.251742016396208</v>
      </c>
      <c r="G521" s="5">
        <f>pima_data!E521/$B521</f>
        <v>0.519217908817179</v>
      </c>
      <c r="H521" s="5">
        <f>pima_data!F521/$B521</f>
        <v>0.196673450309538</v>
      </c>
      <c r="I521" s="5">
        <f>pima_data!G521/$B521</f>
        <v>0.00147111740831534</v>
      </c>
      <c r="J521" s="5">
        <f>pima_data!H521/$B521</f>
        <v>0.196673450309538</v>
      </c>
    </row>
    <row r="522" spans="1:10">
      <c r="A522" s="4" cm="1">
        <f t="array" ref="A522">SUM(POWER(pima_data!A522:H522,2))</f>
        <v>41552.333025</v>
      </c>
      <c r="B522" s="4">
        <f t="shared" si="8"/>
        <v>203.843893764322</v>
      </c>
      <c r="C522" s="5">
        <f>pima_data!A522/$B522</f>
        <v>0.0147171443039079</v>
      </c>
      <c r="D522" s="5">
        <f>pima_data!B522/$B522</f>
        <v>0.608308631228195</v>
      </c>
      <c r="E522" s="5">
        <f>pima_data!C522/$B522</f>
        <v>0.392457181437545</v>
      </c>
      <c r="F522" s="5">
        <f>pima_data!D522/$B522</f>
        <v>0.161888587342987</v>
      </c>
      <c r="G522" s="5">
        <f>pima_data!E522/$B522</f>
        <v>0.637742919836011</v>
      </c>
      <c r="H522" s="5">
        <f>pima_data!F522/$B522</f>
        <v>0.162869730296581</v>
      </c>
      <c r="I522" s="5">
        <f>pima_data!G522/$B522</f>
        <v>0.00149624300423064</v>
      </c>
      <c r="J522" s="5">
        <f>pima_data!H522/$B522</f>
        <v>0.127548583967202</v>
      </c>
    </row>
    <row r="523" spans="1:10">
      <c r="A523" s="4" cm="1">
        <f t="array" ref="A523">SUM(POWER(pima_data!A523:H523,2))</f>
        <v>13708.035721</v>
      </c>
      <c r="B523" s="4">
        <f t="shared" si="8"/>
        <v>117.081320973928</v>
      </c>
      <c r="C523" s="5">
        <f>pima_data!A523/$B523</f>
        <v>0.0512464323949342</v>
      </c>
      <c r="D523" s="5">
        <f>pima_data!B523/$B523</f>
        <v>0.973682215503749</v>
      </c>
      <c r="E523" s="5">
        <f>pima_data!C523/$B523</f>
        <v>0</v>
      </c>
      <c r="F523" s="5">
        <f>pima_data!D523/$B523</f>
        <v>0</v>
      </c>
      <c r="G523" s="5">
        <f>pima_data!E523/$B523</f>
        <v>0</v>
      </c>
      <c r="H523" s="5">
        <f>pima_data!F523/$B523</f>
        <v>0</v>
      </c>
      <c r="I523" s="5">
        <f>pima_data!G523/$B523</f>
        <v>0.00161426262044043</v>
      </c>
      <c r="J523" s="5">
        <f>pima_data!H523/$B523</f>
        <v>0.222067873711381</v>
      </c>
    </row>
    <row r="524" spans="1:10">
      <c r="A524" s="4" cm="1">
        <f t="array" ref="A524">SUM(POWER(pima_data!A524:H524,2))</f>
        <v>25076.065104</v>
      </c>
      <c r="B524" s="4">
        <f t="shared" si="8"/>
        <v>158.354239299111</v>
      </c>
      <c r="C524" s="5">
        <f>pima_data!A524/$B524</f>
        <v>0.0568346009543841</v>
      </c>
      <c r="D524" s="5">
        <f>pima_data!B524/$B524</f>
        <v>0.82094423600777</v>
      </c>
      <c r="E524" s="5">
        <f>pima_data!C524/$B524</f>
        <v>0.442046896311876</v>
      </c>
      <c r="F524" s="5">
        <f>pima_data!D524/$B524</f>
        <v>0</v>
      </c>
      <c r="G524" s="5">
        <f>pima_data!E524/$B524</f>
        <v>0</v>
      </c>
      <c r="H524" s="5">
        <f>pima_data!F524/$B524</f>
        <v>0.21597148362666</v>
      </c>
      <c r="I524" s="5">
        <f>pima_data!G524/$B524</f>
        <v>0.00411735109136205</v>
      </c>
      <c r="J524" s="5">
        <f>pima_data!H524/$B524</f>
        <v>0.28417300477192</v>
      </c>
    </row>
    <row r="525" spans="1:10">
      <c r="A525" s="4" cm="1">
        <f t="array" ref="A525">SUM(POWER(pima_data!A525:H525,2))</f>
        <v>20572.582801</v>
      </c>
      <c r="B525" s="4">
        <f t="shared" si="8"/>
        <v>143.431456804287</v>
      </c>
      <c r="C525" s="5">
        <f>pima_data!A525/$B525</f>
        <v>0.0209159138925398</v>
      </c>
      <c r="D525" s="5">
        <f>pima_data!B525/$B525</f>
        <v>0.871496412189157</v>
      </c>
      <c r="E525" s="5">
        <f>pima_data!C525/$B525</f>
        <v>0.404374335255769</v>
      </c>
      <c r="F525" s="5">
        <f>pima_data!D525/$B525</f>
        <v>0</v>
      </c>
      <c r="G525" s="5">
        <f>pima_data!E525/$B525</f>
        <v>0</v>
      </c>
      <c r="H525" s="5">
        <f>pima_data!F525/$B525</f>
        <v>0.220314293001419</v>
      </c>
      <c r="I525" s="5">
        <f>pima_data!G525/$B525</f>
        <v>0.0010527676659245</v>
      </c>
      <c r="J525" s="5">
        <f>pima_data!H525/$B525</f>
        <v>0.167327311140318</v>
      </c>
    </row>
    <row r="526" spans="1:10">
      <c r="A526" s="4" cm="1">
        <f t="array" ref="A526">SUM(POWER(pima_data!A526:H526,2))</f>
        <v>12418.437136</v>
      </c>
      <c r="B526" s="4">
        <f t="shared" si="8"/>
        <v>111.438041691336</v>
      </c>
      <c r="C526" s="5">
        <f>pima_data!A526/$B526</f>
        <v>0.0269207889376724</v>
      </c>
      <c r="D526" s="5">
        <f>pima_data!B526/$B526</f>
        <v>0.780702879192499</v>
      </c>
      <c r="E526" s="5">
        <f>pima_data!C526/$B526</f>
        <v>0.538415778753448</v>
      </c>
      <c r="F526" s="5">
        <f>pima_data!D526/$B526</f>
        <v>0.161524733626034</v>
      </c>
      <c r="G526" s="5">
        <f>pima_data!E526/$B526</f>
        <v>0</v>
      </c>
      <c r="H526" s="5">
        <f>pima_data!F526/$B526</f>
        <v>0.195624399613753</v>
      </c>
      <c r="I526" s="5">
        <f>pima_data!G526/$B526</f>
        <v>0.00398427676277551</v>
      </c>
      <c r="J526" s="5">
        <f>pima_data!H526/$B526</f>
        <v>0.188445522563707</v>
      </c>
    </row>
    <row r="527" spans="1:10">
      <c r="A527" s="4" cm="1">
        <f t="array" ref="A527">SUM(POWER(pima_data!A527:H527,2))</f>
        <v>21363.329401</v>
      </c>
      <c r="B527" s="4">
        <f t="shared" si="8"/>
        <v>146.161997116213</v>
      </c>
      <c r="C527" s="5">
        <f>pima_data!A527/$B527</f>
        <v>0.00684172370198869</v>
      </c>
      <c r="D527" s="5">
        <f>pima_data!B527/$B527</f>
        <v>0.663647199092903</v>
      </c>
      <c r="E527" s="5">
        <f>pima_data!C527/$B527</f>
        <v>0.437870316927276</v>
      </c>
      <c r="F527" s="5">
        <f>pima_data!D527/$B527</f>
        <v>0.129992750337785</v>
      </c>
      <c r="G527" s="5">
        <f>pima_data!E527/$B527</f>
        <v>0.561021343563072</v>
      </c>
      <c r="H527" s="5">
        <f>pima_data!F527/$B527</f>
        <v>0.124519371376194</v>
      </c>
      <c r="I527" s="5">
        <f>pima_data!G527/$B527</f>
        <v>0.00204567538689462</v>
      </c>
      <c r="J527" s="5">
        <f>pima_data!H527/$B527</f>
        <v>0.143676197741762</v>
      </c>
    </row>
    <row r="528" spans="1:10">
      <c r="A528" s="4" cm="1">
        <f t="array" ref="A528">SUM(POWER(pima_data!A528:H528,2))</f>
        <v>31458.701449</v>
      </c>
      <c r="B528" s="4">
        <f t="shared" si="8"/>
        <v>177.36600984687</v>
      </c>
      <c r="C528" s="5">
        <f>pima_data!A528/$B528</f>
        <v>0.0169141765245216</v>
      </c>
      <c r="D528" s="5">
        <f>pima_data!B528/$B528</f>
        <v>0.654014825614836</v>
      </c>
      <c r="E528" s="5">
        <f>pima_data!C528/$B528</f>
        <v>0.417216354271533</v>
      </c>
      <c r="F528" s="5">
        <f>pima_data!D528/$B528</f>
        <v>0.0845708826226081</v>
      </c>
      <c r="G528" s="5">
        <f>pima_data!E528/$B528</f>
        <v>0.591996178358257</v>
      </c>
      <c r="H528" s="5">
        <f>pima_data!F528/$B528</f>
        <v>0.14828094753164</v>
      </c>
      <c r="I528" s="5">
        <f>pima_data!G528/$B528</f>
        <v>0.000603272296041271</v>
      </c>
      <c r="J528" s="5">
        <f>pima_data!H528/$B528</f>
        <v>0.135313412196173</v>
      </c>
    </row>
    <row r="529" spans="1:10">
      <c r="A529" s="4" cm="1">
        <f t="array" ref="A529">SUM(POWER(pima_data!A529:H529,2))</f>
        <v>55782.883049</v>
      </c>
      <c r="B529" s="4">
        <f t="shared" si="8"/>
        <v>236.184002525573</v>
      </c>
      <c r="C529" s="5">
        <f>pima_data!A529/$B529</f>
        <v>0</v>
      </c>
      <c r="D529" s="5">
        <f>pima_data!B529/$B529</f>
        <v>0.495376480832277</v>
      </c>
      <c r="E529" s="5">
        <f>pima_data!C529/$B529</f>
        <v>0.279443143033592</v>
      </c>
      <c r="F529" s="5">
        <f>pima_data!D529/$B529</f>
        <v>0.131253597485475</v>
      </c>
      <c r="G529" s="5">
        <f>pima_data!E529/$B529</f>
        <v>0.795989558944171</v>
      </c>
      <c r="H529" s="5">
        <f>pima_data!F529/$B529</f>
        <v>0.130406800082343</v>
      </c>
      <c r="I529" s="5">
        <f>pima_data!G529/$B529</f>
        <v>0.00208735559872062</v>
      </c>
      <c r="J529" s="5">
        <f>pima_data!H529/$B529</f>
        <v>0.0931477143445306</v>
      </c>
    </row>
    <row r="530" spans="1:10">
      <c r="A530" s="4" cm="1">
        <f t="array" ref="A530">SUM(POWER(pima_data!A530:H530,2))</f>
        <v>18112.5956</v>
      </c>
      <c r="B530" s="4">
        <f t="shared" si="8"/>
        <v>134.58304350846</v>
      </c>
      <c r="C530" s="5">
        <f>pima_data!A530/$B530</f>
        <v>0</v>
      </c>
      <c r="D530" s="5">
        <f>pima_data!B530/$B530</f>
        <v>0.824769577996819</v>
      </c>
      <c r="E530" s="5">
        <f>pima_data!C530/$B530</f>
        <v>0.482973176304444</v>
      </c>
      <c r="F530" s="5">
        <f>pima_data!D530/$B530</f>
        <v>0</v>
      </c>
      <c r="G530" s="5">
        <f>pima_data!E530/$B530</f>
        <v>0</v>
      </c>
      <c r="H530" s="5">
        <f>pima_data!F530/$B530</f>
        <v>0.182786771339836</v>
      </c>
      <c r="I530" s="5">
        <f>pima_data!G530/$B530</f>
        <v>0.00490403532862974</v>
      </c>
      <c r="J530" s="5">
        <f>pima_data!H530/$B530</f>
        <v>0.230341053314427</v>
      </c>
    </row>
    <row r="531" spans="1:10">
      <c r="A531" s="4" cm="1">
        <f t="array" ref="A531">SUM(POWER(pima_data!A531:H531,2))</f>
        <v>31420.554089</v>
      </c>
      <c r="B531" s="4">
        <f t="shared" si="8"/>
        <v>177.258438696159</v>
      </c>
      <c r="C531" s="5">
        <f>pima_data!A531/$B531</f>
        <v>0.0112829607138097</v>
      </c>
      <c r="D531" s="5">
        <f>pima_data!B531/$B531</f>
        <v>0.688260603542389</v>
      </c>
      <c r="E531" s="5">
        <f>pima_data!C531/$B531</f>
        <v>0.33848882141429</v>
      </c>
      <c r="F531" s="5">
        <f>pima_data!D531/$B531</f>
        <v>0.101546646424287</v>
      </c>
      <c r="G531" s="5">
        <f>pima_data!E531/$B531</f>
        <v>0.597996917831912</v>
      </c>
      <c r="H531" s="5">
        <f>pima_data!F531/$B531</f>
        <v>0.168116114635764</v>
      </c>
      <c r="I531" s="5">
        <f>pima_data!G531/$B531</f>
        <v>0.00404494141590076</v>
      </c>
      <c r="J531" s="5">
        <f>pima_data!H531/$B531</f>
        <v>0.124112567851906</v>
      </c>
    </row>
    <row r="532" spans="1:10">
      <c r="A532" s="4" cm="1">
        <f t="array" ref="A532">SUM(POWER(pima_data!A532:H532,2))</f>
        <v>19853.560596</v>
      </c>
      <c r="B532" s="4">
        <f t="shared" si="8"/>
        <v>140.902663551829</v>
      </c>
      <c r="C532" s="5">
        <f>pima_data!A532/$B532</f>
        <v>0</v>
      </c>
      <c r="D532" s="5">
        <f>pima_data!B532/$B532</f>
        <v>0.759389477123982</v>
      </c>
      <c r="E532" s="5">
        <f>pima_data!C532/$B532</f>
        <v>0.539379441695539</v>
      </c>
      <c r="F532" s="5">
        <f>pima_data!D532/$B532</f>
        <v>0</v>
      </c>
      <c r="G532" s="5">
        <f>pima_data!E532/$B532</f>
        <v>0</v>
      </c>
      <c r="H532" s="5">
        <f>pima_data!F532/$B532</f>
        <v>0.321498535642209</v>
      </c>
      <c r="I532" s="5">
        <f>pima_data!G532/$B532</f>
        <v>0.00486860917109394</v>
      </c>
      <c r="J532" s="5">
        <f>pima_data!H532/$B532</f>
        <v>0.170330350009117</v>
      </c>
    </row>
    <row r="533" spans="1:10">
      <c r="A533" s="4" cm="1">
        <f t="array" ref="A533">SUM(POWER(pima_data!A533:H533,2))</f>
        <v>21229.530889</v>
      </c>
      <c r="B533" s="4">
        <f t="shared" si="8"/>
        <v>145.703571984355</v>
      </c>
      <c r="C533" s="5">
        <f>pima_data!A533/$B533</f>
        <v>0.00686324972257632</v>
      </c>
      <c r="D533" s="5">
        <f>pima_data!B533/$B533</f>
        <v>0.590239476141563</v>
      </c>
      <c r="E533" s="5">
        <f>pima_data!C533/$B533</f>
        <v>0.452974481690037</v>
      </c>
      <c r="F533" s="5">
        <f>pima_data!D533/$B533</f>
        <v>0.356888985573968</v>
      </c>
      <c r="G533" s="5">
        <f>pima_data!E533/$B533</f>
        <v>0.446111231967461</v>
      </c>
      <c r="H533" s="5">
        <f>pima_data!F533/$B533</f>
        <v>0.283452213542402</v>
      </c>
      <c r="I533" s="5">
        <f>pima_data!G533/$B533</f>
        <v>0.00629359999560248</v>
      </c>
      <c r="J533" s="5">
        <f>pima_data!H533/$B533</f>
        <v>0.199034241954713</v>
      </c>
    </row>
    <row r="534" spans="1:10">
      <c r="A534" s="4" cm="1">
        <f t="array" ref="A534">SUM(POWER(pima_data!A534:H534,2))</f>
        <v>10166.291001</v>
      </c>
      <c r="B534" s="4">
        <f t="shared" si="8"/>
        <v>100.828026862574</v>
      </c>
      <c r="C534" s="5">
        <f>pima_data!A534/$B534</f>
        <v>0.0595072638699737</v>
      </c>
      <c r="D534" s="5">
        <f>pima_data!B534/$B534</f>
        <v>0.902526835361267</v>
      </c>
      <c r="E534" s="5">
        <f>pima_data!C534/$B534</f>
        <v>0</v>
      </c>
      <c r="F534" s="5">
        <f>pima_data!D534/$B534</f>
        <v>0</v>
      </c>
      <c r="G534" s="5">
        <f>pima_data!E534/$B534</f>
        <v>0</v>
      </c>
      <c r="H534" s="5">
        <f>pima_data!F534/$B534</f>
        <v>0.295552743887536</v>
      </c>
      <c r="I534" s="5">
        <f>pima_data!G534/$B534</f>
        <v>0.0049688565331428</v>
      </c>
      <c r="J534" s="5">
        <f>pima_data!H534/$B534</f>
        <v>0.307454196661531</v>
      </c>
    </row>
    <row r="535" spans="1:10">
      <c r="A535" s="4" cm="1">
        <f t="array" ref="A535">SUM(POWER(pima_data!A535:H535,2))</f>
        <v>14788.455001</v>
      </c>
      <c r="B535" s="4">
        <f t="shared" si="8"/>
        <v>121.607791695269</v>
      </c>
      <c r="C535" s="5">
        <f>pima_data!A535/$B535</f>
        <v>0.0082231572998698</v>
      </c>
      <c r="D535" s="5">
        <f>pima_data!B535/$B535</f>
        <v>0.633183112089975</v>
      </c>
      <c r="E535" s="5">
        <f>pima_data!C535/$B535</f>
        <v>0.460496808792709</v>
      </c>
      <c r="F535" s="5">
        <f>pima_data!D535/$B535</f>
        <v>0.246694718996094</v>
      </c>
      <c r="G535" s="5">
        <f>pima_data!E535/$B535</f>
        <v>0.460496808792709</v>
      </c>
      <c r="H535" s="5">
        <f>pima_data!F535/$B535</f>
        <v>0.273831138085664</v>
      </c>
      <c r="I535" s="5">
        <f>pima_data!G535/$B535</f>
        <v>0.0102871697821371</v>
      </c>
      <c r="J535" s="5">
        <f>pima_data!H535/$B535</f>
        <v>0.197355775196875</v>
      </c>
    </row>
    <row r="536" spans="1:10">
      <c r="A536" s="4" cm="1">
        <f t="array" ref="A536">SUM(POWER(pima_data!A536:H536,2))</f>
        <v>19051.501204</v>
      </c>
      <c r="B536" s="4">
        <f t="shared" si="8"/>
        <v>138.02717559959</v>
      </c>
      <c r="C536" s="5">
        <f>pima_data!A536/$B536</f>
        <v>0.0289798004097672</v>
      </c>
      <c r="D536" s="5">
        <f>pima_data!B536/$B536</f>
        <v>0.956333413522317</v>
      </c>
      <c r="E536" s="5">
        <f>pima_data!C536/$B536</f>
        <v>0</v>
      </c>
      <c r="F536" s="5">
        <f>pima_data!D536/$B536</f>
        <v>0</v>
      </c>
      <c r="G536" s="5">
        <f>pima_data!E536/$B536</f>
        <v>0</v>
      </c>
      <c r="H536" s="5">
        <f>pima_data!F536/$B536</f>
        <v>0.238358858370335</v>
      </c>
      <c r="I536" s="5">
        <f>pima_data!G536/$B536</f>
        <v>0.00218797493093742</v>
      </c>
      <c r="J536" s="5">
        <f>pima_data!H536/$B536</f>
        <v>0.166633852356161</v>
      </c>
    </row>
    <row r="537" spans="1:10">
      <c r="A537" s="4" cm="1">
        <f t="array" ref="A537">SUM(POWER(pima_data!A537:H537,2))</f>
        <v>22117.198809</v>
      </c>
      <c r="B537" s="4">
        <f t="shared" si="8"/>
        <v>148.718522077783</v>
      </c>
      <c r="C537" s="5">
        <f>pima_data!A537/$B537</f>
        <v>0</v>
      </c>
      <c r="D537" s="5">
        <f>pima_data!B537/$B537</f>
        <v>0.706031760758642</v>
      </c>
      <c r="E537" s="5">
        <f>pima_data!C537/$B537</f>
        <v>0.605170080650264</v>
      </c>
      <c r="F537" s="5">
        <f>pima_data!D537/$B537</f>
        <v>0</v>
      </c>
      <c r="G537" s="5">
        <f>pima_data!E537/$B537</f>
        <v>0</v>
      </c>
      <c r="H537" s="5">
        <f>pima_data!F537/$B537</f>
        <v>0.199033715413865</v>
      </c>
      <c r="I537" s="5">
        <f>pima_data!G537/$B537</f>
        <v>0.00132465006542336</v>
      </c>
      <c r="J537" s="5">
        <f>pima_data!H537/$B537</f>
        <v>0.309309152332357</v>
      </c>
    </row>
    <row r="538" spans="1:10">
      <c r="A538" s="4" cm="1">
        <f t="array" ref="A538">SUM(POWER(pima_data!A538:H538,2))</f>
        <v>11809.430225</v>
      </c>
      <c r="B538" s="4">
        <f t="shared" si="8"/>
        <v>108.67120237211</v>
      </c>
      <c r="C538" s="5">
        <f>pima_data!A538/$B538</f>
        <v>0</v>
      </c>
      <c r="D538" s="5">
        <f>pima_data!B538/$B538</f>
        <v>0.524517984118937</v>
      </c>
      <c r="E538" s="5">
        <f>pima_data!C538/$B538</f>
        <v>0.552124193809408</v>
      </c>
      <c r="F538" s="5">
        <f>pima_data!D538/$B538</f>
        <v>0</v>
      </c>
      <c r="G538" s="5">
        <f>pima_data!E538/$B538</f>
        <v>0</v>
      </c>
      <c r="H538" s="5">
        <f>pima_data!F538/$B538</f>
        <v>0.199684916761069</v>
      </c>
      <c r="I538" s="5">
        <f>pima_data!G538/$B538</f>
        <v>0.00676352137416524</v>
      </c>
      <c r="J538" s="5">
        <f>pima_data!H538/$B538</f>
        <v>0.616538683087172</v>
      </c>
    </row>
    <row r="539" spans="1:10">
      <c r="A539" s="4" cm="1">
        <f t="array" ref="A539">SUM(POWER(pima_data!A539:H539,2))</f>
        <v>69845.336416</v>
      </c>
      <c r="B539" s="4">
        <f t="shared" si="8"/>
        <v>264.282682777362</v>
      </c>
      <c r="C539" s="5">
        <f>pima_data!A539/$B539</f>
        <v>0</v>
      </c>
      <c r="D539" s="5">
        <f>pima_data!B539/$B539</f>
        <v>0.480546052678705</v>
      </c>
      <c r="E539" s="5">
        <f>pima_data!C539/$B539</f>
        <v>0.30270617491572</v>
      </c>
      <c r="F539" s="5">
        <f>pima_data!D539/$B539</f>
        <v>0.14000160589852</v>
      </c>
      <c r="G539" s="5">
        <f>pima_data!E539/$B539</f>
        <v>0.794603709153765</v>
      </c>
      <c r="H539" s="5">
        <f>pima_data!F539/$B539</f>
        <v>0.137352926868008</v>
      </c>
      <c r="I539" s="5">
        <f>pima_data!G539/$B539</f>
        <v>0.00304219705790298</v>
      </c>
      <c r="J539" s="5">
        <f>pima_data!H539/$B539</f>
        <v>0.0870280252882695</v>
      </c>
    </row>
    <row r="540" spans="1:10">
      <c r="A540" s="4" cm="1">
        <f t="array" ref="A540">SUM(POWER(pima_data!A540:H540,2))</f>
        <v>53889.897024</v>
      </c>
      <c r="B540" s="4">
        <f t="shared" si="8"/>
        <v>232.141976006064</v>
      </c>
      <c r="C540" s="5">
        <f>pima_data!A540/$B540</f>
        <v>0.0129231259749492</v>
      </c>
      <c r="D540" s="5">
        <f>pima_data!B540/$B540</f>
        <v>0.555694416922816</v>
      </c>
      <c r="E540" s="5">
        <f>pima_data!C540/$B540</f>
        <v>0.396309196565109</v>
      </c>
      <c r="F540" s="5">
        <f>pima_data!D540/$B540</f>
        <v>0.211077724257504</v>
      </c>
      <c r="G540" s="5">
        <f>pima_data!E540/$B540</f>
        <v>0.667694842039042</v>
      </c>
      <c r="H540" s="5">
        <f>pima_data!F540/$B540</f>
        <v>0.156800595162717</v>
      </c>
      <c r="I540" s="5">
        <f>pima_data!G540/$B540</f>
        <v>0.00416986198125028</v>
      </c>
      <c r="J540" s="5">
        <f>pima_data!H540/$B540</f>
        <v>0.137846677066125</v>
      </c>
    </row>
    <row r="541" spans="1:10">
      <c r="A541" s="4" cm="1">
        <f t="array" ref="A541">SUM(POWER(pima_data!A541:H541,2))</f>
        <v>66766.796921</v>
      </c>
      <c r="B541" s="4">
        <f t="shared" si="8"/>
        <v>258.392718397791</v>
      </c>
      <c r="C541" s="5">
        <f>pima_data!A541/$B541</f>
        <v>0.0309606247792329</v>
      </c>
      <c r="D541" s="5">
        <f>pima_data!B541/$B541</f>
        <v>0.387007809740412</v>
      </c>
      <c r="E541" s="5">
        <f>pima_data!C541/$B541</f>
        <v>0.286385779207905</v>
      </c>
      <c r="F541" s="5">
        <f>pima_data!D541/$B541</f>
        <v>0.154803123896165</v>
      </c>
      <c r="G541" s="5">
        <f>pima_data!E541/$B541</f>
        <v>0.832066790941885</v>
      </c>
      <c r="H541" s="5">
        <f>pima_data!F541/$B541</f>
        <v>0.152481077037722</v>
      </c>
      <c r="I541" s="5">
        <f>pima_data!G541/$B541</f>
        <v>0.00255812162238412</v>
      </c>
      <c r="J541" s="5">
        <f>pima_data!H541/$B541</f>
        <v>0.166413358188377</v>
      </c>
    </row>
    <row r="542" spans="1:10">
      <c r="A542" s="4" cm="1">
        <f t="array" ref="A542">SUM(POWER(pima_data!A542:H542,2))</f>
        <v>60081.061401</v>
      </c>
      <c r="B542" s="4">
        <f t="shared" si="8"/>
        <v>245.114384320872</v>
      </c>
      <c r="C542" s="5">
        <f>pima_data!A542/$B542</f>
        <v>0.0122391837929544</v>
      </c>
      <c r="D542" s="5">
        <f>pima_data!B542/$B542</f>
        <v>0.522205175166053</v>
      </c>
      <c r="E542" s="5">
        <f>pima_data!C542/$B542</f>
        <v>0.293740411030905</v>
      </c>
      <c r="F542" s="5">
        <f>pima_data!D542/$B542</f>
        <v>0.10199319827462</v>
      </c>
      <c r="G542" s="5">
        <f>pima_data!E542/$B542</f>
        <v>0.77514830688711</v>
      </c>
      <c r="H542" s="5">
        <f>pima_data!F542/$B542</f>
        <v>0.132183184963907</v>
      </c>
      <c r="I542" s="5">
        <f>pima_data!G542/$B542</f>
        <v>0.00223977063411065</v>
      </c>
      <c r="J542" s="5">
        <f>pima_data!H542/$B542</f>
        <v>0.110152654136589</v>
      </c>
    </row>
    <row r="543" spans="1:10">
      <c r="A543" s="4" cm="1">
        <f t="array" ref="A543">SUM(POWER(pima_data!A543:H543,2))</f>
        <v>20803.690625</v>
      </c>
      <c r="B543" s="4">
        <f t="shared" si="8"/>
        <v>144.234845391119</v>
      </c>
      <c r="C543" s="5">
        <f>pima_data!A543/$B543</f>
        <v>0.0693313739331379</v>
      </c>
      <c r="D543" s="5">
        <f>pima_data!B543/$B543</f>
        <v>0.623982365398241</v>
      </c>
      <c r="E543" s="5">
        <f>pima_data!C543/$B543</f>
        <v>0.589316678431672</v>
      </c>
      <c r="F543" s="5">
        <f>pima_data!D543/$B543</f>
        <v>0.221860396586041</v>
      </c>
      <c r="G543" s="5">
        <f>pima_data!E543/$B543</f>
        <v>0</v>
      </c>
      <c r="H543" s="5">
        <f>pima_data!F543/$B543</f>
        <v>0.241966495026651</v>
      </c>
      <c r="I543" s="5">
        <f>pima_data!G543/$B543</f>
        <v>0.00571983834948387</v>
      </c>
      <c r="J543" s="5">
        <f>pima_data!H543/$B543</f>
        <v>0.388255694025572</v>
      </c>
    </row>
    <row r="544" spans="1:10">
      <c r="A544" s="4" cm="1">
        <f t="array" ref="A544">SUM(POWER(pima_data!A544:H544,2))</f>
        <v>21022.275281</v>
      </c>
      <c r="B544" s="4">
        <f t="shared" si="8"/>
        <v>144.990604112818</v>
      </c>
      <c r="C544" s="5">
        <f>pima_data!A544/$B544</f>
        <v>0.0275879945771353</v>
      </c>
      <c r="D544" s="5">
        <f>pima_data!B544/$B544</f>
        <v>0.579347886119841</v>
      </c>
      <c r="E544" s="5">
        <f>pima_data!C544/$B544</f>
        <v>0.620729877985544</v>
      </c>
      <c r="F544" s="5">
        <f>pima_data!D544/$B544</f>
        <v>0.158630968818528</v>
      </c>
      <c r="G544" s="5">
        <f>pima_data!E544/$B544</f>
        <v>0.386231924079894</v>
      </c>
      <c r="H544" s="5">
        <f>pima_data!F544/$B544</f>
        <v>0.272431446449211</v>
      </c>
      <c r="I544" s="5">
        <f>pima_data!G544/$B544</f>
        <v>0.00109662278444113</v>
      </c>
      <c r="J544" s="5">
        <f>pima_data!H544/$B544</f>
        <v>0.172424966107096</v>
      </c>
    </row>
    <row r="545" spans="1:10">
      <c r="A545" s="4" cm="1">
        <f t="array" ref="A545">SUM(POWER(pima_data!A545:H545,2))</f>
        <v>22311.133225</v>
      </c>
      <c r="B545" s="4">
        <f t="shared" si="8"/>
        <v>149.369117373706</v>
      </c>
      <c r="C545" s="5">
        <f>pima_data!A545/$B545</f>
        <v>0.00669482432234036</v>
      </c>
      <c r="D545" s="5">
        <f>pima_data!B545/$B545</f>
        <v>0.589144540365952</v>
      </c>
      <c r="E545" s="5">
        <f>pima_data!C545/$B545</f>
        <v>0.522196297142548</v>
      </c>
      <c r="F545" s="5">
        <f>pima_data!D545/$B545</f>
        <v>0.19414990534787</v>
      </c>
      <c r="G545" s="5">
        <f>pima_data!E545/$B545</f>
        <v>0.508806648497867</v>
      </c>
      <c r="H545" s="5">
        <f>pima_data!F545/$B545</f>
        <v>0.214234378314892</v>
      </c>
      <c r="I545" s="5">
        <f>pima_data!G545/$B545</f>
        <v>0.00244361087765423</v>
      </c>
      <c r="J545" s="5">
        <f>pima_data!H545/$B545</f>
        <v>0.19414990534787</v>
      </c>
    </row>
    <row r="546" spans="1:10">
      <c r="A546" s="4" cm="1">
        <f t="array" ref="A546">SUM(POWER(pima_data!A546:H546,2))</f>
        <v>97169.428929</v>
      </c>
      <c r="B546" s="4">
        <f t="shared" si="8"/>
        <v>311.720113128749</v>
      </c>
      <c r="C546" s="5">
        <f>pima_data!A546/$B546</f>
        <v>0.0256640481735479</v>
      </c>
      <c r="D546" s="5">
        <f>pima_data!B546/$B546</f>
        <v>0.596689120034988</v>
      </c>
      <c r="E546" s="5">
        <f>pima_data!C546/$B546</f>
        <v>0.288720541952413</v>
      </c>
      <c r="F546" s="5">
        <f>pima_data!D546/$B546</f>
        <v>0.112280210759272</v>
      </c>
      <c r="G546" s="5">
        <f>pima_data!E546/$B546</f>
        <v>0.721801354881034</v>
      </c>
      <c r="H546" s="5">
        <f>pima_data!F546/$B546</f>
        <v>0.110676207748425</v>
      </c>
      <c r="I546" s="5">
        <f>pima_data!G546/$B546</f>
        <v>0.00135698654717634</v>
      </c>
      <c r="J546" s="5">
        <f>pima_data!H546/$B546</f>
        <v>0.118696222802659</v>
      </c>
    </row>
    <row r="547" spans="1:10">
      <c r="A547" s="4" cm="1">
        <f t="array" ref="A547">SUM(POWER(pima_data!A547:H547,2))</f>
        <v>89059.029156</v>
      </c>
      <c r="B547" s="4">
        <f t="shared" si="8"/>
        <v>298.427594494879</v>
      </c>
      <c r="C547" s="5">
        <f>pima_data!A547/$B547</f>
        <v>0.016754482803318</v>
      </c>
      <c r="D547" s="5">
        <f>pima_data!B547/$B547</f>
        <v>0.626617656844092</v>
      </c>
      <c r="E547" s="5">
        <f>pima_data!C547/$B547</f>
        <v>0.254668138610433</v>
      </c>
      <c r="F547" s="5">
        <f>pima_data!D547/$B547</f>
        <v>0.090474207137917</v>
      </c>
      <c r="G547" s="5">
        <f>pima_data!E547/$B547</f>
        <v>0.693635588057364</v>
      </c>
      <c r="H547" s="5">
        <f>pima_data!F547/$B547</f>
        <v>0.146099090044933</v>
      </c>
      <c r="I547" s="5">
        <f>pima_data!G547/$B547</f>
        <v>0.00346482704372616</v>
      </c>
      <c r="J547" s="5">
        <f>pima_data!H547/$B547</f>
        <v>0.17759751771517</v>
      </c>
    </row>
    <row r="548" spans="1:10">
      <c r="A548" s="4" cm="1">
        <f t="array" ref="A548">SUM(POWER(pima_data!A548:H548,2))</f>
        <v>51677.6356</v>
      </c>
      <c r="B548" s="4">
        <f t="shared" si="8"/>
        <v>227.327155439028</v>
      </c>
      <c r="C548" s="5">
        <f>pima_data!A548/$B548</f>
        <v>0.0175957860919649</v>
      </c>
      <c r="D548" s="5">
        <f>pima_data!B548/$B548</f>
        <v>0.576261994511852</v>
      </c>
      <c r="E548" s="5">
        <f>pima_data!C548/$B548</f>
        <v>0.299128363563404</v>
      </c>
      <c r="F548" s="5">
        <f>pima_data!D548/$B548</f>
        <v>0.0923778769828159</v>
      </c>
      <c r="G548" s="5">
        <f>pima_data!E548/$B548</f>
        <v>0.730225122816545</v>
      </c>
      <c r="H548" s="5">
        <f>pima_data!F548/$B548</f>
        <v>0.14560512991101</v>
      </c>
      <c r="I548" s="5">
        <f>pima_data!G548/$B548</f>
        <v>0.000703831443678597</v>
      </c>
      <c r="J548" s="5">
        <f>pima_data!H548/$B548</f>
        <v>0.123170502643755</v>
      </c>
    </row>
    <row r="549" spans="1:10">
      <c r="A549" s="4" cm="1">
        <f t="array" ref="A549">SUM(POWER(pima_data!A549:H549,2))</f>
        <v>43534.956281</v>
      </c>
      <c r="B549" s="4">
        <f t="shared" si="8"/>
        <v>208.650320586861</v>
      </c>
      <c r="C549" s="5">
        <f>pima_data!A549/$B549</f>
        <v>0.00479270770918226</v>
      </c>
      <c r="D549" s="5">
        <f>pima_data!B549/$B549</f>
        <v>0.78600406430589</v>
      </c>
      <c r="E549" s="5">
        <f>pima_data!C549/$B549</f>
        <v>0.393002032152945</v>
      </c>
      <c r="F549" s="5">
        <f>pima_data!D549/$B549</f>
        <v>0.206086431494837</v>
      </c>
      <c r="G549" s="5">
        <f>pima_data!E549/$B549</f>
        <v>0.321111416515211</v>
      </c>
      <c r="H549" s="5">
        <f>pima_data!F549/$B549</f>
        <v>0.157200812861178</v>
      </c>
      <c r="I549" s="5">
        <f>pima_data!G549/$B549</f>
        <v>0.00163431332883115</v>
      </c>
      <c r="J549" s="5">
        <f>pima_data!H549/$B549</f>
        <v>0.239635385459113</v>
      </c>
    </row>
    <row r="550" spans="1:10">
      <c r="A550" s="4" cm="1">
        <f t="array" ref="A550">SUM(POWER(pima_data!A550:H550,2))</f>
        <v>50979.7124</v>
      </c>
      <c r="B550" s="4">
        <f t="shared" si="8"/>
        <v>225.786873843454</v>
      </c>
      <c r="C550" s="5">
        <f>pima_data!A550/$B550</f>
        <v>0.0177158217034943</v>
      </c>
      <c r="D550" s="5">
        <f>pima_data!B550/$B550</f>
        <v>0.837072575490106</v>
      </c>
      <c r="E550" s="5">
        <f>pima_data!C550/$B550</f>
        <v>0.487185096846093</v>
      </c>
      <c r="F550" s="5">
        <f>pima_data!D550/$B550</f>
        <v>0.137297618202081</v>
      </c>
      <c r="G550" s="5">
        <f>pima_data!E550/$B550</f>
        <v>0</v>
      </c>
      <c r="H550" s="5">
        <f>pima_data!F550/$B550</f>
        <v>0.126225229637397</v>
      </c>
      <c r="I550" s="5">
        <f>pima_data!G550/$B550</f>
        <v>0.00301168968959403</v>
      </c>
      <c r="J550" s="5">
        <f>pima_data!H550/$B550</f>
        <v>0.163871350757322</v>
      </c>
    </row>
    <row r="551" spans="1:10">
      <c r="A551" s="4" cm="1">
        <f t="array" ref="A551">SUM(POWER(pima_data!A551:H551,2))</f>
        <v>20332.801616</v>
      </c>
      <c r="B551" s="4">
        <f t="shared" si="8"/>
        <v>142.593133130596</v>
      </c>
      <c r="C551" s="5">
        <f>pima_data!A551/$B551</f>
        <v>0.0070129604283548</v>
      </c>
      <c r="D551" s="5">
        <f>pima_data!B551/$B551</f>
        <v>0.813503409689156</v>
      </c>
      <c r="E551" s="5">
        <f>pima_data!C551/$B551</f>
        <v>0.490907229984836</v>
      </c>
      <c r="F551" s="5">
        <f>pima_data!D551/$B551</f>
        <v>0.196362891993934</v>
      </c>
      <c r="G551" s="5">
        <f>pima_data!E551/$B551</f>
        <v>0</v>
      </c>
      <c r="H551" s="5">
        <f>pima_data!F551/$B551</f>
        <v>0.192155115736921</v>
      </c>
      <c r="I551" s="5">
        <f>pima_data!G551/$B551</f>
        <v>0.00143064392738438</v>
      </c>
      <c r="J551" s="5">
        <f>pima_data!H551/$B551</f>
        <v>0.147272168995451</v>
      </c>
    </row>
    <row r="552" spans="1:10">
      <c r="A552" s="4" cm="1">
        <f t="array" ref="A552">SUM(POWER(pima_data!A552:H552,2))</f>
        <v>25467.959281</v>
      </c>
      <c r="B552" s="4">
        <f t="shared" si="8"/>
        <v>159.586839310139</v>
      </c>
      <c r="C552" s="5">
        <f>pima_data!A552/$B552</f>
        <v>0.0187985426177271</v>
      </c>
      <c r="D552" s="5">
        <f>pima_data!B552/$B552</f>
        <v>0.526359193296358</v>
      </c>
      <c r="E552" s="5">
        <f>pima_data!C552/$B552</f>
        <v>0.426100299335147</v>
      </c>
      <c r="F552" s="5">
        <f>pima_data!D552/$B552</f>
        <v>0.187985426177271</v>
      </c>
      <c r="G552" s="5">
        <f>pima_data!E552/$B552</f>
        <v>0.664215172493023</v>
      </c>
      <c r="H552" s="5">
        <f>pima_data!F552/$B552</f>
        <v>0.199891169835164</v>
      </c>
      <c r="I552" s="5">
        <f>pima_data!G552/$B552</f>
        <v>0.00370331289569223</v>
      </c>
      <c r="J552" s="5">
        <f>pima_data!H552/$B552</f>
        <v>0.156654521814392</v>
      </c>
    </row>
    <row r="553" spans="1:10">
      <c r="A553" s="4" cm="1">
        <f t="array" ref="A553">SUM(POWER(pima_data!A553:H553,2))</f>
        <v>25904.901009</v>
      </c>
      <c r="B553" s="4">
        <f t="shared" si="8"/>
        <v>160.949995368127</v>
      </c>
      <c r="C553" s="5">
        <f>pima_data!A553/$B553</f>
        <v>0.037278659041131</v>
      </c>
      <c r="D553" s="5">
        <f>pima_data!B553/$B553</f>
        <v>0.708294521781488</v>
      </c>
      <c r="E553" s="5">
        <f>pima_data!C553/$B553</f>
        <v>0.546753665936587</v>
      </c>
      <c r="F553" s="5">
        <f>pima_data!D553/$B553</f>
        <v>0</v>
      </c>
      <c r="G553" s="5">
        <f>pima_data!E553/$B553</f>
        <v>0</v>
      </c>
      <c r="H553" s="5">
        <f>pima_data!F553/$B553</f>
        <v>0.17272445355724</v>
      </c>
      <c r="I553" s="5">
        <f>pima_data!G553/$B553</f>
        <v>0.00153463813052656</v>
      </c>
      <c r="J553" s="5">
        <f>pima_data!H553/$B553</f>
        <v>0.41006524945244</v>
      </c>
    </row>
    <row r="554" spans="1:10">
      <c r="A554" s="4" cm="1">
        <f t="array" ref="A554">SUM(POWER(pima_data!A554:H554,2))</f>
        <v>15524.188084</v>
      </c>
      <c r="B554" s="4">
        <f t="shared" si="8"/>
        <v>124.596099794496</v>
      </c>
      <c r="C554" s="5">
        <f>pima_data!A554/$B554</f>
        <v>0.00802593340922679</v>
      </c>
      <c r="D554" s="5">
        <f>pima_data!B554/$B554</f>
        <v>0.706282140011957</v>
      </c>
      <c r="E554" s="5">
        <f>pima_data!C554/$B554</f>
        <v>0.497607871372061</v>
      </c>
      <c r="F554" s="5">
        <f>pima_data!D554/$B554</f>
        <v>0.192622401821443</v>
      </c>
      <c r="G554" s="5">
        <f>pima_data!E554/$B554</f>
        <v>0.353141070005979</v>
      </c>
      <c r="H554" s="5">
        <f>pima_data!F554/$B554</f>
        <v>0.239975408935881</v>
      </c>
      <c r="I554" s="5">
        <f>pima_data!G554/$B554</f>
        <v>0.0033869438986937</v>
      </c>
      <c r="J554" s="5">
        <f>pima_data!H554/$B554</f>
        <v>0.184596468412216</v>
      </c>
    </row>
    <row r="555" spans="1:10">
      <c r="A555" s="4" cm="1">
        <f t="array" ref="A555">SUM(POWER(pima_data!A555:H555,2))</f>
        <v>27052.831841</v>
      </c>
      <c r="B555" s="4">
        <f t="shared" si="8"/>
        <v>164.477450858773</v>
      </c>
      <c r="C555" s="5">
        <f>pima_data!A555/$B555</f>
        <v>0.00607986076376294</v>
      </c>
      <c r="D555" s="5">
        <f>pima_data!B555/$B555</f>
        <v>0.510708304156087</v>
      </c>
      <c r="E555" s="5">
        <f>pima_data!C555/$B555</f>
        <v>0.389111088880828</v>
      </c>
      <c r="F555" s="5">
        <f>pima_data!D555/$B555</f>
        <v>0.139836797566548</v>
      </c>
      <c r="G555" s="5">
        <f>pima_data!E555/$B555</f>
        <v>0.699183987832738</v>
      </c>
      <c r="H555" s="5">
        <f>pima_data!F555/$B555</f>
        <v>0.224346862182853</v>
      </c>
      <c r="I555" s="5">
        <f>pima_data!G555/$B555</f>
        <v>0.00286361441973235</v>
      </c>
      <c r="J555" s="5">
        <f>pima_data!H555/$B555</f>
        <v>0.170236101385362</v>
      </c>
    </row>
    <row r="556" spans="1:10">
      <c r="A556" s="4" cm="1">
        <f t="array" ref="A556">SUM(POWER(pima_data!A556:H556,2))</f>
        <v>69658.275921</v>
      </c>
      <c r="B556" s="4">
        <f t="shared" si="8"/>
        <v>263.928543210089</v>
      </c>
      <c r="C556" s="5">
        <f>pima_data!A556/$B556</f>
        <v>0.0265223303052446</v>
      </c>
      <c r="D556" s="5">
        <f>pima_data!B556/$B556</f>
        <v>0.469824136835761</v>
      </c>
      <c r="E556" s="5">
        <f>pima_data!C556/$B556</f>
        <v>0.265223303052446</v>
      </c>
      <c r="F556" s="5">
        <f>pima_data!D556/$B556</f>
        <v>0.125033842867581</v>
      </c>
      <c r="G556" s="5">
        <f>pima_data!E556/$B556</f>
        <v>0.81461443080394</v>
      </c>
      <c r="H556" s="5">
        <f>pima_data!F556/$B556</f>
        <v>0.0966170603976766</v>
      </c>
      <c r="I556" s="5">
        <f>pima_data!G556/$B556</f>
        <v>0.000610013597020625</v>
      </c>
      <c r="J556" s="5">
        <f>pima_data!H556/$B556</f>
        <v>0.140189460184864</v>
      </c>
    </row>
    <row r="557" spans="1:10">
      <c r="A557" s="4" cm="1">
        <f t="array" ref="A557">SUM(POWER(pima_data!A557:H557,2))</f>
        <v>18261.657524</v>
      </c>
      <c r="B557" s="4">
        <f t="shared" si="8"/>
        <v>135.135700405185</v>
      </c>
      <c r="C557" s="5">
        <f>pima_data!A557/$B557</f>
        <v>0.00739996904594153</v>
      </c>
      <c r="D557" s="5">
        <f>pima_data!B557/$B557</f>
        <v>0.717796997456329</v>
      </c>
      <c r="E557" s="5">
        <f>pima_data!C557/$B557</f>
        <v>0.517997833215907</v>
      </c>
      <c r="F557" s="5">
        <f>pima_data!D557/$B557</f>
        <v>0.295998761837661</v>
      </c>
      <c r="G557" s="5">
        <f>pima_data!E557/$B557</f>
        <v>0</v>
      </c>
      <c r="H557" s="5">
        <f>pima_data!F557/$B557</f>
        <v>0.281938820650372</v>
      </c>
      <c r="I557" s="5">
        <f>pima_data!G557/$B557</f>
        <v>0.00161319325201525</v>
      </c>
      <c r="J557" s="5">
        <f>pima_data!H557/$B557</f>
        <v>0.221999071378246</v>
      </c>
    </row>
    <row r="558" spans="1:10">
      <c r="A558" s="4" cm="1">
        <f t="array" ref="A558">SUM(POWER(pima_data!A558:H558,2))</f>
        <v>22076.896169</v>
      </c>
      <c r="B558" s="4">
        <f t="shared" si="8"/>
        <v>148.582960560759</v>
      </c>
      <c r="C558" s="5">
        <f>pima_data!A558/$B558</f>
        <v>0.053841974677363</v>
      </c>
      <c r="D558" s="5">
        <f>pima_data!B558/$B558</f>
        <v>0.740327151813741</v>
      </c>
      <c r="E558" s="5">
        <f>pima_data!C558/$B558</f>
        <v>0.511498759434948</v>
      </c>
      <c r="F558" s="5">
        <f>pima_data!D558/$B558</f>
        <v>0</v>
      </c>
      <c r="G558" s="5">
        <f>pima_data!E558/$B558</f>
        <v>0</v>
      </c>
      <c r="H558" s="5">
        <f>pima_data!F558/$B558</f>
        <v>0.187100862003836</v>
      </c>
      <c r="I558" s="5">
        <f>pima_data!G558/$B558</f>
        <v>0.00159506849981688</v>
      </c>
      <c r="J558" s="5">
        <f>pima_data!H558/$B558</f>
        <v>0.390354316410882</v>
      </c>
    </row>
    <row r="559" spans="1:10">
      <c r="A559" s="4" cm="1">
        <f t="array" ref="A559">SUM(POWER(pima_data!A559:H559,2))</f>
        <v>20852.455876</v>
      </c>
      <c r="B559" s="4">
        <f t="shared" si="8"/>
        <v>144.403794534631</v>
      </c>
      <c r="C559" s="5">
        <f>pima_data!A559/$B559</f>
        <v>0.0761752835889777</v>
      </c>
      <c r="D559" s="5">
        <f>pima_data!B559/$B559</f>
        <v>0.713277655424064</v>
      </c>
      <c r="E559" s="5">
        <f>pima_data!C559/$B559</f>
        <v>0.470901753095498</v>
      </c>
      <c r="F559" s="5">
        <f>pima_data!D559/$B559</f>
        <v>0.277001031232646</v>
      </c>
      <c r="G559" s="5">
        <f>pima_data!E559/$B559</f>
        <v>0</v>
      </c>
      <c r="H559" s="5">
        <f>pima_data!F559/$B559</f>
        <v>0.319936191073706</v>
      </c>
      <c r="I559" s="5">
        <f>pima_data!G559/$B559</f>
        <v>0.000872553248382835</v>
      </c>
      <c r="J559" s="5">
        <f>pima_data!H559/$B559</f>
        <v>0.290851082794278</v>
      </c>
    </row>
    <row r="560" spans="1:10">
      <c r="A560" s="4" cm="1">
        <f t="array" ref="A560">SUM(POWER(pima_data!A560:H560,2))</f>
        <v>14953.1</v>
      </c>
      <c r="B560" s="4">
        <f t="shared" si="8"/>
        <v>122.282868791994</v>
      </c>
      <c r="C560" s="5">
        <f>pima_data!A560/$B560</f>
        <v>0.0899553642195888</v>
      </c>
      <c r="D560" s="5">
        <f>pima_data!B560/$B560</f>
        <v>0.695109632605913</v>
      </c>
      <c r="E560" s="5">
        <f>pima_data!C560/$B560</f>
        <v>0.605154268386325</v>
      </c>
      <c r="F560" s="5">
        <f>pima_data!D560/$B560</f>
        <v>0</v>
      </c>
      <c r="G560" s="5">
        <f>pima_data!E560/$B560</f>
        <v>0</v>
      </c>
      <c r="H560" s="5">
        <f>pima_data!F560/$B560</f>
        <v>0.246150587546329</v>
      </c>
      <c r="I560" s="5">
        <f>pima_data!G560/$B560</f>
        <v>0.00245332811507969</v>
      </c>
      <c r="J560" s="5">
        <f>pima_data!H560/$B560</f>
        <v>0.286221613425964</v>
      </c>
    </row>
    <row r="561" spans="1:10">
      <c r="A561" s="4" cm="1">
        <f t="array" ref="A561">SUM(POWER(pima_data!A561:H561,2))</f>
        <v>25495.454641</v>
      </c>
      <c r="B561" s="4">
        <f t="shared" si="8"/>
        <v>159.672961521355</v>
      </c>
      <c r="C561" s="5">
        <f>pima_data!A561/$B561</f>
        <v>0.0375768066354651</v>
      </c>
      <c r="D561" s="5">
        <f>pima_data!B561/$B561</f>
        <v>0.782850138238856</v>
      </c>
      <c r="E561" s="5">
        <f>pima_data!C561/$B561</f>
        <v>0.475972884049224</v>
      </c>
      <c r="F561" s="5">
        <f>pima_data!D561/$B561</f>
        <v>0</v>
      </c>
      <c r="G561" s="5">
        <f>pima_data!E561/$B561</f>
        <v>0</v>
      </c>
      <c r="H561" s="5">
        <f>pima_data!F561/$B561</f>
        <v>0.211682677379787</v>
      </c>
      <c r="I561" s="5">
        <f>pima_data!G561/$B561</f>
        <v>0.000757798933815213</v>
      </c>
      <c r="J561" s="5">
        <f>pima_data!H561/$B561</f>
        <v>0.338191259719186</v>
      </c>
    </row>
    <row r="562" spans="1:10">
      <c r="A562" s="4" cm="1">
        <f t="array" ref="A562">SUM(POWER(pima_data!A562:H562,2))</f>
        <v>122149.942004</v>
      </c>
      <c r="B562" s="4">
        <f t="shared" si="8"/>
        <v>349.499559375974</v>
      </c>
      <c r="C562" s="5">
        <f>pima_data!A562/$B562</f>
        <v>0</v>
      </c>
      <c r="D562" s="5">
        <f>pima_data!B562/$B562</f>
        <v>0.566524319382622</v>
      </c>
      <c r="E562" s="5">
        <f>pima_data!C562/$B562</f>
        <v>0.188841439794207</v>
      </c>
      <c r="F562" s="5">
        <f>pima_data!D562/$B562</f>
        <v>0.0915594859608278</v>
      </c>
      <c r="G562" s="5">
        <f>pima_data!E562/$B562</f>
        <v>0.783978098539588</v>
      </c>
      <c r="H562" s="5">
        <f>pima_data!F562/$B562</f>
        <v>0.118168961568193</v>
      </c>
      <c r="I562" s="5">
        <f>pima_data!G562/$B562</f>
        <v>0.00143633943601049</v>
      </c>
      <c r="J562" s="5">
        <f>pima_data!H562/$B562</f>
        <v>0.0801145502157243</v>
      </c>
    </row>
    <row r="563" spans="1:10">
      <c r="A563" s="4" cm="1">
        <f t="array" ref="A563">SUM(POWER(pima_data!A563:H563,2))</f>
        <v>21268.920801</v>
      </c>
      <c r="B563" s="4">
        <f t="shared" si="8"/>
        <v>145.838680743485</v>
      </c>
      <c r="C563" s="5">
        <f>pima_data!A563/$B563</f>
        <v>0.00685689142895429</v>
      </c>
      <c r="D563" s="5">
        <f>pima_data!B563/$B563</f>
        <v>0.596549554319023</v>
      </c>
      <c r="E563" s="5">
        <f>pima_data!C563/$B563</f>
        <v>0.466268617168892</v>
      </c>
      <c r="F563" s="5">
        <f>pima_data!D563/$B563</f>
        <v>0.233134308584446</v>
      </c>
      <c r="G563" s="5">
        <f>pima_data!E563/$B563</f>
        <v>0.52798064002948</v>
      </c>
      <c r="H563" s="5">
        <f>pima_data!F563/$B563</f>
        <v>0.257819117728681</v>
      </c>
      <c r="I563" s="5">
        <f>pima_data!G563/$B563</f>
        <v>0.00274961346301067</v>
      </c>
      <c r="J563" s="5">
        <f>pima_data!H563/$B563</f>
        <v>0.164565394294903</v>
      </c>
    </row>
    <row r="564" spans="1:10">
      <c r="A564" s="4" cm="1">
        <f t="array" ref="A564">SUM(POWER(pima_data!A564:H564,2))</f>
        <v>18461.857009</v>
      </c>
      <c r="B564" s="4">
        <f t="shared" si="8"/>
        <v>135.874416315214</v>
      </c>
      <c r="C564" s="5">
        <f>pima_data!A564/$B564</f>
        <v>0.0441584233641207</v>
      </c>
      <c r="D564" s="5">
        <f>pima_data!B564/$B564</f>
        <v>0.728613985507992</v>
      </c>
      <c r="E564" s="5">
        <f>pima_data!C564/$B564</f>
        <v>0.441584233641207</v>
      </c>
      <c r="F564" s="5">
        <f>pima_data!D564/$B564</f>
        <v>0.139835007319716</v>
      </c>
      <c r="G564" s="5">
        <f>pima_data!E564/$B564</f>
        <v>0.397425810277087</v>
      </c>
      <c r="H564" s="5">
        <f>pima_data!F564/$B564</f>
        <v>0.197976931415808</v>
      </c>
      <c r="I564" s="5">
        <f>pima_data!G564/$B564</f>
        <v>0.00365778940199467</v>
      </c>
      <c r="J564" s="5">
        <f>pima_data!H564/$B564</f>
        <v>0.235511591275311</v>
      </c>
    </row>
    <row r="565" spans="1:10">
      <c r="A565" s="4" cm="1">
        <f t="array" ref="A565">SUM(POWER(pima_data!A565:H565,2))</f>
        <v>16460.121201</v>
      </c>
      <c r="B565" s="4">
        <f t="shared" si="8"/>
        <v>128.29700386603</v>
      </c>
      <c r="C565" s="5">
        <f>pima_data!A565/$B565</f>
        <v>0</v>
      </c>
      <c r="D565" s="5">
        <f>pima_data!B565/$B565</f>
        <v>0.709291700178939</v>
      </c>
      <c r="E565" s="5">
        <f>pima_data!C565/$B565</f>
        <v>0.623553143014452</v>
      </c>
      <c r="F565" s="5">
        <f>pima_data!D565/$B565</f>
        <v>0</v>
      </c>
      <c r="G565" s="5">
        <f>pima_data!E565/$B565</f>
        <v>0</v>
      </c>
      <c r="H565" s="5">
        <f>pima_data!F565/$B565</f>
        <v>0.252539022920853</v>
      </c>
      <c r="I565" s="5">
        <f>pima_data!G565/$B565</f>
        <v>0.00468444298689607</v>
      </c>
      <c r="J565" s="5">
        <f>pima_data!H565/$B565</f>
        <v>0.210449185767378</v>
      </c>
    </row>
    <row r="566" spans="1:10">
      <c r="A566" s="4" cm="1">
        <f t="array" ref="A566">SUM(POWER(pima_data!A566:H566,2))</f>
        <v>21050.769504</v>
      </c>
      <c r="B566" s="4">
        <f t="shared" si="8"/>
        <v>145.088833147145</v>
      </c>
      <c r="C566" s="5">
        <f>pima_data!A566/$B566</f>
        <v>0.0137846583821627</v>
      </c>
      <c r="D566" s="5">
        <f>pima_data!B566/$B566</f>
        <v>0.65477127315273</v>
      </c>
      <c r="E566" s="5">
        <f>pima_data!C566/$B566</f>
        <v>0.372185776318394</v>
      </c>
      <c r="F566" s="5">
        <f>pima_data!D566/$B566</f>
        <v>0.0964926086751392</v>
      </c>
      <c r="G566" s="5">
        <f>pima_data!E566/$B566</f>
        <v>0.606524968815161</v>
      </c>
      <c r="H566" s="5">
        <f>pima_data!F566/$B566</f>
        <v>0.179889791887224</v>
      </c>
      <c r="I566" s="5">
        <f>pima_data!G566/$B566</f>
        <v>0.00515546223492887</v>
      </c>
      <c r="J566" s="5">
        <f>pima_data!H566/$B566</f>
        <v>0.15163124220379</v>
      </c>
    </row>
    <row r="567" spans="1:10">
      <c r="A567" s="4" cm="1">
        <f t="array" ref="A567">SUM(POWER(pima_data!A567:H567,2))</f>
        <v>18141.129744</v>
      </c>
      <c r="B567" s="4">
        <f t="shared" si="8"/>
        <v>134.689011222148</v>
      </c>
      <c r="C567" s="5">
        <f>pima_data!A567/$B567</f>
        <v>0.00742451066294233</v>
      </c>
      <c r="D567" s="5">
        <f>pima_data!B567/$B567</f>
        <v>0.735026555631291</v>
      </c>
      <c r="E567" s="5">
        <f>pima_data!C567/$B567</f>
        <v>0.534564767731848</v>
      </c>
      <c r="F567" s="5">
        <f>pima_data!D567/$B567</f>
        <v>0.22273531988827</v>
      </c>
      <c r="G567" s="5">
        <f>pima_data!E567/$B567</f>
        <v>0.133641191932962</v>
      </c>
      <c r="H567" s="5">
        <f>pima_data!F567/$B567</f>
        <v>0.286586111589574</v>
      </c>
      <c r="I567" s="5">
        <f>pima_data!G567/$B567</f>
        <v>0.00305889839313224</v>
      </c>
      <c r="J567" s="5">
        <f>pima_data!H567/$B567</f>
        <v>0.155914723921789</v>
      </c>
    </row>
    <row r="568" spans="1:10">
      <c r="A568" s="4" cm="1">
        <f t="array" ref="A568">SUM(POWER(pima_data!A568:H568,2))</f>
        <v>32384.007225</v>
      </c>
      <c r="B568" s="4">
        <f t="shared" si="8"/>
        <v>179.955570141632</v>
      </c>
      <c r="C568" s="5">
        <f>pima_data!A568/$B568</f>
        <v>0.0333415631162612</v>
      </c>
      <c r="D568" s="5">
        <f>pima_data!B568/$B568</f>
        <v>0.511237301116004</v>
      </c>
      <c r="E568" s="5">
        <f>pima_data!C568/$B568</f>
        <v>0.344529485534699</v>
      </c>
      <c r="F568" s="5">
        <f>pima_data!D568/$B568</f>
        <v>0.177821669953393</v>
      </c>
      <c r="G568" s="5">
        <f>pima_data!E568/$B568</f>
        <v>0.700172825441484</v>
      </c>
      <c r="H568" s="5">
        <f>pima_data!F568/$B568</f>
        <v>0.177821669953393</v>
      </c>
      <c r="I568" s="5">
        <f>pima_data!G568/$B568</f>
        <v>0.0004723388108137</v>
      </c>
      <c r="J568" s="5">
        <f>pima_data!H568/$B568</f>
        <v>0.255618650558002</v>
      </c>
    </row>
    <row r="569" spans="1:10">
      <c r="A569" s="4" cm="1">
        <f t="array" ref="A569">SUM(POWER(pima_data!A569:H569,2))</f>
        <v>47981.804244</v>
      </c>
      <c r="B569" s="4">
        <f t="shared" si="8"/>
        <v>219.047493124208</v>
      </c>
      <c r="C569" s="5">
        <f>pima_data!A569/$B569</f>
        <v>0.0182608800628083</v>
      </c>
      <c r="D569" s="5">
        <f>pima_data!B569/$B569</f>
        <v>0.703043882418121</v>
      </c>
      <c r="E569" s="5">
        <f>pima_data!C569/$B569</f>
        <v>0.32869584113055</v>
      </c>
      <c r="F569" s="5">
        <f>pima_data!D569/$B569</f>
        <v>0.132391380455361</v>
      </c>
      <c r="G569" s="5">
        <f>pima_data!E569/$B569</f>
        <v>0.575217721978463</v>
      </c>
      <c r="H569" s="5">
        <f>pima_data!F569/$B569</f>
        <v>0.142891386491475</v>
      </c>
      <c r="I569" s="5">
        <f>pima_data!G569/$B569</f>
        <v>0.00154304436530731</v>
      </c>
      <c r="J569" s="5">
        <f>pima_data!H569/$B569</f>
        <v>0.168913140580977</v>
      </c>
    </row>
    <row r="570" spans="1:10">
      <c r="A570" s="4" cm="1">
        <f t="array" ref="A570">SUM(POWER(pima_data!A570:H570,2))</f>
        <v>49387.531209</v>
      </c>
      <c r="B570" s="4">
        <f t="shared" si="8"/>
        <v>222.233056067274</v>
      </c>
      <c r="C570" s="5">
        <f>pima_data!A570/$B570</f>
        <v>0</v>
      </c>
      <c r="D570" s="5">
        <f>pima_data!B570/$B570</f>
        <v>0.54447345566526</v>
      </c>
      <c r="E570" s="5">
        <f>pima_data!C570/$B570</f>
        <v>0.29698552127196</v>
      </c>
      <c r="F570" s="5">
        <f>pima_data!D570/$B570</f>
        <v>0.134993418759982</v>
      </c>
      <c r="G570" s="5">
        <f>pima_data!E570/$B570</f>
        <v>0.7424638031799</v>
      </c>
      <c r="H570" s="5">
        <f>pima_data!F570/$B570</f>
        <v>0.154342475448913</v>
      </c>
      <c r="I570" s="5">
        <f>pima_data!G570/$B570</f>
        <v>0.000913455466942544</v>
      </c>
      <c r="J570" s="5">
        <f>pima_data!H570/$B570</f>
        <v>0.14849276063598</v>
      </c>
    </row>
    <row r="571" spans="1:10">
      <c r="A571" s="4" cm="1">
        <f t="array" ref="A571">SUM(POWER(pima_data!A571:H571,2))</f>
        <v>13570.3229</v>
      </c>
      <c r="B571" s="4">
        <f t="shared" si="8"/>
        <v>116.491728890939</v>
      </c>
      <c r="C571" s="5">
        <f>pima_data!A571/$B571</f>
        <v>0.0257529013309489</v>
      </c>
      <c r="D571" s="5">
        <f>pima_data!B571/$B571</f>
        <v>0.669575434604672</v>
      </c>
      <c r="E571" s="5">
        <f>pima_data!C571/$B571</f>
        <v>0.600901031055475</v>
      </c>
      <c r="F571" s="5">
        <f>pima_data!D571/$B571</f>
        <v>0</v>
      </c>
      <c r="G571" s="5">
        <f>pima_data!E571/$B571</f>
        <v>0</v>
      </c>
      <c r="H571" s="5">
        <f>pima_data!F571/$B571</f>
        <v>0.278989764418613</v>
      </c>
      <c r="I571" s="5">
        <f>pima_data!G571/$B571</f>
        <v>0.0023177611197854</v>
      </c>
      <c r="J571" s="5">
        <f>pima_data!H571/$B571</f>
        <v>0.334787717302336</v>
      </c>
    </row>
    <row r="572" spans="1:10">
      <c r="A572" s="4" cm="1">
        <f t="array" ref="A572">SUM(POWER(pima_data!A572:H572,2))</f>
        <v>27071.831824</v>
      </c>
      <c r="B572" s="4">
        <f t="shared" si="8"/>
        <v>164.535199346523</v>
      </c>
      <c r="C572" s="5">
        <f>pima_data!A572/$B572</f>
        <v>0.012155453714119</v>
      </c>
      <c r="D572" s="5">
        <f>pima_data!B572/$B572</f>
        <v>0.790104491417735</v>
      </c>
      <c r="E572" s="5">
        <f>pima_data!C572/$B572</f>
        <v>0.583461778277712</v>
      </c>
      <c r="F572" s="5">
        <f>pima_data!D572/$B572</f>
        <v>0</v>
      </c>
      <c r="G572" s="5">
        <f>pima_data!E572/$B572</f>
        <v>0</v>
      </c>
      <c r="H572" s="5">
        <f>pima_data!F572/$B572</f>
        <v>0.137356626969545</v>
      </c>
      <c r="I572" s="5">
        <f>pima_data!G572/$B572</f>
        <v>0.00162883079769195</v>
      </c>
      <c r="J572" s="5">
        <f>pima_data!H572/$B572</f>
        <v>0.127632263998249</v>
      </c>
    </row>
    <row r="573" spans="1:10">
      <c r="A573" s="4" cm="1">
        <f t="array" ref="A573">SUM(POWER(pima_data!A573:H573,2))</f>
        <v>19945.4349</v>
      </c>
      <c r="B573" s="4">
        <f t="shared" si="8"/>
        <v>141.228307714849</v>
      </c>
      <c r="C573" s="5">
        <f>pima_data!A573/$B573</f>
        <v>0.021242200296397</v>
      </c>
      <c r="D573" s="5">
        <f>pima_data!B573/$B573</f>
        <v>0.785961410966687</v>
      </c>
      <c r="E573" s="5">
        <f>pima_data!C573/$B573</f>
        <v>0.410682539063674</v>
      </c>
      <c r="F573" s="5">
        <f>pima_data!D573/$B573</f>
        <v>0.219502736396102</v>
      </c>
      <c r="G573" s="5">
        <f>pima_data!E573/$B573</f>
        <v>0.311552271013822</v>
      </c>
      <c r="H573" s="5">
        <f>pima_data!F573/$B573</f>
        <v>0.208881636247903</v>
      </c>
      <c r="I573" s="5">
        <f>pima_data!G573/$B573</f>
        <v>0.0030447153758169</v>
      </c>
      <c r="J573" s="5">
        <f>pima_data!H573/$B573</f>
        <v>0.155776135506911</v>
      </c>
    </row>
    <row r="574" spans="1:10">
      <c r="A574" s="4" cm="1">
        <f t="array" ref="A574">SUM(POWER(pima_data!A574:H574,2))</f>
        <v>29585.129204</v>
      </c>
      <c r="B574" s="4">
        <f t="shared" si="8"/>
        <v>172.003282538445</v>
      </c>
      <c r="C574" s="5">
        <f>pima_data!A574/$B574</f>
        <v>0.011627685067888</v>
      </c>
      <c r="D574" s="5">
        <f>pima_data!B574/$B574</f>
        <v>0.569756568326514</v>
      </c>
      <c r="E574" s="5">
        <f>pima_data!C574/$B574</f>
        <v>0.348830552036641</v>
      </c>
      <c r="F574" s="5">
        <f>pima_data!D574/$B574</f>
        <v>0.0988353230770483</v>
      </c>
      <c r="G574" s="5">
        <f>pima_data!E574/$B574</f>
        <v>0.697661104073282</v>
      </c>
      <c r="H574" s="5">
        <f>pima_data!F574/$B574</f>
        <v>0.201740335927858</v>
      </c>
      <c r="I574" s="5">
        <f>pima_data!G574/$B574</f>
        <v>0.00115114082172092</v>
      </c>
      <c r="J574" s="5">
        <f>pima_data!H574/$B574</f>
        <v>0.127904535746768</v>
      </c>
    </row>
    <row r="575" spans="1:10">
      <c r="A575" s="4" cm="1">
        <f t="array" ref="A575">SUM(POWER(pima_data!A575:H575,2))</f>
        <v>139081.805664</v>
      </c>
      <c r="B575" s="4">
        <f t="shared" si="8"/>
        <v>372.936731449183</v>
      </c>
      <c r="C575" s="5">
        <f>pima_data!A575/$B575</f>
        <v>0.00268141997199936</v>
      </c>
      <c r="D575" s="5">
        <f>pima_data!B575/$B575</f>
        <v>0.383443055995908</v>
      </c>
      <c r="E575" s="5">
        <f>pima_data!C575/$B575</f>
        <v>0.230602117591945</v>
      </c>
      <c r="F575" s="5">
        <f>pima_data!D575/$B575</f>
        <v>0.0804425991599807</v>
      </c>
      <c r="G575" s="5">
        <f>pima_data!E575/$B575</f>
        <v>0.884868590759788</v>
      </c>
      <c r="H575" s="5">
        <f>pima_data!F575/$B575</f>
        <v>0.0807107411571807</v>
      </c>
      <c r="I575" s="5">
        <f>pima_data!G575/$B575</f>
        <v>0.00239182661502343</v>
      </c>
      <c r="J575" s="5">
        <f>pima_data!H575/$B575</f>
        <v>0.0616726593559852</v>
      </c>
    </row>
    <row r="576" spans="1:10">
      <c r="A576" s="4" cm="1">
        <f t="array" ref="A576">SUM(POWER(pima_data!A576:H576,2))</f>
        <v>24161.3284</v>
      </c>
      <c r="B576" s="4">
        <f t="shared" si="8"/>
        <v>155.439146935384</v>
      </c>
      <c r="C576" s="5">
        <f>pima_data!A576/$B576</f>
        <v>0.00643338579576545</v>
      </c>
      <c r="D576" s="5">
        <f>pima_data!B576/$B576</f>
        <v>0.765572909696088</v>
      </c>
      <c r="E576" s="5">
        <f>pima_data!C576/$B576</f>
        <v>0.28306897501368</v>
      </c>
      <c r="F576" s="5">
        <f>pima_data!D576/$B576</f>
        <v>0.302369132400976</v>
      </c>
      <c r="G576" s="5">
        <f>pima_data!E576/$B576</f>
        <v>0.405303305133223</v>
      </c>
      <c r="H576" s="5">
        <f>pima_data!F576/$B576</f>
        <v>0.228385195749673</v>
      </c>
      <c r="I576" s="5">
        <f>pima_data!G576/$B576</f>
        <v>0.00180134802281433</v>
      </c>
      <c r="J576" s="5">
        <f>pima_data!H576/$B576</f>
        <v>0.160834644894136</v>
      </c>
    </row>
    <row r="577" spans="1:10">
      <c r="A577" s="4" cm="1">
        <f t="array" ref="A577">SUM(POWER(pima_data!A577:H577,2))</f>
        <v>32737.660969</v>
      </c>
      <c r="B577" s="4">
        <f t="shared" ref="B577:B640" si="9">A577^0.5</f>
        <v>180.93551605199</v>
      </c>
      <c r="C577" s="5">
        <f>pima_data!A577/$B577</f>
        <v>0.0331609853660569</v>
      </c>
      <c r="D577" s="5">
        <f>pima_data!B577/$B577</f>
        <v>0.596897736589024</v>
      </c>
      <c r="E577" s="5">
        <f>pima_data!C577/$B577</f>
        <v>0.243180559351084</v>
      </c>
      <c r="F577" s="5">
        <f>pima_data!D577/$B577</f>
        <v>0.110536617886856</v>
      </c>
      <c r="G577" s="5">
        <f>pima_data!E577/$B577</f>
        <v>0.718488016264566</v>
      </c>
      <c r="H577" s="5">
        <f>pima_data!F577/$B577</f>
        <v>0.132643941464228</v>
      </c>
      <c r="I577" s="5">
        <f>pima_data!G577/$B577</f>
        <v>0.00449331351710071</v>
      </c>
      <c r="J577" s="5">
        <f>pima_data!H577/$B577</f>
        <v>0.193439081301999</v>
      </c>
    </row>
    <row r="578" spans="1:10">
      <c r="A578" s="4" cm="1">
        <f t="array" ref="A578">SUM(POWER(pima_data!A578:H578,2))</f>
        <v>22609.890249</v>
      </c>
      <c r="B578" s="4">
        <f t="shared" si="9"/>
        <v>150.365854664548</v>
      </c>
      <c r="C578" s="5">
        <f>pima_data!A578/$B578</f>
        <v>0.0133008920440203</v>
      </c>
      <c r="D578" s="5">
        <f>pima_data!B578/$B578</f>
        <v>0.784752630597197</v>
      </c>
      <c r="E578" s="5">
        <f>pima_data!C578/$B578</f>
        <v>0.532035681760812</v>
      </c>
      <c r="F578" s="5">
        <f>pima_data!D578/$B578</f>
        <v>0</v>
      </c>
      <c r="G578" s="5">
        <f>pima_data!E578/$B578</f>
        <v>0</v>
      </c>
      <c r="H578" s="5">
        <f>pima_data!F578/$B578</f>
        <v>0.285304134344235</v>
      </c>
      <c r="I578" s="5">
        <f>pima_data!G578/$B578</f>
        <v>0.00460875909325303</v>
      </c>
      <c r="J578" s="5">
        <f>pima_data!H578/$B578</f>
        <v>0.139659366462213</v>
      </c>
    </row>
    <row r="579" spans="1:10">
      <c r="A579" s="4" cm="1">
        <f t="array" ref="A579">SUM(POWER(pima_data!A579:H579,2))</f>
        <v>24438.060025</v>
      </c>
      <c r="B579" s="4">
        <f t="shared" si="9"/>
        <v>156.326773218793</v>
      </c>
      <c r="C579" s="5">
        <f>pima_data!A579/$B579</f>
        <v>0.0639685691330948</v>
      </c>
      <c r="D579" s="5">
        <f>pima_data!B579/$B579</f>
        <v>0.85078196947016</v>
      </c>
      <c r="E579" s="5">
        <f>pima_data!C579/$B579</f>
        <v>0.434986270105044</v>
      </c>
      <c r="F579" s="5">
        <f>pima_data!D579/$B579</f>
        <v>0</v>
      </c>
      <c r="G579" s="5">
        <f>pima_data!E579/$B579</f>
        <v>0</v>
      </c>
      <c r="H579" s="5">
        <f>pima_data!F579/$B579</f>
        <v>0.172715136659356</v>
      </c>
      <c r="I579" s="5">
        <f>pima_data!G579/$B579</f>
        <v>0.00156722994376082</v>
      </c>
      <c r="J579" s="5">
        <f>pima_data!H579/$B579</f>
        <v>0.230286848879141</v>
      </c>
    </row>
    <row r="580" spans="1:10">
      <c r="A580" s="4" cm="1">
        <f t="array" ref="A580">SUM(POWER(pima_data!A580:H580,2))</f>
        <v>58562.420625</v>
      </c>
      <c r="B580" s="4">
        <f t="shared" si="9"/>
        <v>241.996736806512</v>
      </c>
      <c r="C580" s="5">
        <f>pima_data!A580/$B580</f>
        <v>0.00826457425167307</v>
      </c>
      <c r="D580" s="5">
        <f>pima_data!B580/$B580</f>
        <v>0.814060563789798</v>
      </c>
      <c r="E580" s="5">
        <f>pima_data!C580/$B580</f>
        <v>0.289260098808557</v>
      </c>
      <c r="F580" s="5">
        <f>pima_data!D580/$B580</f>
        <v>0.409096425457817</v>
      </c>
      <c r="G580" s="5">
        <f>pima_data!E580/$B580</f>
        <v>0</v>
      </c>
      <c r="H580" s="5">
        <f>pima_data!F580/$B580</f>
        <v>0.143390363266528</v>
      </c>
      <c r="I580" s="5">
        <f>pima_data!G580/$B580</f>
        <v>0.00237606509735601</v>
      </c>
      <c r="J580" s="5">
        <f>pima_data!H580/$B580</f>
        <v>0.256201801801865</v>
      </c>
    </row>
    <row r="581" spans="1:10">
      <c r="A581" s="4" cm="1">
        <f t="array" ref="A581">SUM(POWER(pima_data!A581:H581,2))</f>
        <v>35230.547641</v>
      </c>
      <c r="B581" s="4">
        <f t="shared" si="9"/>
        <v>187.698022474932</v>
      </c>
      <c r="C581" s="5">
        <f>pima_data!A581/$B581</f>
        <v>0</v>
      </c>
      <c r="D581" s="5">
        <f>pima_data!B581/$B581</f>
        <v>0.804483702113414</v>
      </c>
      <c r="E581" s="5">
        <f>pima_data!C581/$B581</f>
        <v>0.479493597286141</v>
      </c>
      <c r="F581" s="5">
        <f>pima_data!D581/$B581</f>
        <v>0.245074505279583</v>
      </c>
      <c r="G581" s="5">
        <f>pima_data!E581/$B581</f>
        <v>0</v>
      </c>
      <c r="H581" s="5">
        <f>pima_data!F581/$B581</f>
        <v>0.224296449397184</v>
      </c>
      <c r="I581" s="5">
        <f>pima_data!G581/$B581</f>
        <v>0.0019765791621462</v>
      </c>
      <c r="J581" s="5">
        <f>pima_data!H581/$B581</f>
        <v>0.111881839366766</v>
      </c>
    </row>
    <row r="582" spans="1:10">
      <c r="A582" s="4" cm="1">
        <f t="array" ref="A582">SUM(POWER(pima_data!A582:H582,2))</f>
        <v>17600.042436</v>
      </c>
      <c r="B582" s="4">
        <f t="shared" si="9"/>
        <v>132.665151550812</v>
      </c>
      <c r="C582" s="5">
        <f>pima_data!A582/$B582</f>
        <v>0.0452266471628906</v>
      </c>
      <c r="D582" s="5">
        <f>pima_data!B582/$B582</f>
        <v>0.82161742345918</v>
      </c>
      <c r="E582" s="5">
        <f>pima_data!C582/$B582</f>
        <v>0.452266471628906</v>
      </c>
      <c r="F582" s="5">
        <f>pima_data!D582/$B582</f>
        <v>0.203519912233008</v>
      </c>
      <c r="G582" s="5">
        <f>pima_data!E582/$B582</f>
        <v>0</v>
      </c>
      <c r="H582" s="5">
        <f>pima_data!F582/$B582</f>
        <v>0.188444363178711</v>
      </c>
      <c r="I582" s="5">
        <f>pima_data!G582/$B582</f>
        <v>0.00155278155259258</v>
      </c>
      <c r="J582" s="5">
        <f>pima_data!H582/$B582</f>
        <v>0.203519912233008</v>
      </c>
    </row>
    <row r="583" spans="1:10">
      <c r="A583" s="4" cm="1">
        <f t="array" ref="A583">SUM(POWER(pima_data!A583:H583,2))</f>
        <v>25704.317081</v>
      </c>
      <c r="B583" s="4">
        <f t="shared" si="9"/>
        <v>160.325659459115</v>
      </c>
      <c r="C583" s="5">
        <f>pima_data!A583/$B583</f>
        <v>0.074847657202746</v>
      </c>
      <c r="D583" s="5">
        <f>pima_data!B583/$B583</f>
        <v>0.754713876794355</v>
      </c>
      <c r="E583" s="5">
        <f>pima_data!C583/$B583</f>
        <v>0.486509771817849</v>
      </c>
      <c r="F583" s="5">
        <f>pima_data!D583/$B583</f>
        <v>0.106034181037223</v>
      </c>
      <c r="G583" s="5">
        <f>pima_data!E583/$B583</f>
        <v>0</v>
      </c>
      <c r="H583" s="5">
        <f>pima_data!F583/$B583</f>
        <v>0.165288576322731</v>
      </c>
      <c r="I583" s="5">
        <f>pima_data!G583/$B583</f>
        <v>0.00161546193462593</v>
      </c>
      <c r="J583" s="5">
        <f>pima_data!H583/$B583</f>
        <v>0.386712895547521</v>
      </c>
    </row>
    <row r="584" spans="1:10">
      <c r="A584" s="4" cm="1">
        <f t="array" ref="A584">SUM(POWER(pima_data!A584:H584,2))</f>
        <v>19101.7261</v>
      </c>
      <c r="B584" s="4">
        <f t="shared" si="9"/>
        <v>138.208994280401</v>
      </c>
      <c r="C584" s="5">
        <f>pima_data!A584/$B584</f>
        <v>0.057883352973175</v>
      </c>
      <c r="D584" s="5">
        <f>pima_data!B584/$B584</f>
        <v>0.723541912164688</v>
      </c>
      <c r="E584" s="5">
        <f>pima_data!C584/$B584</f>
        <v>0.549891853245163</v>
      </c>
      <c r="F584" s="5">
        <f>pima_data!D584/$B584</f>
        <v>0</v>
      </c>
      <c r="G584" s="5">
        <f>pima_data!E584/$B584</f>
        <v>0</v>
      </c>
      <c r="H584" s="5">
        <f>pima_data!F584/$B584</f>
        <v>0.280010720007734</v>
      </c>
      <c r="I584" s="5">
        <f>pima_data!G584/$B584</f>
        <v>0.00137472963311291</v>
      </c>
      <c r="J584" s="5">
        <f>pima_data!H584/$B584</f>
        <v>0.303887603109169</v>
      </c>
    </row>
    <row r="585" spans="1:10">
      <c r="A585" s="4" cm="1">
        <f t="array" ref="A585">SUM(POWER(pima_data!A585:H585,2))</f>
        <v>385320.161969</v>
      </c>
      <c r="B585" s="4">
        <f t="shared" si="9"/>
        <v>620.741622552411</v>
      </c>
      <c r="C585" s="5">
        <f>pima_data!A585/$B585</f>
        <v>0.0128878098541306</v>
      </c>
      <c r="D585" s="5">
        <f>pima_data!B585/$B585</f>
        <v>0.199761052739025</v>
      </c>
      <c r="E585" s="5">
        <f>pima_data!C585/$B585</f>
        <v>0.122434193614241</v>
      </c>
      <c r="F585" s="5">
        <f>pima_data!D585/$B585</f>
        <v>0.0386634295623919</v>
      </c>
      <c r="G585" s="5">
        <f>pima_data!E585/$B585</f>
        <v>0.966585739059797</v>
      </c>
      <c r="H585" s="5">
        <f>pima_data!F585/$B585</f>
        <v>0.0462350178516936</v>
      </c>
      <c r="I585" s="5">
        <f>pima_data!G585/$B585</f>
        <v>0.00110674067122347</v>
      </c>
      <c r="J585" s="5">
        <f>pima_data!H585/$B585</f>
        <v>0.0837707640518491</v>
      </c>
    </row>
    <row r="586" spans="1:10">
      <c r="A586" s="4" cm="1">
        <f t="array" ref="A586">SUM(POWER(pima_data!A586:H586,2))</f>
        <v>12897.423889</v>
      </c>
      <c r="B586" s="4">
        <f t="shared" si="9"/>
        <v>113.566825653445</v>
      </c>
      <c r="C586" s="5">
        <f>pima_data!A586/$B586</f>
        <v>0.00880538831869397</v>
      </c>
      <c r="D586" s="5">
        <f>pima_data!B586/$B586</f>
        <v>0.818901113638539</v>
      </c>
      <c r="E586" s="5">
        <f>pima_data!C586/$B586</f>
        <v>0.493101745846862</v>
      </c>
      <c r="F586" s="5">
        <f>pima_data!D586/$B586</f>
        <v>0.0968592715056336</v>
      </c>
      <c r="G586" s="5">
        <f>pima_data!E586/$B586</f>
        <v>0</v>
      </c>
      <c r="H586" s="5">
        <f>pima_data!F586/$B586</f>
        <v>0.198121237170614</v>
      </c>
      <c r="I586" s="5">
        <f>pima_data!G586/$B586</f>
        <v>0.00367184692889538</v>
      </c>
      <c r="J586" s="5">
        <f>pima_data!H586/$B586</f>
        <v>0.193718543011267</v>
      </c>
    </row>
    <row r="587" spans="1:10">
      <c r="A587" s="4" cm="1">
        <f t="array" ref="A587">SUM(POWER(pima_data!A587:H587,2))</f>
        <v>27768.026641</v>
      </c>
      <c r="B587" s="4">
        <f t="shared" si="9"/>
        <v>166.637410688597</v>
      </c>
      <c r="C587" s="5">
        <f>pima_data!A587/$B587</f>
        <v>0.0480084272009602</v>
      </c>
      <c r="D587" s="5">
        <f>pima_data!B587/$B587</f>
        <v>0.858150636217164</v>
      </c>
      <c r="E587" s="5">
        <f>pima_data!C587/$B587</f>
        <v>0.396069524407922</v>
      </c>
      <c r="F587" s="5">
        <f>pima_data!D587/$B587</f>
        <v>0</v>
      </c>
      <c r="G587" s="5">
        <f>pima_data!E587/$B587</f>
        <v>0</v>
      </c>
      <c r="H587" s="5">
        <f>pima_data!F587/$B587</f>
        <v>0.209436763664189</v>
      </c>
      <c r="I587" s="5">
        <f>pima_data!G587/$B587</f>
        <v>0.000774135888615484</v>
      </c>
      <c r="J587" s="5">
        <f>pima_data!H587/$B587</f>
        <v>0.246043189404921</v>
      </c>
    </row>
    <row r="588" spans="1:10">
      <c r="A588" s="4" cm="1">
        <f t="array" ref="A588">SUM(POWER(pima_data!A588:H588,2))</f>
        <v>16432.552001</v>
      </c>
      <c r="B588" s="4">
        <f t="shared" si="9"/>
        <v>128.189515955869</v>
      </c>
      <c r="C588" s="5">
        <f>pima_data!A588/$B588</f>
        <v>0.0468056997895645</v>
      </c>
      <c r="D588" s="5">
        <f>pima_data!B588/$B588</f>
        <v>0.803497846387525</v>
      </c>
      <c r="E588" s="5">
        <f>pima_data!C588/$B588</f>
        <v>0.51486269768521</v>
      </c>
      <c r="F588" s="5">
        <f>pima_data!D588/$B588</f>
        <v>0</v>
      </c>
      <c r="G588" s="5">
        <f>pima_data!E588/$B588</f>
        <v>0</v>
      </c>
      <c r="H588" s="5">
        <f>pima_data!F588/$B588</f>
        <v>0.189563084147736</v>
      </c>
      <c r="I588" s="5">
        <f>pima_data!G588/$B588</f>
        <v>0.00194243654126693</v>
      </c>
      <c r="J588" s="5">
        <f>pima_data!H588/$B588</f>
        <v>0.226227548982895</v>
      </c>
    </row>
    <row r="589" spans="1:10">
      <c r="A589" s="4" cm="1">
        <f t="array" ref="A589">SUM(POWER(pima_data!A589:H589,2))</f>
        <v>67260.221716</v>
      </c>
      <c r="B589" s="4">
        <f t="shared" si="9"/>
        <v>259.34575708116</v>
      </c>
      <c r="C589" s="5">
        <f>pima_data!A589/$B589</f>
        <v>0.0115675692317618</v>
      </c>
      <c r="D589" s="5">
        <f>pima_data!B589/$B589</f>
        <v>0.67863072826336</v>
      </c>
      <c r="E589" s="5">
        <f>pima_data!C589/$B589</f>
        <v>0.331603651310505</v>
      </c>
      <c r="F589" s="5">
        <f>pima_data!D589/$B589</f>
        <v>0.104108123085856</v>
      </c>
      <c r="G589" s="5">
        <f>pima_data!E589/$B589</f>
        <v>0.601513600051615</v>
      </c>
      <c r="H589" s="5">
        <f>pima_data!F589/$B589</f>
        <v>0.128400018472556</v>
      </c>
      <c r="I589" s="5">
        <f>pima_data!G589/$B589</f>
        <v>0.00444965829781771</v>
      </c>
      <c r="J589" s="5">
        <f>pima_data!H589/$B589</f>
        <v>0.200504533350538</v>
      </c>
    </row>
    <row r="590" spans="1:10">
      <c r="A590" s="4" cm="1">
        <f t="array" ref="A590">SUM(POWER(pima_data!A590:H590,2))</f>
        <v>6399.326964</v>
      </c>
      <c r="B590" s="4">
        <f t="shared" si="9"/>
        <v>79.995793414404</v>
      </c>
      <c r="C590" s="5">
        <f>pima_data!A590/$B590</f>
        <v>0</v>
      </c>
      <c r="D590" s="5">
        <f>pima_data!B590/$B590</f>
        <v>0.912547983890059</v>
      </c>
      <c r="E590" s="5">
        <f>pima_data!C590/$B590</f>
        <v>0</v>
      </c>
      <c r="F590" s="5">
        <f>pima_data!D590/$B590</f>
        <v>0</v>
      </c>
      <c r="G590" s="5">
        <f>pima_data!E590/$B590</f>
        <v>0</v>
      </c>
      <c r="H590" s="5">
        <f>pima_data!F590/$B590</f>
        <v>0.263763869316168</v>
      </c>
      <c r="I590" s="5">
        <f>pima_data!G590/$B590</f>
        <v>0.00427522480123836</v>
      </c>
      <c r="J590" s="5">
        <f>pima_data!H590/$B590</f>
        <v>0.312516432839061</v>
      </c>
    </row>
    <row r="591" spans="1:10">
      <c r="A591" s="4" cm="1">
        <f t="array" ref="A591">SUM(POWER(pima_data!A591:H591,2))</f>
        <v>25314.095625</v>
      </c>
      <c r="B591" s="4">
        <f t="shared" si="9"/>
        <v>159.10404025354</v>
      </c>
      <c r="C591" s="5">
        <f>pima_data!A591/$B591</f>
        <v>0.0691371506497948</v>
      </c>
      <c r="D591" s="5">
        <f>pima_data!B591/$B591</f>
        <v>0.697656702011566</v>
      </c>
      <c r="E591" s="5">
        <f>pima_data!C591/$B591</f>
        <v>0.527956423143888</v>
      </c>
      <c r="F591" s="5">
        <f>pima_data!D591/$B591</f>
        <v>0.251407820544709</v>
      </c>
      <c r="G591" s="5">
        <f>pima_data!E591/$B591</f>
        <v>0</v>
      </c>
      <c r="H591" s="5">
        <f>pima_data!F591/$B591</f>
        <v>0.294147150037309</v>
      </c>
      <c r="I591" s="5">
        <f>pima_data!G591/$B591</f>
        <v>0.00581380585009638</v>
      </c>
      <c r="J591" s="5">
        <f>pima_data!H591/$B591</f>
        <v>0.282833798112797</v>
      </c>
    </row>
    <row r="592" spans="1:10">
      <c r="A592" s="4" cm="1">
        <f t="array" ref="A592">SUM(POWER(pima_data!A592:H592,2))</f>
        <v>42860.390625</v>
      </c>
      <c r="B592" s="4">
        <f t="shared" si="9"/>
        <v>207.027511758703</v>
      </c>
      <c r="C592" s="5">
        <f>pima_data!A592/$B592</f>
        <v>0.00966055179338222</v>
      </c>
      <c r="D592" s="5">
        <f>pima_data!B592/$B592</f>
        <v>0.540990900429405</v>
      </c>
      <c r="E592" s="5">
        <f>pima_data!C592/$B592</f>
        <v>0.376761519941907</v>
      </c>
      <c r="F592" s="5">
        <f>pima_data!D592/$B592</f>
        <v>0.241513794834556</v>
      </c>
      <c r="G592" s="5">
        <f>pima_data!E592/$B592</f>
        <v>0.676238625536756</v>
      </c>
      <c r="H592" s="5">
        <f>pima_data!F592/$B592</f>
        <v>0.19031287032963</v>
      </c>
      <c r="I592" s="5">
        <f>pima_data!G592/$B592</f>
        <v>0.000845298281920945</v>
      </c>
      <c r="J592" s="5">
        <f>pima_data!H592/$B592</f>
        <v>0.115926621520587</v>
      </c>
    </row>
    <row r="593" spans="1:10">
      <c r="A593" s="4" cm="1">
        <f t="array" ref="A593">SUM(POWER(pima_data!A593:H593,2))</f>
        <v>26952.521604</v>
      </c>
      <c r="B593" s="4">
        <f t="shared" si="9"/>
        <v>164.17223152531</v>
      </c>
      <c r="C593" s="5">
        <f>pima_data!A593/$B593</f>
        <v>0.0182734922473019</v>
      </c>
      <c r="D593" s="5">
        <f>pima_data!B593/$B593</f>
        <v>0.804033658881282</v>
      </c>
      <c r="E593" s="5">
        <f>pima_data!C593/$B593</f>
        <v>0.487293126594716</v>
      </c>
      <c r="F593" s="5">
        <f>pima_data!D593/$B593</f>
        <v>0</v>
      </c>
      <c r="G593" s="5">
        <f>pima_data!E593/$B593</f>
        <v>0</v>
      </c>
      <c r="H593" s="5">
        <f>pima_data!F593/$B593</f>
        <v>0.209536044435728</v>
      </c>
      <c r="I593" s="5">
        <f>pima_data!G593/$B593</f>
        <v>0.00244864796113845</v>
      </c>
      <c r="J593" s="5">
        <f>pima_data!H593/$B593</f>
        <v>0.268011219627094</v>
      </c>
    </row>
    <row r="594" spans="1:10">
      <c r="A594" s="4" cm="1">
        <f t="array" ref="A594">SUM(POWER(pima_data!A594:H594,2))</f>
        <v>24581.136601</v>
      </c>
      <c r="B594" s="4">
        <f t="shared" si="9"/>
        <v>156.783725561679</v>
      </c>
      <c r="C594" s="5">
        <f>pima_data!A594/$B594</f>
        <v>0.0127564260438064</v>
      </c>
      <c r="D594" s="5">
        <f>pima_data!B594/$B594</f>
        <v>0.523013467796062</v>
      </c>
      <c r="E594" s="5">
        <f>pima_data!C594/$B594</f>
        <v>0.331667077138966</v>
      </c>
      <c r="F594" s="5">
        <f>pima_data!D594/$B594</f>
        <v>0.14032068648187</v>
      </c>
      <c r="G594" s="5">
        <f>pima_data!E594/$B594</f>
        <v>0.733494497518867</v>
      </c>
      <c r="H594" s="5">
        <f>pima_data!F594/$B594</f>
        <v>0.181779071124241</v>
      </c>
      <c r="I594" s="5">
        <f>pima_data!G594/$B594</f>
        <v>0.0108365839242135</v>
      </c>
      <c r="J594" s="5">
        <f>pima_data!H594/$B594</f>
        <v>0.15945532554758</v>
      </c>
    </row>
    <row r="595" spans="1:10">
      <c r="A595" s="4" cm="1">
        <f t="array" ref="A595">SUM(POWER(pima_data!A595:H595,2))</f>
        <v>77559.497289</v>
      </c>
      <c r="B595" s="4">
        <f t="shared" si="9"/>
        <v>278.49505792563</v>
      </c>
      <c r="C595" s="5">
        <f>pima_data!A595/$B595</f>
        <v>0.0215443679492591</v>
      </c>
      <c r="D595" s="5">
        <f>pima_data!B595/$B595</f>
        <v>0.441659542959812</v>
      </c>
      <c r="E595" s="5">
        <f>pima_data!C595/$B595</f>
        <v>0.258532415391109</v>
      </c>
      <c r="F595" s="5">
        <f>pima_data!D595/$B595</f>
        <v>0.161582759619443</v>
      </c>
      <c r="G595" s="5">
        <f>pima_data!E595/$B595</f>
        <v>0.825867438054932</v>
      </c>
      <c r="H595" s="5">
        <f>pima_data!F595/$B595</f>
        <v>0.120648460515851</v>
      </c>
      <c r="I595" s="5">
        <f>pima_data!G595/$B595</f>
        <v>0.00263200361780115</v>
      </c>
      <c r="J595" s="5">
        <f>pima_data!H595/$B595</f>
        <v>0.122084751712468</v>
      </c>
    </row>
    <row r="596" spans="1:10">
      <c r="A596" s="4" cm="1">
        <f t="array" ref="A596">SUM(POWER(pima_data!A596:H596,2))</f>
        <v>77997.465124</v>
      </c>
      <c r="B596" s="4">
        <f t="shared" si="9"/>
        <v>279.280262682489</v>
      </c>
      <c r="C596" s="5">
        <f>pima_data!A596/$B596</f>
        <v>0</v>
      </c>
      <c r="D596" s="5">
        <f>pima_data!B596/$B596</f>
        <v>0.673158919983312</v>
      </c>
      <c r="E596" s="5">
        <f>pima_data!C596/$B596</f>
        <v>0.293611869354423</v>
      </c>
      <c r="F596" s="5">
        <f>pima_data!D596/$B596</f>
        <v>0.0501288557434382</v>
      </c>
      <c r="G596" s="5">
        <f>pima_data!E596/$B596</f>
        <v>0.662417022324004</v>
      </c>
      <c r="H596" s="5">
        <f>pima_data!F596/$B596</f>
        <v>0.114580241699287</v>
      </c>
      <c r="I596" s="5">
        <f>pima_data!G596/$B596</f>
        <v>0.00244199140121606</v>
      </c>
      <c r="J596" s="5">
        <f>pima_data!H596/$B596</f>
        <v>0.0787739161682599</v>
      </c>
    </row>
    <row r="597" spans="1:10">
      <c r="A597" s="4" cm="1">
        <f t="array" ref="A597">SUM(POWER(pima_data!A597:H597,2))</f>
        <v>14433.127636</v>
      </c>
      <c r="B597" s="4">
        <f t="shared" si="9"/>
        <v>120.137952521258</v>
      </c>
      <c r="C597" s="5">
        <f>pima_data!A597/$B597</f>
        <v>0</v>
      </c>
      <c r="D597" s="5">
        <f>pima_data!B597/$B597</f>
        <v>0.557692207948564</v>
      </c>
      <c r="E597" s="5">
        <f>pima_data!C597/$B597</f>
        <v>0.632606086628222</v>
      </c>
      <c r="F597" s="5">
        <f>pima_data!D597/$B597</f>
        <v>0</v>
      </c>
      <c r="G597" s="5">
        <f>pima_data!E597/$B597</f>
        <v>0</v>
      </c>
      <c r="H597" s="5">
        <f>pima_data!F597/$B597</f>
        <v>0.377066522687611</v>
      </c>
      <c r="I597" s="5">
        <f>pima_data!G597/$B597</f>
        <v>0.00161481027376151</v>
      </c>
      <c r="J597" s="5">
        <f>pima_data!H597/$B597</f>
        <v>0.382893157696029</v>
      </c>
    </row>
    <row r="598" spans="1:10">
      <c r="A598" s="4" cm="1">
        <f t="array" ref="A598">SUM(POWER(pima_data!A598:H598,2))</f>
        <v>10698.152481</v>
      </c>
      <c r="B598" s="4">
        <f t="shared" si="9"/>
        <v>103.431873622206</v>
      </c>
      <c r="C598" s="5">
        <f>pima_data!A598/$B598</f>
        <v>0.00966819960791378</v>
      </c>
      <c r="D598" s="5">
        <f>pima_data!B598/$B598</f>
        <v>0.860469765104326</v>
      </c>
      <c r="E598" s="5">
        <f>pima_data!C598/$B598</f>
        <v>0.232036790589931</v>
      </c>
      <c r="F598" s="5">
        <f>pima_data!D598/$B598</f>
        <v>0.183695792550362</v>
      </c>
      <c r="G598" s="5">
        <f>pima_data!E598/$B598</f>
        <v>0.241704990197844</v>
      </c>
      <c r="H598" s="5">
        <f>pima_data!F598/$B598</f>
        <v>0.268775949100003</v>
      </c>
      <c r="I598" s="5">
        <f>pima_data!G598/$B598</f>
        <v>0.0054045235808238</v>
      </c>
      <c r="J598" s="5">
        <f>pima_data!H598/$B598</f>
        <v>0.203032191766189</v>
      </c>
    </row>
    <row r="599" spans="1:10">
      <c r="A599" s="4" cm="1">
        <f t="array" ref="A599">SUM(POWER(pima_data!A599:H599,2))</f>
        <v>38204.247744</v>
      </c>
      <c r="B599" s="4">
        <f t="shared" si="9"/>
        <v>195.45906922934</v>
      </c>
      <c r="C599" s="5">
        <f>pima_data!A599/$B599</f>
        <v>0.00511616065676983</v>
      </c>
      <c r="D599" s="5">
        <f>pima_data!B599/$B599</f>
        <v>0.88509579362118</v>
      </c>
      <c r="E599" s="5">
        <f>pima_data!C599/$B599</f>
        <v>0.378595888600967</v>
      </c>
      <c r="F599" s="5">
        <f>pima_data!D599/$B599</f>
        <v>0</v>
      </c>
      <c r="G599" s="5">
        <f>pima_data!E599/$B599</f>
        <v>0</v>
      </c>
      <c r="H599" s="5">
        <f>pima_data!F599/$B599</f>
        <v>0.18827471216913</v>
      </c>
      <c r="I599" s="5">
        <f>pima_data!G599/$B599</f>
        <v>0.000450222137795745</v>
      </c>
      <c r="J599" s="5">
        <f>pima_data!H599/$B599</f>
        <v>0.194414104957253</v>
      </c>
    </row>
    <row r="600" spans="1:10">
      <c r="A600" s="4" cm="1">
        <f t="array" ref="A600">SUM(POWER(pima_data!A600:H600,2))</f>
        <v>29259.775649</v>
      </c>
      <c r="B600" s="4">
        <f t="shared" si="9"/>
        <v>171.054890748555</v>
      </c>
      <c r="C600" s="5">
        <f>pima_data!A600/$B600</f>
        <v>0.00584607663437094</v>
      </c>
      <c r="D600" s="5">
        <f>pima_data!B600/$B600</f>
        <v>0.637222353146433</v>
      </c>
      <c r="E600" s="5">
        <f>pima_data!C600/$B600</f>
        <v>0.222150912106096</v>
      </c>
      <c r="F600" s="5">
        <f>pima_data!D600/$B600</f>
        <v>0.105229379418677</v>
      </c>
      <c r="G600" s="5">
        <f>pima_data!E600/$B600</f>
        <v>0.701529196124513</v>
      </c>
      <c r="H600" s="5">
        <f>pima_data!F600/$B600</f>
        <v>0.135044370253969</v>
      </c>
      <c r="I600" s="5">
        <f>pima_data!G600/$B600</f>
        <v>0.00237935319018897</v>
      </c>
      <c r="J600" s="5">
        <f>pima_data!H600/$B600</f>
        <v>0.151997992493644</v>
      </c>
    </row>
    <row r="601" spans="1:10">
      <c r="A601" s="4" cm="1">
        <f t="array" ref="A601">SUM(POWER(pima_data!A601:H601,2))</f>
        <v>21080.57</v>
      </c>
      <c r="B601" s="4">
        <f t="shared" si="9"/>
        <v>145.191494241226</v>
      </c>
      <c r="C601" s="5">
        <f>pima_data!A601/$B601</f>
        <v>0.00688745580604443</v>
      </c>
      <c r="D601" s="5">
        <f>pima_data!B601/$B601</f>
        <v>0.743845227052799</v>
      </c>
      <c r="E601" s="5">
        <f>pima_data!C601/$B601</f>
        <v>0.60609611093191</v>
      </c>
      <c r="F601" s="5">
        <f>pima_data!D601/$B601</f>
        <v>0.130861660314844</v>
      </c>
      <c r="G601" s="5">
        <f>pima_data!E601/$B601</f>
        <v>0</v>
      </c>
      <c r="H601" s="5">
        <f>pima_data!F601/$B601</f>
        <v>0.186650052343804</v>
      </c>
      <c r="I601" s="5">
        <f>pima_data!G601/$B601</f>
        <v>0.00275498232241777</v>
      </c>
      <c r="J601" s="5">
        <f>pima_data!H601/$B601</f>
        <v>0.165298939345066</v>
      </c>
    </row>
    <row r="602" spans="1:10">
      <c r="A602" s="4" cm="1">
        <f t="array" ref="A602">SUM(POWER(pima_data!A602:H602,2))</f>
        <v>10597.7261</v>
      </c>
      <c r="B602" s="4">
        <f t="shared" si="9"/>
        <v>102.94525778296</v>
      </c>
      <c r="C602" s="5">
        <f>pima_data!A602/$B602</f>
        <v>0.0582834035216062</v>
      </c>
      <c r="D602" s="5">
        <f>pima_data!B602/$B602</f>
        <v>0.932534456345699</v>
      </c>
      <c r="E602" s="5">
        <f>pima_data!C602/$B602</f>
        <v>0</v>
      </c>
      <c r="F602" s="5">
        <f>pima_data!D602/$B602</f>
        <v>0</v>
      </c>
      <c r="G602" s="5">
        <f>pima_data!E602/$B602</f>
        <v>0</v>
      </c>
      <c r="H602" s="5">
        <f>pima_data!F602/$B602</f>
        <v>0.230219443910344</v>
      </c>
      <c r="I602" s="5">
        <f>pima_data!G602/$B602</f>
        <v>0.00184564111151753</v>
      </c>
      <c r="J602" s="5">
        <f>pima_data!H602/$B602</f>
        <v>0.271989216434162</v>
      </c>
    </row>
    <row r="603" spans="1:10">
      <c r="A603" s="4" cm="1">
        <f t="array" ref="A603">SUM(POWER(pima_data!A603:H603,2))</f>
        <v>23821.85</v>
      </c>
      <c r="B603" s="4">
        <f t="shared" si="9"/>
        <v>154.343286216149</v>
      </c>
      <c r="C603" s="5">
        <f>pima_data!A603/$B603</f>
        <v>0.00647906380974394</v>
      </c>
      <c r="D603" s="5">
        <f>pima_data!B603/$B603</f>
        <v>0.803403912408249</v>
      </c>
      <c r="E603" s="5">
        <f>pima_data!C603/$B603</f>
        <v>0.479450721921052</v>
      </c>
      <c r="F603" s="5">
        <f>pima_data!D603/$B603</f>
        <v>0.233246297150782</v>
      </c>
      <c r="G603" s="5">
        <f>pima_data!E603/$B603</f>
        <v>0</v>
      </c>
      <c r="H603" s="5">
        <f>pima_data!F603/$B603</f>
        <v>0.180117973910882</v>
      </c>
      <c r="I603" s="5">
        <f>pima_data!G603/$B603</f>
        <v>0.000647906380974394</v>
      </c>
      <c r="J603" s="5">
        <f>pima_data!H603/$B603</f>
        <v>0.194371914292318</v>
      </c>
    </row>
    <row r="604" spans="1:10">
      <c r="A604" s="4" cm="1">
        <f t="array" ref="A604">SUM(POWER(pima_data!A604:H604,2))</f>
        <v>49505.518864</v>
      </c>
      <c r="B604" s="4">
        <f t="shared" si="9"/>
        <v>222.498356991687</v>
      </c>
      <c r="C604" s="5">
        <f>pima_data!A604/$B604</f>
        <v>0.0314609064742961</v>
      </c>
      <c r="D604" s="5">
        <f>pima_data!B604/$B604</f>
        <v>0.67416228159206</v>
      </c>
      <c r="E604" s="5">
        <f>pima_data!C604/$B604</f>
        <v>0.350564386427871</v>
      </c>
      <c r="F604" s="5">
        <f>pima_data!D604/$B604</f>
        <v>0.130338041107798</v>
      </c>
      <c r="G604" s="5">
        <f>pima_data!E604/$B604</f>
        <v>0.56629631653733</v>
      </c>
      <c r="H604" s="5">
        <f>pima_data!F604/$B604</f>
        <v>0.158203415413603</v>
      </c>
      <c r="I604" s="5">
        <f>pima_data!G604/$B604</f>
        <v>0.0031101353257447</v>
      </c>
      <c r="J604" s="5">
        <f>pima_data!H604/$B604</f>
        <v>0.242698421373141</v>
      </c>
    </row>
    <row r="605" spans="1:10">
      <c r="A605" s="4" cm="1">
        <f t="array" ref="A605">SUM(POWER(pima_data!A605:H605,2))</f>
        <v>35607.604944</v>
      </c>
      <c r="B605" s="4">
        <f t="shared" si="9"/>
        <v>188.699774626256</v>
      </c>
      <c r="C605" s="5">
        <f>pima_data!A605/$B605</f>
        <v>0.0211976935739457</v>
      </c>
      <c r="D605" s="5">
        <f>pima_data!B605/$B605</f>
        <v>0.969794481008016</v>
      </c>
      <c r="E605" s="5">
        <f>pima_data!C605/$B605</f>
        <v>0</v>
      </c>
      <c r="F605" s="5">
        <f>pima_data!D605/$B605</f>
        <v>0</v>
      </c>
      <c r="G605" s="5">
        <f>pima_data!E605/$B605</f>
        <v>0</v>
      </c>
      <c r="H605" s="5">
        <f>pima_data!F605/$B605</f>
        <v>0.150503624375014</v>
      </c>
      <c r="I605" s="5">
        <f>pima_data!G605/$B605</f>
        <v>0.00112347775941912</v>
      </c>
      <c r="J605" s="5">
        <f>pima_data!H605/$B605</f>
        <v>0.190779242165511</v>
      </c>
    </row>
    <row r="606" spans="1:10">
      <c r="A606" s="4" cm="1">
        <f t="array" ref="A606">SUM(POWER(pima_data!A606:H606,2))</f>
        <v>21723.904196</v>
      </c>
      <c r="B606" s="4">
        <f t="shared" si="9"/>
        <v>147.390312422493</v>
      </c>
      <c r="C606" s="5">
        <f>pima_data!A606/$B606</f>
        <v>0.00678470642720066</v>
      </c>
      <c r="D606" s="5">
        <f>pima_data!B606/$B606</f>
        <v>0.841303596972882</v>
      </c>
      <c r="E606" s="5">
        <f>pima_data!C606/$B606</f>
        <v>0.40708238563204</v>
      </c>
      <c r="F606" s="5">
        <f>pima_data!D606/$B606</f>
        <v>0.217110605670421</v>
      </c>
      <c r="G606" s="5">
        <f>pima_data!E606/$B606</f>
        <v>0</v>
      </c>
      <c r="H606" s="5">
        <f>pima_data!F606/$B606</f>
        <v>0.242892490093784</v>
      </c>
      <c r="I606" s="5">
        <f>pima_data!G606/$B606</f>
        <v>0.00348733910358114</v>
      </c>
      <c r="J606" s="5">
        <f>pima_data!H606/$B606</f>
        <v>0.142478834971214</v>
      </c>
    </row>
    <row r="607" spans="1:10">
      <c r="A607" s="4" cm="1">
        <f t="array" ref="A607">SUM(POWER(pima_data!A607:H607,2))</f>
        <v>128544.582564</v>
      </c>
      <c r="B607" s="4">
        <f t="shared" si="9"/>
        <v>358.531145877175</v>
      </c>
      <c r="C607" s="5">
        <f>pima_data!A607/$B607</f>
        <v>0.00278915796158635</v>
      </c>
      <c r="D607" s="5">
        <f>pima_data!B607/$B607</f>
        <v>0.50483759104713</v>
      </c>
      <c r="E607" s="5">
        <f>pima_data!C607/$B607</f>
        <v>0.217554321003735</v>
      </c>
      <c r="F607" s="5">
        <f>pima_data!D607/$B607</f>
        <v>0.117144634386627</v>
      </c>
      <c r="G607" s="5">
        <f>pima_data!E607/$B607</f>
        <v>0.817223282744801</v>
      </c>
      <c r="H607" s="5">
        <f>pima_data!F607/$B607</f>
        <v>0.111566318463454</v>
      </c>
      <c r="I607" s="5">
        <f>pima_data!G607/$B607</f>
        <v>0.00350876071567563</v>
      </c>
      <c r="J607" s="5">
        <f>pima_data!H607/$B607</f>
        <v>0.0613614751548997</v>
      </c>
    </row>
    <row r="608" spans="1:10">
      <c r="A608" s="4" cm="1">
        <f t="array" ref="A608">SUM(POWER(pima_data!A608:H608,2))</f>
        <v>15620.482324</v>
      </c>
      <c r="B608" s="4">
        <f t="shared" si="9"/>
        <v>124.98192798961</v>
      </c>
      <c r="C608" s="5">
        <f>pima_data!A608/$B608</f>
        <v>0.0080011567759071</v>
      </c>
      <c r="D608" s="5">
        <f>pima_data!B608/$B608</f>
        <v>0.736106423383454</v>
      </c>
      <c r="E608" s="5">
        <f>pima_data!C608/$B608</f>
        <v>0.496071720106241</v>
      </c>
      <c r="F608" s="5">
        <f>pima_data!D608/$B608</f>
        <v>0.200028919397678</v>
      </c>
      <c r="G608" s="5">
        <f>pima_data!E608/$B608</f>
        <v>0.328047427812191</v>
      </c>
      <c r="H608" s="5">
        <f>pima_data!F608/$B608</f>
        <v>0.156022557130189</v>
      </c>
      <c r="I608" s="5">
        <f>pima_data!G608/$B608</f>
        <v>0.00385655756598722</v>
      </c>
      <c r="J608" s="5">
        <f>pima_data!H608/$B608</f>
        <v>0.200028919397678</v>
      </c>
    </row>
    <row r="609" spans="1:10">
      <c r="A609" s="4" cm="1">
        <f t="array" ref="A609">SUM(POWER(pima_data!A609:H609,2))</f>
        <v>107784.3229</v>
      </c>
      <c r="B609" s="4">
        <f t="shared" si="9"/>
        <v>328.305228255658</v>
      </c>
      <c r="C609" s="5">
        <f>pima_data!A609/$B609</f>
        <v>0</v>
      </c>
      <c r="D609" s="5">
        <f>pima_data!B609/$B609</f>
        <v>0.462983793488766</v>
      </c>
      <c r="E609" s="5">
        <f>pima_data!C609/$B609</f>
        <v>0.24976757280315</v>
      </c>
      <c r="F609" s="5">
        <f>pima_data!D609/$B609</f>
        <v>0.118791894381986</v>
      </c>
      <c r="G609" s="5">
        <f>pima_data!E609/$B609</f>
        <v>0.828497314664108</v>
      </c>
      <c r="H609" s="5">
        <f>pima_data!F609/$B609</f>
        <v>0.126406759406472</v>
      </c>
      <c r="I609" s="5">
        <f>pima_data!G609/$B609</f>
        <v>0.000822405422644519</v>
      </c>
      <c r="J609" s="5">
        <f>pima_data!H609/$B609</f>
        <v>0.0822405422644519</v>
      </c>
    </row>
    <row r="610" spans="1:10">
      <c r="A610" s="4" cm="1">
        <f t="array" ref="A610">SUM(POWER(pima_data!A610:H610,2))</f>
        <v>50564.019044</v>
      </c>
      <c r="B610" s="4">
        <f t="shared" si="9"/>
        <v>224.864445931321</v>
      </c>
      <c r="C610" s="5">
        <f>pima_data!A610/$B610</f>
        <v>0.0044471236698105</v>
      </c>
      <c r="D610" s="5">
        <f>pima_data!B610/$B610</f>
        <v>0.493630727348965</v>
      </c>
      <c r="E610" s="5">
        <f>pima_data!C610/$B610</f>
        <v>0.275721667528251</v>
      </c>
      <c r="F610" s="5">
        <f>pima_data!D610/$B610</f>
        <v>0.0578126077075364</v>
      </c>
      <c r="G610" s="5">
        <f>pima_data!E610/$B610</f>
        <v>0.80937650790551</v>
      </c>
      <c r="H610" s="5">
        <f>pima_data!F610/$B610</f>
        <v>0.106730968075452</v>
      </c>
      <c r="I610" s="5">
        <f>pima_data!G610/$B610</f>
        <v>0.000613703066433848</v>
      </c>
      <c r="J610" s="5">
        <f>pima_data!H610/$B610</f>
        <v>0.102283844405641</v>
      </c>
    </row>
    <row r="611" spans="1:10">
      <c r="A611" s="4" cm="1">
        <f t="array" ref="A611">SUM(POWER(pima_data!A611:H611,2))</f>
        <v>41096.895264</v>
      </c>
      <c r="B611" s="4">
        <f t="shared" si="9"/>
        <v>202.723691915869</v>
      </c>
      <c r="C611" s="5">
        <f>pima_data!A611/$B611</f>
        <v>0.0147984676662509</v>
      </c>
      <c r="D611" s="5">
        <f>pima_data!B611/$B611</f>
        <v>0.5228791908742</v>
      </c>
      <c r="E611" s="5">
        <f>pima_data!C611/$B611</f>
        <v>0.266372417992517</v>
      </c>
      <c r="F611" s="5">
        <f>pima_data!D611/$B611</f>
        <v>0.103589273663757</v>
      </c>
      <c r="G611" s="5">
        <f>pima_data!E611/$B611</f>
        <v>0.779385963755883</v>
      </c>
      <c r="H611" s="5">
        <f>pima_data!F611/$B611</f>
        <v>0.152424216962385</v>
      </c>
      <c r="I611" s="5">
        <f>pima_data!G611/$B611</f>
        <v>0.00144038418618176</v>
      </c>
      <c r="J611" s="5">
        <f>pima_data!H611/$B611</f>
        <v>0.118387741330008</v>
      </c>
    </row>
    <row r="612" spans="1:10">
      <c r="A612" s="4" cm="1">
        <f t="array" ref="A612">SUM(POWER(pima_data!A612:H612,2))</f>
        <v>74147.761649</v>
      </c>
      <c r="B612" s="4">
        <f t="shared" si="9"/>
        <v>272.300866045263</v>
      </c>
      <c r="C612" s="5">
        <f>pima_data!A612/$B612</f>
        <v>0.0110172253344994</v>
      </c>
      <c r="D612" s="5">
        <f>pima_data!B612/$B612</f>
        <v>0.638999069400967</v>
      </c>
      <c r="E612" s="5">
        <f>pima_data!C612/$B612</f>
        <v>0.212999689800322</v>
      </c>
      <c r="F612" s="5">
        <f>pima_data!D612/$B612</f>
        <v>0.0807929857863291</v>
      </c>
      <c r="G612" s="5">
        <f>pima_data!E612/$B612</f>
        <v>0.712447238297629</v>
      </c>
      <c r="H612" s="5">
        <f>pima_data!F612/$B612</f>
        <v>0.12082223783501</v>
      </c>
      <c r="I612" s="5">
        <f>pima_data!G612/$B612</f>
        <v>0.00217773820778605</v>
      </c>
      <c r="J612" s="5">
        <f>pima_data!H612/$B612</f>
        <v>0.132206704013993</v>
      </c>
    </row>
    <row r="613" spans="1:10">
      <c r="A613" s="4" cm="1">
        <f t="array" ref="A613">SUM(POWER(pima_data!A613:H613,2))</f>
        <v>143881.859369</v>
      </c>
      <c r="B613" s="4">
        <f t="shared" si="9"/>
        <v>379.317623330369</v>
      </c>
      <c r="C613" s="5">
        <f>pima_data!A613/$B613</f>
        <v>0.0184541913411265</v>
      </c>
      <c r="D613" s="5">
        <f>pima_data!B613/$B613</f>
        <v>0.442900592187037</v>
      </c>
      <c r="E613" s="5">
        <f>pima_data!C613/$B613</f>
        <v>0.231995548288448</v>
      </c>
      <c r="F613" s="5">
        <f>pima_data!D613/$B613</f>
        <v>0.110725148046759</v>
      </c>
      <c r="G613" s="5">
        <f>pima_data!E613/$B613</f>
        <v>0.846256488643088</v>
      </c>
      <c r="H613" s="5">
        <f>pima_data!F613/$B613</f>
        <v>0.100707158461576</v>
      </c>
      <c r="I613" s="5">
        <f>pima_data!G613/$B613</f>
        <v>0.00207477836935237</v>
      </c>
      <c r="J613" s="5">
        <f>pima_data!H613/$B613</f>
        <v>0.105452521949294</v>
      </c>
    </row>
    <row r="614" spans="1:10">
      <c r="A614" s="4" cm="1">
        <f t="array" ref="A614">SUM(POWER(pima_data!A614:H614,2))</f>
        <v>19978.020884</v>
      </c>
      <c r="B614" s="4">
        <f t="shared" si="9"/>
        <v>141.34362696634</v>
      </c>
      <c r="C614" s="5">
        <f>pima_data!A614/$B614</f>
        <v>0.042449738476209</v>
      </c>
      <c r="D614" s="5">
        <f>pima_data!B614/$B614</f>
        <v>0.742870423333658</v>
      </c>
      <c r="E614" s="5">
        <f>pima_data!C614/$B614</f>
        <v>0.565996513016121</v>
      </c>
      <c r="F614" s="5">
        <f>pima_data!D614/$B614</f>
        <v>0.198098779555642</v>
      </c>
      <c r="G614" s="5">
        <f>pima_data!E614/$B614</f>
        <v>0</v>
      </c>
      <c r="H614" s="5">
        <f>pima_data!F614/$B614</f>
        <v>0.229936083412799</v>
      </c>
      <c r="I614" s="5">
        <f>pima_data!G614/$B614</f>
        <v>0.00621181173035192</v>
      </c>
      <c r="J614" s="5">
        <f>pima_data!H614/$B614</f>
        <v>0.183948866730239</v>
      </c>
    </row>
    <row r="615" spans="1:10">
      <c r="A615" s="4" cm="1">
        <f t="array" ref="A615">SUM(POWER(pima_data!A615:H615,2))</f>
        <v>49856.520249</v>
      </c>
      <c r="B615" s="4">
        <f t="shared" si="9"/>
        <v>223.285736779132</v>
      </c>
      <c r="C615" s="5">
        <f>pima_data!A615/$B615</f>
        <v>0.049264230481864</v>
      </c>
      <c r="D615" s="5">
        <f>pima_data!B615/$B615</f>
        <v>0.618042164227021</v>
      </c>
      <c r="E615" s="5">
        <f>pima_data!C615/$B615</f>
        <v>0.331413914150722</v>
      </c>
      <c r="F615" s="5">
        <f>pima_data!D615/$B615</f>
        <v>0.116442726593497</v>
      </c>
      <c r="G615" s="5">
        <f>pima_data!E615/$B615</f>
        <v>0.644913562671674</v>
      </c>
      <c r="H615" s="5">
        <f>pima_data!F615/$B615</f>
        <v>0.161676247308663</v>
      </c>
      <c r="I615" s="5">
        <f>pima_data!G615/$B615</f>
        <v>0.0024945614889453</v>
      </c>
      <c r="J615" s="5">
        <f>pima_data!H615/$B615</f>
        <v>0.223928320372109</v>
      </c>
    </row>
    <row r="616" spans="1:10">
      <c r="A616" s="4" cm="1">
        <f t="array" ref="A616">SUM(POWER(pima_data!A616:H616,2))</f>
        <v>17823.682849</v>
      </c>
      <c r="B616" s="4">
        <f t="shared" si="9"/>
        <v>133.505366367798</v>
      </c>
      <c r="C616" s="5">
        <f>pima_data!A616/$B616</f>
        <v>0.0224710068338018</v>
      </c>
      <c r="D616" s="5">
        <f>pima_data!B616/$B616</f>
        <v>0.793975574794329</v>
      </c>
      <c r="E616" s="5">
        <f>pima_data!C616/$B616</f>
        <v>0.539304164011242</v>
      </c>
      <c r="F616" s="5">
        <f>pima_data!D616/$B616</f>
        <v>0</v>
      </c>
      <c r="G616" s="5">
        <f>pima_data!E616/$B616</f>
        <v>0</v>
      </c>
      <c r="H616" s="5">
        <f>pima_data!F616/$B616</f>
        <v>0.193250658770695</v>
      </c>
      <c r="I616" s="5">
        <f>pima_data!G616/$B616</f>
        <v>0.00155049947153232</v>
      </c>
      <c r="J616" s="5">
        <f>pima_data!H616/$B616</f>
        <v>0.202239061504216</v>
      </c>
    </row>
    <row r="617" spans="1:10">
      <c r="A617" s="4" cm="1">
        <f t="array" ref="A617">SUM(POWER(pima_data!A617:H617,2))</f>
        <v>24664.714649</v>
      </c>
      <c r="B617" s="4">
        <f t="shared" si="9"/>
        <v>157.05003867876</v>
      </c>
      <c r="C617" s="5">
        <f>pima_data!A617/$B617</f>
        <v>0.0382043840961592</v>
      </c>
      <c r="D617" s="5">
        <f>pima_data!B617/$B617</f>
        <v>0.744985489875104</v>
      </c>
      <c r="E617" s="5">
        <f>pima_data!C617/$B617</f>
        <v>0.611270145538547</v>
      </c>
      <c r="F617" s="5">
        <f>pima_data!D617/$B617</f>
        <v>0</v>
      </c>
      <c r="G617" s="5">
        <f>pima_data!E617/$B617</f>
        <v>0</v>
      </c>
      <c r="H617" s="5">
        <f>pima_data!F617/$B617</f>
        <v>0.182744303926628</v>
      </c>
      <c r="I617" s="5">
        <f>pima_data!G617/$B617</f>
        <v>0.000999681383849498</v>
      </c>
      <c r="J617" s="5">
        <f>pima_data!H617/$B617</f>
        <v>0.191021920480796</v>
      </c>
    </row>
    <row r="618" spans="1:10">
      <c r="A618" s="4" cm="1">
        <f t="array" ref="A618">SUM(POWER(pima_data!A618:H618,2))</f>
        <v>9799.076049</v>
      </c>
      <c r="B618" s="4">
        <f t="shared" si="9"/>
        <v>98.9902825988491</v>
      </c>
      <c r="C618" s="5">
        <f>pima_data!A618/$B618</f>
        <v>0.0202040033374271</v>
      </c>
      <c r="D618" s="5">
        <f>pima_data!B618/$B618</f>
        <v>0.686936113472522</v>
      </c>
      <c r="E618" s="5">
        <f>pima_data!C618/$B618</f>
        <v>0.626324103460241</v>
      </c>
      <c r="F618" s="5">
        <f>pima_data!D618/$B618</f>
        <v>0.131326021693276</v>
      </c>
      <c r="G618" s="5">
        <f>pima_data!E618/$B618</f>
        <v>0.151530025030703</v>
      </c>
      <c r="H618" s="5">
        <f>pima_data!F618/$B618</f>
        <v>0.203050233541143</v>
      </c>
      <c r="I618" s="5">
        <f>pima_data!G618/$B618</f>
        <v>0.00259621442885938</v>
      </c>
      <c r="J618" s="5">
        <f>pima_data!H618/$B618</f>
        <v>0.232346038380412</v>
      </c>
    </row>
    <row r="619" spans="1:10">
      <c r="A619" s="4" cm="1">
        <f t="array" ref="A619">SUM(POWER(pima_data!A619:H619,2))</f>
        <v>23221.883524</v>
      </c>
      <c r="B619" s="4">
        <f t="shared" si="9"/>
        <v>152.387281372167</v>
      </c>
      <c r="C619" s="5">
        <f>pima_data!A619/$B619</f>
        <v>0.0590600469997217</v>
      </c>
      <c r="D619" s="5">
        <f>pima_data!B619/$B619</f>
        <v>0.734969473774315</v>
      </c>
      <c r="E619" s="5">
        <f>pima_data!C619/$B619</f>
        <v>0.538102650441909</v>
      </c>
      <c r="F619" s="5">
        <f>pima_data!D619/$B619</f>
        <v>0.157493458665925</v>
      </c>
      <c r="G619" s="5">
        <f>pima_data!E619/$B619</f>
        <v>0</v>
      </c>
      <c r="H619" s="5">
        <f>pima_data!F619/$B619</f>
        <v>0.185054813932461</v>
      </c>
      <c r="I619" s="5">
        <f>pima_data!G619/$B619</f>
        <v>0.00841277558373814</v>
      </c>
      <c r="J619" s="5">
        <f>pima_data!H619/$B619</f>
        <v>0.328111372220676</v>
      </c>
    </row>
    <row r="620" spans="1:10">
      <c r="A620" s="4" cm="1">
        <f t="array" ref="A620">SUM(POWER(pima_data!A620:H620,2))</f>
        <v>15786.779881</v>
      </c>
      <c r="B620" s="4">
        <f t="shared" si="9"/>
        <v>125.645453085259</v>
      </c>
      <c r="C620" s="5">
        <f>pima_data!A620/$B620</f>
        <v>0</v>
      </c>
      <c r="D620" s="5">
        <f>pima_data!B620/$B620</f>
        <v>0.947109482101596</v>
      </c>
      <c r="E620" s="5">
        <f>pima_data!C620/$B620</f>
        <v>0</v>
      </c>
      <c r="F620" s="5">
        <f>pima_data!D620/$B620</f>
        <v>0</v>
      </c>
      <c r="G620" s="5">
        <f>pima_data!E620/$B620</f>
        <v>0</v>
      </c>
      <c r="H620" s="5">
        <f>pima_data!F620/$B620</f>
        <v>0.257868464034384</v>
      </c>
      <c r="I620" s="5">
        <f>pima_data!G620/$B620</f>
        <v>0.00112220535274223</v>
      </c>
      <c r="J620" s="5">
        <f>pima_data!H620/$B620</f>
        <v>0.191013677062507</v>
      </c>
    </row>
    <row r="621" spans="1:10">
      <c r="A621" s="4" cm="1">
        <f t="array" ref="A621">SUM(POWER(pima_data!A621:H621,2))</f>
        <v>49566.620516</v>
      </c>
      <c r="B621" s="4">
        <f t="shared" si="9"/>
        <v>222.635622747125</v>
      </c>
      <c r="C621" s="5">
        <f>pima_data!A621/$B621</f>
        <v>0.00898328836743099</v>
      </c>
      <c r="D621" s="5">
        <f>pima_data!B621/$B621</f>
        <v>0.503064148576136</v>
      </c>
      <c r="E621" s="5">
        <f>pima_data!C621/$B621</f>
        <v>0.386281399799533</v>
      </c>
      <c r="F621" s="5">
        <f>pima_data!D621/$B621</f>
        <v>0.188649055716051</v>
      </c>
      <c r="G621" s="5">
        <f>pima_data!E621/$B621</f>
        <v>0.71866306939448</v>
      </c>
      <c r="H621" s="5">
        <f>pima_data!F621/$B621</f>
        <v>0.172479136654675</v>
      </c>
      <c r="I621" s="5">
        <f>pima_data!G621/$B621</f>
        <v>0.00110494446919401</v>
      </c>
      <c r="J621" s="5">
        <f>pima_data!H621/$B621</f>
        <v>0.125766037144034</v>
      </c>
    </row>
    <row r="622" spans="1:10">
      <c r="A622" s="4" cm="1">
        <f t="array" ref="A622">SUM(POWER(pima_data!A622:H622,2))</f>
        <v>16016.523204</v>
      </c>
      <c r="B622" s="4">
        <f t="shared" si="9"/>
        <v>126.556403251673</v>
      </c>
      <c r="C622" s="5">
        <f>pima_data!A622/$B622</f>
        <v>0.0158032304064675</v>
      </c>
      <c r="D622" s="5">
        <f>pima_data!B622/$B622</f>
        <v>0.726948598697506</v>
      </c>
      <c r="E622" s="5">
        <f>pima_data!C622/$B622</f>
        <v>0.600522755445766</v>
      </c>
      <c r="F622" s="5">
        <f>pima_data!D622/$B622</f>
        <v>0.158032304064675</v>
      </c>
      <c r="G622" s="5">
        <f>pima_data!E622/$B622</f>
        <v>0</v>
      </c>
      <c r="H622" s="5">
        <f>pima_data!F622/$B622</f>
        <v>0.191219087918257</v>
      </c>
      <c r="I622" s="5">
        <f>pima_data!G622/$B622</f>
        <v>0.0134169426150909</v>
      </c>
      <c r="J622" s="5">
        <f>pima_data!H622/$B622</f>
        <v>0.221245225690545</v>
      </c>
    </row>
    <row r="623" spans="1:10">
      <c r="A623" s="4" cm="1">
        <f t="array" ref="A623">SUM(POWER(pima_data!A623:H623,2))</f>
        <v>46052.774521</v>
      </c>
      <c r="B623" s="4">
        <f t="shared" si="9"/>
        <v>214.599101864383</v>
      </c>
      <c r="C623" s="5">
        <f>pima_data!A623/$B623</f>
        <v>0.0279591104896223</v>
      </c>
      <c r="D623" s="5">
        <f>pima_data!B623/$B623</f>
        <v>0.852752869933479</v>
      </c>
      <c r="E623" s="5">
        <f>pima_data!C623/$B623</f>
        <v>0.438026064337416</v>
      </c>
      <c r="F623" s="5">
        <f>pima_data!D623/$B623</f>
        <v>0</v>
      </c>
      <c r="G623" s="5">
        <f>pima_data!E623/$B623</f>
        <v>0</v>
      </c>
      <c r="H623" s="5">
        <f>pima_data!F623/$B623</f>
        <v>0.190121951329431</v>
      </c>
      <c r="I623" s="5">
        <f>pima_data!G623/$B623</f>
        <v>0.00680804340422302</v>
      </c>
      <c r="J623" s="5">
        <f>pima_data!H623/$B623</f>
        <v>0.209693328672167</v>
      </c>
    </row>
    <row r="624" spans="1:10">
      <c r="A624" s="4" cm="1">
        <f t="array" ref="A624">SUM(POWER(pima_data!A624:H624,2))</f>
        <v>30023.370409</v>
      </c>
      <c r="B624" s="4">
        <f t="shared" si="9"/>
        <v>173.272532182686</v>
      </c>
      <c r="C624" s="5">
        <f>pima_data!A624/$B624</f>
        <v>0</v>
      </c>
      <c r="D624" s="5">
        <f>pima_data!B624/$B624</f>
        <v>0.542497987510756</v>
      </c>
      <c r="E624" s="5">
        <f>pima_data!C624/$B624</f>
        <v>0.403987863039925</v>
      </c>
      <c r="F624" s="5">
        <f>pima_data!D624/$B624</f>
        <v>0.155823890029685</v>
      </c>
      <c r="G624" s="5">
        <f>pima_data!E624/$B624</f>
        <v>0.663694346422734</v>
      </c>
      <c r="H624" s="5">
        <f>pima_data!F624/$B624</f>
        <v>0.251049600603382</v>
      </c>
      <c r="I624" s="5">
        <f>pima_data!G624/$B624</f>
        <v>0.00200262554964077</v>
      </c>
      <c r="J624" s="5">
        <f>pima_data!H624/$B624</f>
        <v>0.121196358911978</v>
      </c>
    </row>
    <row r="625" spans="1:10">
      <c r="A625" s="4" cm="1">
        <f t="array" ref="A625">SUM(POWER(pima_data!A625:H625,2))</f>
        <v>17153.664964</v>
      </c>
      <c r="B625" s="4">
        <f t="shared" si="9"/>
        <v>130.97200068717</v>
      </c>
      <c r="C625" s="5">
        <f>pima_data!A625/$B625</f>
        <v>0.015270439403129</v>
      </c>
      <c r="D625" s="5">
        <f>pima_data!B625/$B625</f>
        <v>0.824603727768968</v>
      </c>
      <c r="E625" s="5">
        <f>pima_data!C625/$B625</f>
        <v>0.488654060900129</v>
      </c>
      <c r="F625" s="5">
        <f>pima_data!D625/$B625</f>
        <v>0</v>
      </c>
      <c r="G625" s="5">
        <f>pima_data!E625/$B625</f>
        <v>0</v>
      </c>
      <c r="H625" s="5">
        <f>pima_data!F625/$B625</f>
        <v>0.235164766808187</v>
      </c>
      <c r="I625" s="5">
        <f>pima_data!G625/$B625</f>
        <v>0.00120636471284719</v>
      </c>
      <c r="J625" s="5">
        <f>pima_data!H625/$B625</f>
        <v>0.160339613732855</v>
      </c>
    </row>
    <row r="626" spans="1:10">
      <c r="A626" s="4" cm="1">
        <f t="array" ref="A626">SUM(POWER(pima_data!A626:H626,2))</f>
        <v>23247.421044</v>
      </c>
      <c r="B626" s="4">
        <f t="shared" si="9"/>
        <v>152.471049855374</v>
      </c>
      <c r="C626" s="5">
        <f>pima_data!A626/$B626</f>
        <v>0.0262344884736754</v>
      </c>
      <c r="D626" s="5">
        <f>pima_data!B626/$B626</f>
        <v>0.590275990657696</v>
      </c>
      <c r="E626" s="5">
        <f>pima_data!C626/$B626</f>
        <v>0.577158746420859</v>
      </c>
      <c r="F626" s="5">
        <f>pima_data!D626/$B626</f>
        <v>0.308255239565686</v>
      </c>
      <c r="G626" s="5">
        <f>pima_data!E626/$B626</f>
        <v>0.354165594394618</v>
      </c>
      <c r="H626" s="5">
        <f>pima_data!F626/$B626</f>
        <v>0.247260053864391</v>
      </c>
      <c r="I626" s="5">
        <f>pima_data!G626/$B626</f>
        <v>0.00237422120686762</v>
      </c>
      <c r="J626" s="5">
        <f>pima_data!H626/$B626</f>
        <v>0.190200041434147</v>
      </c>
    </row>
    <row r="627" spans="1:10">
      <c r="A627" s="4" cm="1">
        <f t="array" ref="A627">SUM(POWER(pima_data!A627:H627,2))</f>
        <v>21300.132436</v>
      </c>
      <c r="B627" s="4">
        <f t="shared" si="9"/>
        <v>145.945648910819</v>
      </c>
      <c r="C627" s="5">
        <f>pima_data!A627/$B627</f>
        <v>0</v>
      </c>
      <c r="D627" s="5">
        <f>pima_data!B627/$B627</f>
        <v>0.856483224630987</v>
      </c>
      <c r="E627" s="5">
        <f>pima_data!C627/$B627</f>
        <v>0.465926874199257</v>
      </c>
      <c r="F627" s="5">
        <f>pima_data!D627/$B627</f>
        <v>0</v>
      </c>
      <c r="G627" s="5">
        <f>pima_data!E627/$B627</f>
        <v>0</v>
      </c>
      <c r="H627" s="5">
        <f>pima_data!F627/$B627</f>
        <v>0.169241085187083</v>
      </c>
      <c r="I627" s="5">
        <f>pima_data!G627/$B627</f>
        <v>0.00141148435419187</v>
      </c>
      <c r="J627" s="5">
        <f>pima_data!H627/$B627</f>
        <v>0.143889181738006</v>
      </c>
    </row>
    <row r="628" spans="1:10">
      <c r="A628" s="4" cm="1">
        <f t="array" ref="A628">SUM(POWER(pima_data!A628:H628,2))</f>
        <v>24998.914449</v>
      </c>
      <c r="B628" s="4">
        <f t="shared" si="9"/>
        <v>158.110450157477</v>
      </c>
      <c r="C628" s="5">
        <f>pima_data!A628/$B628</f>
        <v>0</v>
      </c>
      <c r="D628" s="5">
        <f>pima_data!B628/$B628</f>
        <v>0.834859428130961</v>
      </c>
      <c r="E628" s="5">
        <f>pima_data!C628/$B628</f>
        <v>0.49332602571375</v>
      </c>
      <c r="F628" s="5">
        <f>pima_data!D628/$B628</f>
        <v>0</v>
      </c>
      <c r="G628" s="5">
        <f>pima_data!E628/$B628</f>
        <v>0</v>
      </c>
      <c r="H628" s="5">
        <f>pima_data!F628/$B628</f>
        <v>0.204920041450327</v>
      </c>
      <c r="I628" s="5">
        <f>pima_data!G628/$B628</f>
        <v>0.00248560420648082</v>
      </c>
      <c r="J628" s="5">
        <f>pima_data!H628/$B628</f>
        <v>0.132818545384471</v>
      </c>
    </row>
    <row r="629" spans="1:10">
      <c r="A629" s="4" cm="1">
        <f t="array" ref="A629">SUM(POWER(pima_data!A629:H629,2))</f>
        <v>26031.180736</v>
      </c>
      <c r="B629" s="4">
        <f t="shared" si="9"/>
        <v>161.341813352894</v>
      </c>
      <c r="C629" s="5">
        <f>pima_data!A629/$B629</f>
        <v>0.0309901066319602</v>
      </c>
      <c r="D629" s="5">
        <f>pima_data!B629/$B629</f>
        <v>0.793346729778182</v>
      </c>
      <c r="E629" s="5">
        <f>pima_data!C629/$B629</f>
        <v>0.495841706111364</v>
      </c>
      <c r="F629" s="5">
        <f>pima_data!D629/$B629</f>
        <v>0</v>
      </c>
      <c r="G629" s="5">
        <f>pima_data!E629/$B629</f>
        <v>0</v>
      </c>
      <c r="H629" s="5">
        <f>pima_data!F629/$B629</f>
        <v>0.214451537893165</v>
      </c>
      <c r="I629" s="5">
        <f>pima_data!G629/$B629</f>
        <v>0.000892515071000454</v>
      </c>
      <c r="J629" s="5">
        <f>pima_data!H629/$B629</f>
        <v>0.278910959687642</v>
      </c>
    </row>
    <row r="630" spans="1:10">
      <c r="A630" s="4" cm="1">
        <f t="array" ref="A630">SUM(POWER(pima_data!A630:H630,2))</f>
        <v>14612.111904</v>
      </c>
      <c r="B630" s="4">
        <f t="shared" si="9"/>
        <v>120.880568761071</v>
      </c>
      <c r="C630" s="5">
        <f>pima_data!A630/$B630</f>
        <v>0.0330905127349813</v>
      </c>
      <c r="D630" s="5">
        <f>pima_data!B630/$B630</f>
        <v>0.77762704927206</v>
      </c>
      <c r="E630" s="5">
        <f>pima_data!C630/$B630</f>
        <v>0.537720831943446</v>
      </c>
      <c r="F630" s="5">
        <f>pima_data!D630/$B630</f>
        <v>0.181997820042397</v>
      </c>
      <c r="G630" s="5">
        <f>pima_data!E630/$B630</f>
        <v>0</v>
      </c>
      <c r="H630" s="5">
        <f>pima_data!F630/$B630</f>
        <v>0.20433391613851</v>
      </c>
      <c r="I630" s="5">
        <f>pima_data!G630/$B630</f>
        <v>0.00122434897119431</v>
      </c>
      <c r="J630" s="5">
        <f>pima_data!H630/$B630</f>
        <v>0.173725191858652</v>
      </c>
    </row>
    <row r="631" spans="1:10">
      <c r="A631" s="4" cm="1">
        <f t="array" ref="A631">SUM(POWER(pima_data!A631:H631,2))</f>
        <v>19048.295824</v>
      </c>
      <c r="B631" s="4">
        <f t="shared" si="9"/>
        <v>138.015563702069</v>
      </c>
      <c r="C631" s="5">
        <f>pima_data!A631/$B631</f>
        <v>0.0507189175788226</v>
      </c>
      <c r="D631" s="5">
        <f>pima_data!B631/$B631</f>
        <v>0.825993800569396</v>
      </c>
      <c r="E631" s="5">
        <f>pima_data!C631/$B631</f>
        <v>0.463715817863521</v>
      </c>
      <c r="F631" s="5">
        <f>pima_data!D631/$B631</f>
        <v>0</v>
      </c>
      <c r="G631" s="5">
        <f>pima_data!E631/$B631</f>
        <v>0</v>
      </c>
      <c r="H631" s="5">
        <f>pima_data!F631/$B631</f>
        <v>0.19852833452282</v>
      </c>
      <c r="I631" s="5">
        <f>pima_data!G631/$B631</f>
        <v>0.00530374966681402</v>
      </c>
      <c r="J631" s="5">
        <f>pima_data!H631/$B631</f>
        <v>0.246349028239995</v>
      </c>
    </row>
    <row r="632" spans="1:10">
      <c r="A632" s="4" cm="1">
        <f t="array" ref="A632">SUM(POWER(pima_data!A632:H632,2))</f>
        <v>27954.306644</v>
      </c>
      <c r="B632" s="4">
        <f t="shared" si="9"/>
        <v>167.195414542385</v>
      </c>
      <c r="C632" s="5">
        <f>pima_data!A632/$B632</f>
        <v>0</v>
      </c>
      <c r="D632" s="5">
        <f>pima_data!B632/$B632</f>
        <v>0.610064577902299</v>
      </c>
      <c r="E632" s="5">
        <f>pima_data!C632/$B632</f>
        <v>0.466519971337052</v>
      </c>
      <c r="F632" s="5">
        <f>pima_data!D632/$B632</f>
        <v>0.239241010942078</v>
      </c>
      <c r="G632" s="5">
        <f>pima_data!E632/$B632</f>
        <v>0.538292274619675</v>
      </c>
      <c r="H632" s="5">
        <f>pima_data!F632/$B632</f>
        <v>0.206345371937542</v>
      </c>
      <c r="I632" s="5">
        <f>pima_data!G632/$B632</f>
        <v>0.00142348401510536</v>
      </c>
      <c r="J632" s="5">
        <f>pima_data!H632/$B632</f>
        <v>0.143544606565247</v>
      </c>
    </row>
    <row r="633" spans="1:10">
      <c r="A633" s="4" cm="1">
        <f t="array" ref="A633">SUM(POWER(pima_data!A633:H633,2))</f>
        <v>17140.557649</v>
      </c>
      <c r="B633" s="4">
        <f t="shared" si="9"/>
        <v>130.921952509883</v>
      </c>
      <c r="C633" s="5">
        <f>pima_data!A633/$B633</f>
        <v>0.0152762769089395</v>
      </c>
      <c r="D633" s="5">
        <f>pima_data!B633/$B633</f>
        <v>0.847833368446144</v>
      </c>
      <c r="E633" s="5">
        <f>pima_data!C633/$B633</f>
        <v>0.458288307268186</v>
      </c>
      <c r="F633" s="5">
        <f>pima_data!D633/$B633</f>
        <v>0</v>
      </c>
      <c r="G633" s="5">
        <f>pima_data!E633/$B633</f>
        <v>0</v>
      </c>
      <c r="H633" s="5">
        <f>pima_data!F633/$B633</f>
        <v>0.200119227507108</v>
      </c>
      <c r="I633" s="5">
        <f>pima_data!G633/$B633</f>
        <v>0.00261988148988313</v>
      </c>
      <c r="J633" s="5">
        <f>pima_data!H633/$B633</f>
        <v>0.175677184452805</v>
      </c>
    </row>
    <row r="634" spans="1:10">
      <c r="A634" s="4" cm="1">
        <f t="array" ref="A634">SUM(POWER(pima_data!A634:H634,2))</f>
        <v>58127.263225</v>
      </c>
      <c r="B634" s="4">
        <f t="shared" si="9"/>
        <v>241.095962689133</v>
      </c>
      <c r="C634" s="5">
        <f>pima_data!A634/$B634</f>
        <v>0.00414772602927984</v>
      </c>
      <c r="D634" s="5">
        <f>pima_data!B634/$B634</f>
        <v>0.53090893174782</v>
      </c>
      <c r="E634" s="5">
        <f>pima_data!C634/$B634</f>
        <v>0.340113534400947</v>
      </c>
      <c r="F634" s="5">
        <f>pima_data!D634/$B634</f>
        <v>0.0705113424977573</v>
      </c>
      <c r="G634" s="5">
        <f>pima_data!E634/$B634</f>
        <v>0.759033863358211</v>
      </c>
      <c r="H634" s="5">
        <f>pima_data!F634/$B634</f>
        <v>0.114062465805196</v>
      </c>
      <c r="I634" s="5">
        <f>pima_data!G634/$B634</f>
        <v>0.000476988493367182</v>
      </c>
      <c r="J634" s="5">
        <f>pima_data!H634/$B634</f>
        <v>0.0912499726441565</v>
      </c>
    </row>
    <row r="635" spans="1:10">
      <c r="A635" s="4" cm="1">
        <f t="array" ref="A635">SUM(POWER(pima_data!A635:H635,2))</f>
        <v>14039.837889</v>
      </c>
      <c r="B635" s="4">
        <f t="shared" si="9"/>
        <v>118.48982187935</v>
      </c>
      <c r="C635" s="5">
        <f>pima_data!A635/$B635</f>
        <v>0.0843954344887305</v>
      </c>
      <c r="D635" s="5">
        <f>pima_data!B635/$B635</f>
        <v>0.776437997296321</v>
      </c>
      <c r="E635" s="5">
        <f>pima_data!C635/$B635</f>
        <v>0.523251693830129</v>
      </c>
      <c r="F635" s="5">
        <f>pima_data!D635/$B635</f>
        <v>0</v>
      </c>
      <c r="G635" s="5">
        <f>pima_data!E635/$B635</f>
        <v>0</v>
      </c>
      <c r="H635" s="5">
        <f>pima_data!F635/$B635</f>
        <v>0.218584175325812</v>
      </c>
      <c r="I635" s="5">
        <f>pima_data!G635/$B635</f>
        <v>0.0014094037559618</v>
      </c>
      <c r="J635" s="5">
        <f>pima_data!H635/$B635</f>
        <v>0.261625846915065</v>
      </c>
    </row>
    <row r="636" spans="1:10">
      <c r="A636" s="4" cm="1">
        <f t="array" ref="A636">SUM(POWER(pima_data!A636:H636,2))</f>
        <v>18586.656225</v>
      </c>
      <c r="B636" s="4">
        <f t="shared" si="9"/>
        <v>136.332887540021</v>
      </c>
      <c r="C636" s="5">
        <f>pima_data!A636/$B636</f>
        <v>0.0953548350260227</v>
      </c>
      <c r="D636" s="5">
        <f>pima_data!B636/$B636</f>
        <v>0.762838680208181</v>
      </c>
      <c r="E636" s="5">
        <f>pima_data!C636/$B636</f>
        <v>0.528119086297972</v>
      </c>
      <c r="F636" s="5">
        <f>pima_data!D636/$B636</f>
        <v>0</v>
      </c>
      <c r="G636" s="5">
        <f>pima_data!E636/$B636</f>
        <v>0</v>
      </c>
      <c r="H636" s="5">
        <f>pima_data!F636/$B636</f>
        <v>0.228851604062454</v>
      </c>
      <c r="I636" s="5">
        <f>pima_data!G636/$B636</f>
        <v>0.00341076909900773</v>
      </c>
      <c r="J636" s="5">
        <f>pima_data!H636/$B636</f>
        <v>0.278729517768374</v>
      </c>
    </row>
    <row r="637" spans="1:10">
      <c r="A637" s="4" cm="1">
        <f t="array" ref="A637">SUM(POWER(pima_data!A637:H637,2))</f>
        <v>19450.463409</v>
      </c>
      <c r="B637" s="4">
        <f t="shared" si="9"/>
        <v>139.464918201675</v>
      </c>
      <c r="C637" s="5">
        <f>pima_data!A637/$B637</f>
        <v>0.0358513098811679</v>
      </c>
      <c r="D637" s="5">
        <f>pima_data!B637/$B637</f>
        <v>0.745707245528293</v>
      </c>
      <c r="E637" s="5">
        <f>pima_data!C637/$B637</f>
        <v>0.530599386241285</v>
      </c>
      <c r="F637" s="5">
        <f>pima_data!D637/$B637</f>
        <v>0</v>
      </c>
      <c r="G637" s="5">
        <f>pima_data!E637/$B637</f>
        <v>0</v>
      </c>
      <c r="H637" s="5">
        <f>pima_data!F637/$B637</f>
        <v>0.206503544915527</v>
      </c>
      <c r="I637" s="5">
        <f>pima_data!G637/$B637</f>
        <v>0.00109705008236374</v>
      </c>
      <c r="J637" s="5">
        <f>pima_data!H637/$B637</f>
        <v>0.344172574859212</v>
      </c>
    </row>
    <row r="638" spans="1:10">
      <c r="A638" s="4" cm="1">
        <f t="array" ref="A638">SUM(POWER(pima_data!A638:H638,2))</f>
        <v>20823.981201</v>
      </c>
      <c r="B638" s="4">
        <f t="shared" si="9"/>
        <v>144.305166924126</v>
      </c>
      <c r="C638" s="5">
        <f>pima_data!A638/$B638</f>
        <v>0.013859517594762</v>
      </c>
      <c r="D638" s="5">
        <f>pima_data!B638/$B638</f>
        <v>0.651397326953815</v>
      </c>
      <c r="E638" s="5">
        <f>pima_data!C638/$B638</f>
        <v>0.526661668600957</v>
      </c>
      <c r="F638" s="5">
        <f>pima_data!D638/$B638</f>
        <v>0.124735658352858</v>
      </c>
      <c r="G638" s="5">
        <f>pima_data!E638/$B638</f>
        <v>0.457364080627146</v>
      </c>
      <c r="H638" s="5">
        <f>pima_data!F638/$B638</f>
        <v>0.21898037799724</v>
      </c>
      <c r="I638" s="5">
        <f>pima_data!G638/$B638</f>
        <v>0.00449741345950027</v>
      </c>
      <c r="J638" s="5">
        <f>pima_data!H638/$B638</f>
        <v>0.159384452339763</v>
      </c>
    </row>
    <row r="639" spans="1:10">
      <c r="A639" s="4" cm="1">
        <f t="array" ref="A639">SUM(POWER(pima_data!A639:H639,2))</f>
        <v>27236.568641</v>
      </c>
      <c r="B639" s="4">
        <f t="shared" si="9"/>
        <v>165.035052764557</v>
      </c>
      <c r="C639" s="5">
        <f>pima_data!A639/$B639</f>
        <v>0.0424152316901209</v>
      </c>
      <c r="D639" s="5">
        <f>pima_data!B639/$B639</f>
        <v>0.587753924848818</v>
      </c>
      <c r="E639" s="5">
        <f>pima_data!C639/$B639</f>
        <v>0.460508229778456</v>
      </c>
      <c r="F639" s="5">
        <f>pima_data!D639/$B639</f>
        <v>0.193898202011981</v>
      </c>
      <c r="G639" s="5">
        <f>pima_data!E639/$B639</f>
        <v>0.551398011971572</v>
      </c>
      <c r="H639" s="5">
        <f>pima_data!F639/$B639</f>
        <v>0.247826139446564</v>
      </c>
      <c r="I639" s="5">
        <f>pima_data!G639/$B639</f>
        <v>0.00527766668601362</v>
      </c>
      <c r="J639" s="5">
        <f>pima_data!H639/$B639</f>
        <v>0.193898202011981</v>
      </c>
    </row>
    <row r="640" spans="1:10">
      <c r="A640" s="4" cm="1">
        <f t="array" ref="A640">SUM(POWER(pima_data!A640:H640,2))</f>
        <v>18901.272201</v>
      </c>
      <c r="B640" s="4">
        <f t="shared" si="9"/>
        <v>137.481897721118</v>
      </c>
      <c r="C640" s="5">
        <f>pima_data!A640/$B640</f>
        <v>0.00727368487470618</v>
      </c>
      <c r="D640" s="5">
        <f>pima_data!B640/$B640</f>
        <v>0.727368487470619</v>
      </c>
      <c r="E640" s="5">
        <f>pima_data!C640/$B640</f>
        <v>0.538252680728258</v>
      </c>
      <c r="F640" s="5">
        <f>pima_data!D640/$B640</f>
        <v>0.0872842184964742</v>
      </c>
      <c r="G640" s="5">
        <f>pima_data!E640/$B640</f>
        <v>0.334589504236485</v>
      </c>
      <c r="H640" s="5">
        <f>pima_data!F640/$B640</f>
        <v>0.141836855056771</v>
      </c>
      <c r="I640" s="5">
        <f>pima_data!G640/$B640</f>
        <v>0.00108377904633122</v>
      </c>
      <c r="J640" s="5">
        <f>pima_data!H640/$B640</f>
        <v>0.203663176491773</v>
      </c>
    </row>
    <row r="641" spans="1:10">
      <c r="A641" s="4" cm="1">
        <f t="array" ref="A641">SUM(POWER(pima_data!A641:H641,2))</f>
        <v>30701.973025</v>
      </c>
      <c r="B641" s="4">
        <f t="shared" ref="B641:B704" si="10">A641^0.5</f>
        <v>175.21978491312</v>
      </c>
      <c r="C641" s="5">
        <f>pima_data!A641/$B641</f>
        <v>0</v>
      </c>
      <c r="D641" s="5">
        <f>pima_data!B641/$B641</f>
        <v>0.582126042732989</v>
      </c>
      <c r="E641" s="5">
        <f>pima_data!C641/$B641</f>
        <v>0.490812153676834</v>
      </c>
      <c r="F641" s="5">
        <f>pima_data!D641/$B641</f>
        <v>0.0970210071221649</v>
      </c>
      <c r="G641" s="5">
        <f>pima_data!E641/$B641</f>
        <v>0.599247396931018</v>
      </c>
      <c r="H641" s="5">
        <f>pima_data!F641/$B641</f>
        <v>0.167218559334084</v>
      </c>
      <c r="I641" s="5">
        <f>pima_data!G641/$B641</f>
        <v>0.00396644705587674</v>
      </c>
      <c r="J641" s="5">
        <f>pima_data!H641/$B641</f>
        <v>0.154092187782262</v>
      </c>
    </row>
    <row r="642" spans="1:10">
      <c r="A642" s="4" cm="1">
        <f t="array" ref="A642">SUM(POWER(pima_data!A642:H642,2))</f>
        <v>23052.581809</v>
      </c>
      <c r="B642" s="4">
        <f t="shared" si="10"/>
        <v>151.830767003924</v>
      </c>
      <c r="C642" s="5">
        <f>pima_data!A642/$B642</f>
        <v>0.0263451214726236</v>
      </c>
      <c r="D642" s="5">
        <f>pima_data!B642/$B642</f>
        <v>0.843043887123955</v>
      </c>
      <c r="E642" s="5">
        <f>pima_data!C642/$B642</f>
        <v>0.461039625770913</v>
      </c>
      <c r="F642" s="5">
        <f>pima_data!D642/$B642</f>
        <v>0</v>
      </c>
      <c r="G642" s="5">
        <f>pima_data!E642/$B642</f>
        <v>0</v>
      </c>
      <c r="H642" s="5">
        <f>pima_data!F642/$B642</f>
        <v>0.225909416627747</v>
      </c>
      <c r="I642" s="5">
        <f>pima_data!G642/$B642</f>
        <v>0.00199564295155124</v>
      </c>
      <c r="J642" s="5">
        <f>pima_data!H642/$B642</f>
        <v>0.158070728835742</v>
      </c>
    </row>
    <row r="643" spans="1:10">
      <c r="A643" s="4" cm="1">
        <f t="array" ref="A643">SUM(POWER(pima_data!A643:H643,2))</f>
        <v>31415.281684</v>
      </c>
      <c r="B643" s="4">
        <f t="shared" si="10"/>
        <v>177.243565987598</v>
      </c>
      <c r="C643" s="5">
        <f>pima_data!A643/$B643</f>
        <v>0.0338517224395036</v>
      </c>
      <c r="D643" s="5">
        <f>pima_data!B643/$B643</f>
        <v>0.829367199767837</v>
      </c>
      <c r="E643" s="5">
        <f>pima_data!C643/$B643</f>
        <v>0.451356299193381</v>
      </c>
      <c r="F643" s="5">
        <f>pima_data!D643/$B643</f>
        <v>0</v>
      </c>
      <c r="G643" s="5">
        <f>pima_data!E643/$B643</f>
        <v>0</v>
      </c>
      <c r="H643" s="5">
        <f>pima_data!F643/$B643</f>
        <v>0.166437635327559</v>
      </c>
      <c r="I643" s="5">
        <f>pima_data!G643/$B643</f>
        <v>0.00100426776570527</v>
      </c>
      <c r="J643" s="5">
        <f>pima_data!H643/$B643</f>
        <v>0.282097686995863</v>
      </c>
    </row>
    <row r="644" spans="1:10">
      <c r="A644" s="4" cm="1">
        <f t="array" ref="A644">SUM(POWER(pima_data!A644:H644,2))</f>
        <v>9861.3721</v>
      </c>
      <c r="B644" s="4">
        <f t="shared" si="10"/>
        <v>99.3044414918084</v>
      </c>
      <c r="C644" s="5">
        <f>pima_data!A644/$B644</f>
        <v>0.0402801721646051</v>
      </c>
      <c r="D644" s="5">
        <f>pima_data!B644/$B644</f>
        <v>0.906303873703615</v>
      </c>
      <c r="E644" s="5">
        <f>pima_data!C644/$B644</f>
        <v>0</v>
      </c>
      <c r="F644" s="5">
        <f>pima_data!D644/$B644</f>
        <v>0</v>
      </c>
      <c r="G644" s="5">
        <f>pima_data!E644/$B644</f>
        <v>0</v>
      </c>
      <c r="H644" s="5">
        <f>pima_data!F644/$B644</f>
        <v>0.281961205152236</v>
      </c>
      <c r="I644" s="5">
        <f>pima_data!G644/$B644</f>
        <v>0.00614272625510228</v>
      </c>
      <c r="J644" s="5">
        <f>pima_data!H644/$B644</f>
        <v>0.31217133427569</v>
      </c>
    </row>
    <row r="645" spans="1:10">
      <c r="A645" s="4" cm="1">
        <f t="array" ref="A645">SUM(POWER(pima_data!A645:H645,2))</f>
        <v>41297.2929</v>
      </c>
      <c r="B645" s="4">
        <f t="shared" si="10"/>
        <v>203.217353835739</v>
      </c>
      <c r="C645" s="5">
        <f>pima_data!A645/$B645</f>
        <v>0.0147625187680817</v>
      </c>
      <c r="D645" s="5">
        <f>pima_data!B645/$B645</f>
        <v>0.506846477704139</v>
      </c>
      <c r="E645" s="5">
        <f>pima_data!C645/$B645</f>
        <v>0.354300450433961</v>
      </c>
      <c r="F645" s="5">
        <f>pima_data!D645/$B645</f>
        <v>0.147625187680817</v>
      </c>
      <c r="G645" s="5">
        <f>pima_data!E645/$B645</f>
        <v>0.747967617582806</v>
      </c>
      <c r="H645" s="5">
        <f>pima_data!F645/$B645</f>
        <v>0.135815172666352</v>
      </c>
      <c r="I645" s="5">
        <f>pima_data!G645/$B645</f>
        <v>0.00359221290023321</v>
      </c>
      <c r="J645" s="5">
        <f>pima_data!H645/$B645</f>
        <v>0.132862668912735</v>
      </c>
    </row>
    <row r="646" spans="1:10">
      <c r="A646" s="4" cm="1">
        <f t="array" ref="A646">SUM(POWER(pima_data!A646:H646,2))</f>
        <v>227406.377956</v>
      </c>
      <c r="B646" s="4">
        <f t="shared" si="10"/>
        <v>476.871448040245</v>
      </c>
      <c r="C646" s="5">
        <f>pima_data!A646/$B646</f>
        <v>0.00419400240509097</v>
      </c>
      <c r="D646" s="5">
        <f>pima_data!B646/$B646</f>
        <v>0.329229188799641</v>
      </c>
      <c r="E646" s="5">
        <f>pima_data!C646/$B646</f>
        <v>0.155178088988366</v>
      </c>
      <c r="F646" s="5">
        <f>pima_data!D646/$B646</f>
        <v>0.0733950420890919</v>
      </c>
      <c r="G646" s="5">
        <f>pima_data!E646/$B646</f>
        <v>0.922680529120013</v>
      </c>
      <c r="H646" s="5">
        <f>pima_data!F646/$B646</f>
        <v>0.0826218473802921</v>
      </c>
      <c r="I646" s="5">
        <f>pima_data!G646/$B646</f>
        <v>0.000280998161141095</v>
      </c>
      <c r="J646" s="5">
        <f>pima_data!H646/$B646</f>
        <v>0.0629100360763645</v>
      </c>
    </row>
    <row r="647" spans="1:10">
      <c r="A647" s="4" cm="1">
        <f t="array" ref="A647">SUM(POWER(pima_data!A647:H647,2))</f>
        <v>56027.759809</v>
      </c>
      <c r="B647" s="4">
        <f t="shared" si="10"/>
        <v>236.701837358733</v>
      </c>
      <c r="C647" s="5">
        <f>pima_data!A647/$B647</f>
        <v>0.00422472428249238</v>
      </c>
      <c r="D647" s="5">
        <f>pima_data!B647/$B647</f>
        <v>0.705528955176227</v>
      </c>
      <c r="E647" s="5">
        <f>pima_data!C647/$B647</f>
        <v>0.312629596904436</v>
      </c>
      <c r="F647" s="5">
        <f>pima_data!D647/$B647</f>
        <v>0.0718203128023704</v>
      </c>
      <c r="G647" s="5">
        <f>pima_data!E647/$B647</f>
        <v>0.608360296678902</v>
      </c>
      <c r="H647" s="5">
        <f>pima_data!F647/$B647</f>
        <v>0.0988585482103216</v>
      </c>
      <c r="I647" s="5">
        <f>pima_data!G647/$B647</f>
        <v>0.00188845175427409</v>
      </c>
      <c r="J647" s="5">
        <f>pima_data!H647/$B647</f>
        <v>0.139415901322248</v>
      </c>
    </row>
    <row r="648" spans="1:10">
      <c r="A648" s="4" cm="1">
        <f t="array" ref="A648">SUM(POWER(pima_data!A648:H648,2))</f>
        <v>63031.047025</v>
      </c>
      <c r="B648" s="4">
        <f t="shared" si="10"/>
        <v>251.059847496568</v>
      </c>
      <c r="C648" s="5">
        <f>pima_data!A648/$B648</f>
        <v>0</v>
      </c>
      <c r="D648" s="5">
        <f>pima_data!B648/$B648</f>
        <v>0.712977410704621</v>
      </c>
      <c r="E648" s="5">
        <f>pima_data!C648/$B648</f>
        <v>0.19915570131414</v>
      </c>
      <c r="F648" s="5">
        <f>pima_data!D648/$B648</f>
        <v>0.143392104946181</v>
      </c>
      <c r="G648" s="5">
        <f>pima_data!E648/$B648</f>
        <v>0.633315130178965</v>
      </c>
      <c r="H648" s="5">
        <f>pima_data!F648/$B648</f>
        <v>0.15056171019349</v>
      </c>
      <c r="I648" s="5">
        <f>pima_data!G648/$B648</f>
        <v>0.00181231688195867</v>
      </c>
      <c r="J648" s="5">
        <f>pima_data!H648/$B648</f>
        <v>0.0876285085782215</v>
      </c>
    </row>
    <row r="649" spans="1:10">
      <c r="A649" s="4" cm="1">
        <f t="array" ref="A649">SUM(POWER(pima_data!A649:H649,2))</f>
        <v>46362.9576</v>
      </c>
      <c r="B649" s="4">
        <f t="shared" si="10"/>
        <v>215.320592605538</v>
      </c>
      <c r="C649" s="5">
        <f>pima_data!A649/$B649</f>
        <v>0.0510866139967938</v>
      </c>
      <c r="D649" s="5">
        <f>pima_data!B649/$B649</f>
        <v>0.631616318505814</v>
      </c>
      <c r="E649" s="5">
        <f>pima_data!C649/$B649</f>
        <v>0.390115961430062</v>
      </c>
      <c r="F649" s="5">
        <f>pima_data!D649/$B649</f>
        <v>0.162548317262526</v>
      </c>
      <c r="G649" s="5">
        <f>pima_data!E649/$B649</f>
        <v>0.603750892689381</v>
      </c>
      <c r="H649" s="5">
        <f>pima_data!F649/$B649</f>
        <v>0.131431925100842</v>
      </c>
      <c r="I649" s="5">
        <f>pima_data!G649/$B649</f>
        <v>0.00120750178537876</v>
      </c>
      <c r="J649" s="5">
        <f>pima_data!H649/$B649</f>
        <v>0.195057980715031</v>
      </c>
    </row>
    <row r="650" spans="1:10">
      <c r="A650" s="4" cm="1">
        <f t="array" ref="A650">SUM(POWER(pima_data!A650:H650,2))</f>
        <v>16899.977689</v>
      </c>
      <c r="B650" s="4">
        <f t="shared" si="10"/>
        <v>129.999914188433</v>
      </c>
      <c r="C650" s="5">
        <f>pima_data!A650/$B650</f>
        <v>0</v>
      </c>
      <c r="D650" s="5">
        <f>pima_data!B650/$B650</f>
        <v>0.823077466381284</v>
      </c>
      <c r="E650" s="5">
        <f>pima_data!C650/$B650</f>
        <v>0.461538766195113</v>
      </c>
      <c r="F650" s="5">
        <f>pima_data!D650/$B650</f>
        <v>0.192307819247964</v>
      </c>
      <c r="G650" s="5">
        <f>pima_data!E650/$B650</f>
        <v>0</v>
      </c>
      <c r="H650" s="5">
        <f>pima_data!F650/$B650</f>
        <v>0.20307705712585</v>
      </c>
      <c r="I650" s="5">
        <f>pima_data!G650/$B650</f>
        <v>0.00102307759839917</v>
      </c>
      <c r="J650" s="5">
        <f>pima_data!H650/$B650</f>
        <v>0.176923193708127</v>
      </c>
    </row>
    <row r="651" spans="1:10">
      <c r="A651" s="4" cm="1">
        <f t="array" ref="A651">SUM(POWER(pima_data!A651:H651,2))</f>
        <v>22987.094756</v>
      </c>
      <c r="B651" s="4">
        <f t="shared" si="10"/>
        <v>151.614955581565</v>
      </c>
      <c r="C651" s="5">
        <f>pima_data!A651/$B651</f>
        <v>0.00659565539668693</v>
      </c>
      <c r="D651" s="5">
        <f>pima_data!B651/$B651</f>
        <v>0.600204641098511</v>
      </c>
      <c r="E651" s="5">
        <f>pima_data!C651/$B651</f>
        <v>0.356165391421094</v>
      </c>
      <c r="F651" s="5">
        <f>pima_data!D651/$B651</f>
        <v>0.164891384917173</v>
      </c>
      <c r="G651" s="5">
        <f>pima_data!E651/$B651</f>
        <v>0.659565539668693</v>
      </c>
      <c r="H651" s="5">
        <f>pima_data!F651/$B651</f>
        <v>0.166210515996511</v>
      </c>
      <c r="I651" s="5">
        <f>pima_data!G651/$B651</f>
        <v>0.00154338336282474</v>
      </c>
      <c r="J651" s="5">
        <f>pima_data!H651/$B651</f>
        <v>0.151700074123799</v>
      </c>
    </row>
    <row r="652" spans="1:10">
      <c r="A652" s="4" cm="1">
        <f t="array" ref="A652">SUM(POWER(pima_data!A652:H652,2))</f>
        <v>30926.657156</v>
      </c>
      <c r="B652" s="4">
        <f t="shared" si="10"/>
        <v>175.859765597478</v>
      </c>
      <c r="C652" s="5">
        <f>pima_data!A652/$B652</f>
        <v>0.00568634898723156</v>
      </c>
      <c r="D652" s="5">
        <f>pima_data!B652/$B652</f>
        <v>0.665302831506092</v>
      </c>
      <c r="E652" s="5">
        <f>pima_data!C652/$B652</f>
        <v>0.341180939233894</v>
      </c>
      <c r="F652" s="5">
        <f>pima_data!D652/$B652</f>
        <v>0.130786026706326</v>
      </c>
      <c r="G652" s="5">
        <f>pima_data!E652/$B652</f>
        <v>0.602752992646545</v>
      </c>
      <c r="H652" s="5">
        <f>pima_data!F652/$B652</f>
        <v>0.192198595768427</v>
      </c>
      <c r="I652" s="5">
        <f>pima_data!G652/$B652</f>
        <v>0.00264983862804991</v>
      </c>
      <c r="J652" s="5">
        <f>pima_data!H652/$B652</f>
        <v>0.153531422655252</v>
      </c>
    </row>
    <row r="653" spans="1:10">
      <c r="A653" s="4" cm="1">
        <f t="array" ref="A653">SUM(POWER(pima_data!A653:H653,2))</f>
        <v>30105.882361</v>
      </c>
      <c r="B653" s="4">
        <f t="shared" si="10"/>
        <v>173.510467583371</v>
      </c>
      <c r="C653" s="5">
        <f>pima_data!A653/$B653</f>
        <v>0.0288167052376683</v>
      </c>
      <c r="D653" s="5">
        <f>pima_data!B653/$B653</f>
        <v>0.70889094884664</v>
      </c>
      <c r="E653" s="5">
        <f>pima_data!C653/$B653</f>
        <v>0.426487237517491</v>
      </c>
      <c r="F653" s="5">
        <f>pima_data!D653/$B653</f>
        <v>0.230533641901346</v>
      </c>
      <c r="G653" s="5">
        <f>pima_data!E653/$B653</f>
        <v>0.443777260660092</v>
      </c>
      <c r="H653" s="5">
        <f>pima_data!F653/$B653</f>
        <v>0.196529929720898</v>
      </c>
      <c r="I653" s="5">
        <f>pima_data!G653/$B653</f>
        <v>0.00155033874178655</v>
      </c>
      <c r="J653" s="5">
        <f>pima_data!H653/$B653</f>
        <v>0.161373549330943</v>
      </c>
    </row>
    <row r="654" spans="1:10">
      <c r="A654" s="4" cm="1">
        <f t="array" ref="A654">SUM(POWER(pima_data!A654:H654,2))</f>
        <v>18767.447025</v>
      </c>
      <c r="B654" s="4">
        <f t="shared" si="10"/>
        <v>136.994332090784</v>
      </c>
      <c r="C654" s="5">
        <f>pima_data!A654/$B654</f>
        <v>0.0145991441359386</v>
      </c>
      <c r="D654" s="5">
        <f>pima_data!B654/$B654</f>
        <v>0.875948648156319</v>
      </c>
      <c r="E654" s="5">
        <f>pima_data!C654/$B654</f>
        <v>0.394176891670343</v>
      </c>
      <c r="F654" s="5">
        <f>pima_data!D654/$B654</f>
        <v>0</v>
      </c>
      <c r="G654" s="5">
        <f>pima_data!E654/$B654</f>
        <v>0</v>
      </c>
      <c r="H654" s="5">
        <f>pima_data!F654/$B654</f>
        <v>0.195628531421578</v>
      </c>
      <c r="I654" s="5">
        <f>pima_data!G654/$B654</f>
        <v>0.00332130529092604</v>
      </c>
      <c r="J654" s="5">
        <f>pima_data!H654/$B654</f>
        <v>0.197088445835172</v>
      </c>
    </row>
    <row r="655" spans="1:10">
      <c r="A655" s="4" cm="1">
        <f t="array" ref="A655">SUM(POWER(pima_data!A655:H655,2))</f>
        <v>36799.660164</v>
      </c>
      <c r="B655" s="4">
        <f t="shared" si="10"/>
        <v>191.832375171659</v>
      </c>
      <c r="C655" s="5">
        <f>pima_data!A655/$B655</f>
        <v>0.00521288442112633</v>
      </c>
      <c r="D655" s="5">
        <f>pima_data!B655/$B655</f>
        <v>0.55256574863939</v>
      </c>
      <c r="E655" s="5">
        <f>pima_data!C655/$B655</f>
        <v>0.364901909478843</v>
      </c>
      <c r="F655" s="5">
        <f>pima_data!D655/$B655</f>
        <v>0.145960763791537</v>
      </c>
      <c r="G655" s="5">
        <f>pima_data!E655/$B655</f>
        <v>0.703739396852054</v>
      </c>
      <c r="H655" s="5">
        <f>pima_data!F655/$B655</f>
        <v>0.17828064720252</v>
      </c>
      <c r="I655" s="5">
        <f>pima_data!G655/$B655</f>
        <v>0.000740229587799938</v>
      </c>
      <c r="J655" s="5">
        <f>pima_data!H655/$B655</f>
        <v>0.114683457264779</v>
      </c>
    </row>
    <row r="656" spans="1:10">
      <c r="A656" s="4" cm="1">
        <f t="array" ref="A656">SUM(POWER(pima_data!A656:H656,2))</f>
        <v>321184.7476</v>
      </c>
      <c r="B656" s="4">
        <f t="shared" si="10"/>
        <v>566.731636314755</v>
      </c>
      <c r="C656" s="5">
        <f>pima_data!A656/$B656</f>
        <v>0.00352900715584762</v>
      </c>
      <c r="D656" s="5">
        <f>pima_data!B656/$B656</f>
        <v>0.27349805457819</v>
      </c>
      <c r="E656" s="5">
        <f>pima_data!C656/$B656</f>
        <v>0.091754186052038</v>
      </c>
      <c r="F656" s="5">
        <f>pima_data!D656/$B656</f>
        <v>0.0476415966039428</v>
      </c>
      <c r="G656" s="5">
        <f>pima_data!E656/$B656</f>
        <v>0.952831932078856</v>
      </c>
      <c r="H656" s="5">
        <f>pima_data!F656/$B656</f>
        <v>0.0682862884656514</v>
      </c>
      <c r="I656" s="5">
        <f>pima_data!G656/$B656</f>
        <v>0.000423480858701714</v>
      </c>
      <c r="J656" s="5">
        <f>pima_data!H656/$B656</f>
        <v>0.0441125894480952</v>
      </c>
    </row>
    <row r="657" spans="1:10">
      <c r="A657" s="4" cm="1">
        <f t="array" ref="A657">SUM(POWER(pima_data!A657:H657,2))</f>
        <v>23853.264025</v>
      </c>
      <c r="B657" s="4">
        <f t="shared" si="10"/>
        <v>154.445019424389</v>
      </c>
      <c r="C657" s="5">
        <f>pima_data!A657/$B657</f>
        <v>0.0129495920778405</v>
      </c>
      <c r="D657" s="5">
        <f>pima_data!B657/$B657</f>
        <v>0.653954399930947</v>
      </c>
      <c r="E657" s="5">
        <f>pima_data!C657/$B657</f>
        <v>0.375538170257376</v>
      </c>
      <c r="F657" s="5">
        <f>pima_data!D657/$B657</f>
        <v>0.226617861362209</v>
      </c>
      <c r="G657" s="5">
        <f>pima_data!E657/$B657</f>
        <v>0.582731643502824</v>
      </c>
      <c r="H657" s="5">
        <f>pima_data!F657/$B657</f>
        <v>0.141150553648462</v>
      </c>
      <c r="I657" s="5">
        <f>pima_data!G657/$B657</f>
        <v>0.00100359338603264</v>
      </c>
      <c r="J657" s="5">
        <f>pima_data!H657/$B657</f>
        <v>0.142445512856246</v>
      </c>
    </row>
    <row r="658" spans="1:10">
      <c r="A658" s="4" cm="1">
        <f t="array" ref="A658">SUM(POWER(pima_data!A658:H658,2))</f>
        <v>66300.560244</v>
      </c>
      <c r="B658" s="4">
        <f t="shared" si="10"/>
        <v>257.488951693077</v>
      </c>
      <c r="C658" s="5">
        <f>pima_data!A658/$B658</f>
        <v>0.00388366177820314</v>
      </c>
      <c r="D658" s="5">
        <f>pima_data!B658/$B658</f>
        <v>0.466039413384377</v>
      </c>
      <c r="E658" s="5">
        <f>pima_data!C658/$B658</f>
        <v>0.310692942256251</v>
      </c>
      <c r="F658" s="5">
        <f>pima_data!D658/$B658</f>
        <v>0.186415765353751</v>
      </c>
      <c r="G658" s="5">
        <f>pima_data!E658/$B658</f>
        <v>0.776732355640628</v>
      </c>
      <c r="H658" s="5">
        <f>pima_data!F658/$B658</f>
        <v>0.151074443172102</v>
      </c>
      <c r="I658" s="5">
        <f>pima_data!G658/$B658</f>
        <v>0.00451281498627205</v>
      </c>
      <c r="J658" s="5">
        <f>pima_data!H658/$B658</f>
        <v>0.159230132906329</v>
      </c>
    </row>
    <row r="659" spans="1:10">
      <c r="A659" s="4" cm="1">
        <f t="array" ref="A659">SUM(POWER(pima_data!A659:H659,2))</f>
        <v>31608.0361</v>
      </c>
      <c r="B659" s="4">
        <f t="shared" si="10"/>
        <v>177.786490206652</v>
      </c>
      <c r="C659" s="5">
        <f>pima_data!A659/$B659</f>
        <v>0.0618719678149562</v>
      </c>
      <c r="D659" s="5">
        <f>pima_data!B659/$B659</f>
        <v>0.714339992045403</v>
      </c>
      <c r="E659" s="5">
        <f>pima_data!C659/$B659</f>
        <v>0.596220780762305</v>
      </c>
      <c r="F659" s="5">
        <f>pima_data!D659/$B659</f>
        <v>0</v>
      </c>
      <c r="G659" s="5">
        <f>pima_data!E659/$B659</f>
        <v>0</v>
      </c>
      <c r="H659" s="5">
        <f>pima_data!F659/$B659</f>
        <v>0.219364249525754</v>
      </c>
      <c r="I659" s="5">
        <f>pima_data!G659/$B659</f>
        <v>0.0010686976258947</v>
      </c>
      <c r="J659" s="5">
        <f>pima_data!H659/$B659</f>
        <v>0.286860941687524</v>
      </c>
    </row>
    <row r="660" spans="1:10">
      <c r="A660" s="4" cm="1">
        <f t="array" ref="A660">SUM(POWER(pima_data!A660:H660,2))</f>
        <v>20894.309264</v>
      </c>
      <c r="B660" s="4">
        <f t="shared" si="10"/>
        <v>144.54863978606</v>
      </c>
      <c r="C660" s="5">
        <f>pima_data!A660/$B660</f>
        <v>0.0207542596349587</v>
      </c>
      <c r="D660" s="5">
        <f>pima_data!B660/$B660</f>
        <v>0.553446923598898</v>
      </c>
      <c r="E660" s="5">
        <f>pima_data!C660/$B660</f>
        <v>0.567283096688871</v>
      </c>
      <c r="F660" s="5">
        <f>pima_data!D660/$B660</f>
        <v>0.214460682894573</v>
      </c>
      <c r="G660" s="5">
        <f>pima_data!E660/$B660</f>
        <v>0.484266058149036</v>
      </c>
      <c r="H660" s="5">
        <f>pima_data!F660/$B660</f>
        <v>0.236598559838529</v>
      </c>
      <c r="I660" s="5">
        <f>pima_data!G660/$B660</f>
        <v>0.00893816781612221</v>
      </c>
      <c r="J660" s="5">
        <f>pima_data!H660/$B660</f>
        <v>0.186788336714628</v>
      </c>
    </row>
    <row r="661" spans="1:10">
      <c r="A661" s="4" cm="1">
        <f t="array" ref="A661">SUM(POWER(pima_data!A661:H661,2))</f>
        <v>37083.323124</v>
      </c>
      <c r="B661" s="4">
        <f t="shared" si="10"/>
        <v>192.570306963457</v>
      </c>
      <c r="C661" s="5">
        <f>pima_data!A661/$B661</f>
        <v>0.0519290858371932</v>
      </c>
      <c r="D661" s="5">
        <f>pima_data!B661/$B661</f>
        <v>0.84125119056253</v>
      </c>
      <c r="E661" s="5">
        <f>pima_data!C661/$B661</f>
        <v>0.436204321032423</v>
      </c>
      <c r="F661" s="5">
        <f>pima_data!D661/$B661</f>
        <v>0</v>
      </c>
      <c r="G661" s="5">
        <f>pima_data!E661/$B661</f>
        <v>0</v>
      </c>
      <c r="H661" s="5">
        <f>pima_data!F661/$B661</f>
        <v>0.143843567769025</v>
      </c>
      <c r="I661" s="5">
        <f>pima_data!G661/$B661</f>
        <v>0.000945109362236917</v>
      </c>
      <c r="J661" s="5">
        <f>pima_data!H661/$B661</f>
        <v>0.280417063520843</v>
      </c>
    </row>
    <row r="662" spans="1:10">
      <c r="A662" s="4" cm="1">
        <f t="array" ref="A662">SUM(POWER(pima_data!A662:H662,2))</f>
        <v>49553.353236</v>
      </c>
      <c r="B662" s="4">
        <f t="shared" si="10"/>
        <v>222.605824802497</v>
      </c>
      <c r="C662" s="5">
        <f>pima_data!A662/$B662</f>
        <v>0.0044922454337717</v>
      </c>
      <c r="D662" s="5">
        <f>pima_data!B662/$B662</f>
        <v>0.893956841320568</v>
      </c>
      <c r="E662" s="5">
        <f>pima_data!C662/$B662</f>
        <v>0.341410652966649</v>
      </c>
      <c r="F662" s="5">
        <f>pima_data!D662/$B662</f>
        <v>0.193166553652183</v>
      </c>
      <c r="G662" s="5">
        <f>pima_data!E662/$B662</f>
        <v>0</v>
      </c>
      <c r="H662" s="5">
        <f>pima_data!F662/$B662</f>
        <v>0.192717329108806</v>
      </c>
      <c r="I662" s="5">
        <f>pima_data!G662/$B662</f>
        <v>0.00626219013467775</v>
      </c>
      <c r="J662" s="5">
        <f>pima_data!H662/$B662</f>
        <v>0.0988293995429774</v>
      </c>
    </row>
    <row r="663" spans="1:10">
      <c r="A663" s="4" cm="1">
        <f t="array" ref="A663">SUM(POWER(pima_data!A663:H663,2))</f>
        <v>97928.787225</v>
      </c>
      <c r="B663" s="4">
        <f t="shared" si="10"/>
        <v>312.935755747086</v>
      </c>
      <c r="C663" s="5">
        <f>pima_data!A663/$B663</f>
        <v>0.0255643525965936</v>
      </c>
      <c r="D663" s="5">
        <f>pima_data!B663/$B663</f>
        <v>0.533655860453891</v>
      </c>
      <c r="E663" s="5">
        <f>pima_data!C663/$B663</f>
        <v>0.338727671904865</v>
      </c>
      <c r="F663" s="5">
        <f>pima_data!D663/$B663</f>
        <v>0.146995027430413</v>
      </c>
      <c r="G663" s="5">
        <f>pima_data!E663/$B663</f>
        <v>0.73817068122664</v>
      </c>
      <c r="H663" s="5">
        <f>pima_data!F663/$B663</f>
        <v>0.12015245720399</v>
      </c>
      <c r="I663" s="5">
        <f>pima_data!G663/$B663</f>
        <v>0.000527264772304743</v>
      </c>
      <c r="J663" s="5">
        <f>pima_data!H663/$B663</f>
        <v>0.137408395206691</v>
      </c>
    </row>
    <row r="664" spans="1:10">
      <c r="A664" s="4" cm="1">
        <f t="array" ref="A664">SUM(POWER(pima_data!A664:H664,2))</f>
        <v>49558.815769</v>
      </c>
      <c r="B664" s="4">
        <f t="shared" si="10"/>
        <v>222.618093983845</v>
      </c>
      <c r="C664" s="5">
        <f>pima_data!A664/$B664</f>
        <v>0.0404279806683329</v>
      </c>
      <c r="D664" s="5">
        <f>pima_data!B664/$B664</f>
        <v>0.651339688545364</v>
      </c>
      <c r="E664" s="5">
        <f>pima_data!C664/$B664</f>
        <v>0.359359828162959</v>
      </c>
      <c r="F664" s="5">
        <f>pima_data!D664/$B664</f>
        <v>0.206631901193702</v>
      </c>
      <c r="G664" s="5">
        <f>pima_data!E664/$B664</f>
        <v>0.583959720764809</v>
      </c>
      <c r="H664" s="5">
        <f>pima_data!F664/$B664</f>
        <v>0.170246718592202</v>
      </c>
      <c r="I664" s="5">
        <f>pima_data!G664/$B664</f>
        <v>0.00286140263174756</v>
      </c>
      <c r="J664" s="5">
        <f>pima_data!H664/$B664</f>
        <v>0.17967991408148</v>
      </c>
    </row>
    <row r="665" spans="1:10">
      <c r="A665" s="4" cm="1">
        <f t="array" ref="A665">SUM(POWER(pima_data!A665:H665,2))</f>
        <v>21117.750025</v>
      </c>
      <c r="B665" s="4">
        <f t="shared" si="10"/>
        <v>145.319475725038</v>
      </c>
      <c r="C665" s="5">
        <f>pima_data!A665/$B665</f>
        <v>0.0412883405342909</v>
      </c>
      <c r="D665" s="5">
        <f>pima_data!B665/$B665</f>
        <v>0.791359860240575</v>
      </c>
      <c r="E665" s="5">
        <f>pima_data!C665/$B665</f>
        <v>0.412883405342909</v>
      </c>
      <c r="F665" s="5">
        <f>pima_data!D665/$B665</f>
        <v>0.268374213472891</v>
      </c>
      <c r="G665" s="5">
        <f>pima_data!E665/$B665</f>
        <v>0</v>
      </c>
      <c r="H665" s="5">
        <f>pima_data!F665/$B665</f>
        <v>0.231902846000934</v>
      </c>
      <c r="I665" s="5">
        <f>pima_data!G665/$B665</f>
        <v>0.00168594057181688</v>
      </c>
      <c r="J665" s="5">
        <f>pima_data!H665/$B665</f>
        <v>0.275255603561939</v>
      </c>
    </row>
    <row r="666" spans="1:10">
      <c r="A666" s="4" cm="1">
        <f t="array" ref="A666">SUM(POWER(pima_data!A666:H666,2))</f>
        <v>40181.087089</v>
      </c>
      <c r="B666" s="4">
        <f t="shared" si="10"/>
        <v>200.452206495713</v>
      </c>
      <c r="C666" s="5">
        <f>pima_data!A666/$B666</f>
        <v>0.00498872034128188</v>
      </c>
      <c r="D666" s="5">
        <f>pima_data!B666/$B666</f>
        <v>0.558736678223571</v>
      </c>
      <c r="E666" s="5">
        <f>pima_data!C666/$B666</f>
        <v>0.399097627302551</v>
      </c>
      <c r="F666" s="5">
        <f>pima_data!D666/$B666</f>
        <v>0.224492415357685</v>
      </c>
      <c r="G666" s="5">
        <f>pima_data!E666/$B666</f>
        <v>0.658511085049208</v>
      </c>
      <c r="H666" s="5">
        <f>pima_data!F666/$B666</f>
        <v>0.173607467876609</v>
      </c>
      <c r="I666" s="5">
        <f>pima_data!G666/$B666</f>
        <v>0.00108255231405817</v>
      </c>
      <c r="J666" s="5">
        <f>pima_data!H666/$B666</f>
        <v>0.119729288190765</v>
      </c>
    </row>
    <row r="667" spans="1:10">
      <c r="A667" s="4" cm="1">
        <f t="array" ref="A667">SUM(POWER(pima_data!A667:H667,2))</f>
        <v>34045.305225</v>
      </c>
      <c r="B667" s="4">
        <f t="shared" si="10"/>
        <v>184.513699288156</v>
      </c>
      <c r="C667" s="5">
        <f>pima_data!A667/$B667</f>
        <v>0.0216786071464167</v>
      </c>
      <c r="D667" s="5">
        <f>pima_data!B667/$B667</f>
        <v>0.785849509057606</v>
      </c>
      <c r="E667" s="5">
        <f>pima_data!C667/$B667</f>
        <v>0.444411446501543</v>
      </c>
      <c r="F667" s="5">
        <f>pima_data!D667/$B667</f>
        <v>0.0975537321588752</v>
      </c>
      <c r="G667" s="5">
        <f>pima_data!E667/$B667</f>
        <v>0</v>
      </c>
      <c r="H667" s="5">
        <f>pima_data!F667/$B667</f>
        <v>0.176138683064636</v>
      </c>
      <c r="I667" s="5">
        <f>pima_data!G667/$B667</f>
        <v>0.00127361816985198</v>
      </c>
      <c r="J667" s="5">
        <f>pima_data!H667/$B667</f>
        <v>0.379375625062293</v>
      </c>
    </row>
    <row r="668" spans="1:10">
      <c r="A668" s="4" cm="1">
        <f t="array" ref="A668">SUM(POWER(pima_data!A668:H668,2))</f>
        <v>20406.269881</v>
      </c>
      <c r="B668" s="4">
        <f t="shared" si="10"/>
        <v>142.850515858362</v>
      </c>
      <c r="C668" s="5">
        <f>pima_data!A668/$B668</f>
        <v>0.0700032473800455</v>
      </c>
      <c r="D668" s="5">
        <f>pima_data!B668/$B668</f>
        <v>0.777036045918505</v>
      </c>
      <c r="E668" s="5">
        <f>pima_data!C668/$B668</f>
        <v>0.490022731660319</v>
      </c>
      <c r="F668" s="5">
        <f>pima_data!D668/$B668</f>
        <v>0.189008767926123</v>
      </c>
      <c r="G668" s="5">
        <f>pima_data!E668/$B668</f>
        <v>0</v>
      </c>
      <c r="H668" s="5">
        <f>pima_data!F668/$B668</f>
        <v>0.192508930295125</v>
      </c>
      <c r="I668" s="5">
        <f>pima_data!G668/$B668</f>
        <v>0.000987045788058642</v>
      </c>
      <c r="J668" s="5">
        <f>pima_data!H668/$B668</f>
        <v>0.280012989520182</v>
      </c>
    </row>
    <row r="669" spans="1:10">
      <c r="A669" s="4" cm="1">
        <f t="array" ref="A669">SUM(POWER(pima_data!A669:H669,2))</f>
        <v>53198.1849</v>
      </c>
      <c r="B669" s="4">
        <f t="shared" si="10"/>
        <v>230.647317131589</v>
      </c>
      <c r="C669" s="5">
        <f>pima_data!A669/$B669</f>
        <v>0.026013742863425</v>
      </c>
      <c r="D669" s="5">
        <f>pima_data!B669/$B669</f>
        <v>0.424891133435941</v>
      </c>
      <c r="E669" s="5">
        <f>pima_data!C669/$B669</f>
        <v>0.251466181013108</v>
      </c>
      <c r="F669" s="5">
        <f>pima_data!D669/$B669</f>
        <v>0.143075585748837</v>
      </c>
      <c r="G669" s="5">
        <f>pima_data!E669/$B669</f>
        <v>0.823768524008457</v>
      </c>
      <c r="H669" s="5">
        <f>pima_data!F669/$B669</f>
        <v>0.147411209559408</v>
      </c>
      <c r="I669" s="5">
        <f>pima_data!G669/$B669</f>
        <v>0.00186431823854546</v>
      </c>
      <c r="J669" s="5">
        <f>pima_data!H669/$B669</f>
        <v>0.186431823854546</v>
      </c>
    </row>
    <row r="670" spans="1:10">
      <c r="A670" s="4" cm="1">
        <f t="array" ref="A670">SUM(POWER(pima_data!A670:H670,2))</f>
        <v>43760.836896</v>
      </c>
      <c r="B670" s="4">
        <f t="shared" si="10"/>
        <v>209.19091016581</v>
      </c>
      <c r="C670" s="5">
        <f>pima_data!A670/$B670</f>
        <v>0.0430229018692369</v>
      </c>
      <c r="D670" s="5">
        <f>pima_data!B670/$B670</f>
        <v>0.736169654206943</v>
      </c>
      <c r="E670" s="5">
        <f>pima_data!C670/$B670</f>
        <v>0.372865149533387</v>
      </c>
      <c r="F670" s="5">
        <f>pima_data!D670/$B670</f>
        <v>0.143409672897456</v>
      </c>
      <c r="G670" s="5">
        <f>pima_data!E670/$B670</f>
        <v>0.478032242991521</v>
      </c>
      <c r="H670" s="5">
        <f>pima_data!F670/$B670</f>
        <v>0.14771196308438</v>
      </c>
      <c r="I670" s="5">
        <f>pima_data!G670/$B670</f>
        <v>0.000783972878506095</v>
      </c>
      <c r="J670" s="5">
        <f>pima_data!H670/$B670</f>
        <v>0.215114509346185</v>
      </c>
    </row>
    <row r="671" spans="1:10">
      <c r="A671" s="4" cm="1">
        <f t="array" ref="A671">SUM(POWER(pima_data!A671:H671,2))</f>
        <v>64315.358161</v>
      </c>
      <c r="B671" s="4">
        <f t="shared" si="10"/>
        <v>253.604728191333</v>
      </c>
      <c r="C671" s="5">
        <f>pima_data!A671/$B671</f>
        <v>0.0236588648910097</v>
      </c>
      <c r="D671" s="5">
        <f>pima_data!B671/$B671</f>
        <v>0.650618784502768</v>
      </c>
      <c r="E671" s="5">
        <f>pima_data!C671/$B671</f>
        <v>0.26813380209811</v>
      </c>
      <c r="F671" s="5">
        <f>pima_data!D671/$B671</f>
        <v>0.102521747861042</v>
      </c>
      <c r="G671" s="5">
        <f>pima_data!E671/$B671</f>
        <v>0.662448216948273</v>
      </c>
      <c r="H671" s="5">
        <f>pima_data!F671/$B671</f>
        <v>0.132489643389655</v>
      </c>
      <c r="I671" s="5">
        <f>pima_data!G671/$B671</f>
        <v>0.00248812395770452</v>
      </c>
      <c r="J671" s="5">
        <f>pima_data!H671/$B671</f>
        <v>0.19321406327658</v>
      </c>
    </row>
    <row r="672" spans="1:10">
      <c r="A672" s="4" cm="1">
        <f t="array" ref="A672">SUM(POWER(pima_data!A672:H672,2))</f>
        <v>14352.463601</v>
      </c>
      <c r="B672" s="4">
        <f t="shared" si="10"/>
        <v>119.801767937706</v>
      </c>
      <c r="C672" s="5">
        <f>pima_data!A672/$B672</f>
        <v>0.00834712222711083</v>
      </c>
      <c r="D672" s="5">
        <f>pima_data!B672/$B672</f>
        <v>0.826365100483972</v>
      </c>
      <c r="E672" s="5">
        <f>pima_data!C672/$B672</f>
        <v>0.484133089172428</v>
      </c>
      <c r="F672" s="5">
        <f>pima_data!D672/$B672</f>
        <v>0.0834712222711082</v>
      </c>
      <c r="G672" s="5">
        <f>pima_data!E672/$B672</f>
        <v>0</v>
      </c>
      <c r="H672" s="5">
        <f>pima_data!F672/$B672</f>
        <v>0.212016904568615</v>
      </c>
      <c r="I672" s="5">
        <f>pima_data!G672/$B672</f>
        <v>0.00459926434713806</v>
      </c>
      <c r="J672" s="5">
        <f>pima_data!H672/$B672</f>
        <v>0.175289566769327</v>
      </c>
    </row>
    <row r="673" spans="1:10">
      <c r="A673" s="4" cm="1">
        <f t="array" ref="A673">SUM(POWER(pima_data!A673:H673,2))</f>
        <v>22359.331225</v>
      </c>
      <c r="B673" s="4">
        <f t="shared" si="10"/>
        <v>149.53036890545</v>
      </c>
      <c r="C673" s="5">
        <f>pima_data!A673/$B673</f>
        <v>0.0668760471414547</v>
      </c>
      <c r="D673" s="5">
        <f>pima_data!B673/$B673</f>
        <v>0.454757120561892</v>
      </c>
      <c r="E673" s="5">
        <f>pima_data!C673/$B673</f>
        <v>0.70888609969942</v>
      </c>
      <c r="F673" s="5">
        <f>pima_data!D673/$B673</f>
        <v>0.153814908425346</v>
      </c>
      <c r="G673" s="5">
        <f>pima_data!E673/$B673</f>
        <v>0.327692630993128</v>
      </c>
      <c r="H673" s="5">
        <f>pima_data!F673/$B673</f>
        <v>0.237409967352164</v>
      </c>
      <c r="I673" s="5">
        <f>pima_data!G673/$B673</f>
        <v>0.00190596734353146</v>
      </c>
      <c r="J673" s="5">
        <f>pima_data!H673/$B673</f>
        <v>0.314317421564837</v>
      </c>
    </row>
    <row r="674" spans="1:10">
      <c r="A674" s="4" cm="1">
        <f t="array" ref="A674">SUM(POWER(pima_data!A674:H674,2))</f>
        <v>87731.0644</v>
      </c>
      <c r="B674" s="4">
        <f t="shared" si="10"/>
        <v>296.194301768282</v>
      </c>
      <c r="C674" s="5">
        <f>pima_data!A674/$B674</f>
        <v>0.0101284865444405</v>
      </c>
      <c r="D674" s="5">
        <f>pima_data!B674/$B674</f>
        <v>0.415267948322062</v>
      </c>
      <c r="E674" s="5">
        <f>pima_data!C674/$B674</f>
        <v>0.337616218148018</v>
      </c>
      <c r="F674" s="5">
        <f>pima_data!D674/$B674</f>
        <v>0.118165676351806</v>
      </c>
      <c r="G674" s="5">
        <f>pima_data!E674/$B674</f>
        <v>0.810278923555242</v>
      </c>
      <c r="H674" s="5">
        <f>pima_data!F674/$B674</f>
        <v>0.193454092998814</v>
      </c>
      <c r="I674" s="5">
        <f>pima_data!G674/$B674</f>
        <v>0.00297102271970256</v>
      </c>
      <c r="J674" s="5">
        <f>pima_data!H674/$B674</f>
        <v>0.0742755679925639</v>
      </c>
    </row>
    <row r="675" spans="1:10">
      <c r="A675" s="4" cm="1">
        <f t="array" ref="A675">SUM(POWER(pima_data!A675:H675,2))</f>
        <v>20960.704569</v>
      </c>
      <c r="B675" s="4">
        <f t="shared" si="10"/>
        <v>144.778121858933</v>
      </c>
      <c r="C675" s="5">
        <f>pima_data!A675/$B675</f>
        <v>0.0552569676777196</v>
      </c>
      <c r="D675" s="5">
        <f>pima_data!B675/$B675</f>
        <v>0.62854800733406</v>
      </c>
      <c r="E675" s="5">
        <f>pima_data!C675/$B675</f>
        <v>0.566383918696626</v>
      </c>
      <c r="F675" s="5">
        <f>pima_data!D675/$B675</f>
        <v>0</v>
      </c>
      <c r="G675" s="5">
        <f>pima_data!E675/$B675</f>
        <v>0</v>
      </c>
      <c r="H675" s="5">
        <f>pima_data!F675/$B675</f>
        <v>0.245893506165852</v>
      </c>
      <c r="I675" s="5">
        <f>pima_data!G675/$B675</f>
        <v>0.00405448000335267</v>
      </c>
      <c r="J675" s="5">
        <f>pima_data!H675/$B675</f>
        <v>0.469684225260617</v>
      </c>
    </row>
    <row r="676" spans="1:10">
      <c r="A676" s="4" cm="1">
        <f t="array" ref="A676">SUM(POWER(pima_data!A676:H676,2))</f>
        <v>44876.917584</v>
      </c>
      <c r="B676" s="4">
        <f t="shared" si="10"/>
        <v>211.841727674224</v>
      </c>
      <c r="C676" s="5">
        <f>pima_data!A676/$B676</f>
        <v>0.0283230318496409</v>
      </c>
      <c r="D676" s="5">
        <f>pima_data!B676/$B676</f>
        <v>0.92049853511333</v>
      </c>
      <c r="E676" s="5">
        <f>pima_data!C676/$B676</f>
        <v>0.330435371579144</v>
      </c>
      <c r="F676" s="5">
        <f>pima_data!D676/$B676</f>
        <v>0</v>
      </c>
      <c r="G676" s="5">
        <f>pima_data!E676/$B676</f>
        <v>0</v>
      </c>
      <c r="H676" s="5">
        <f>pima_data!F676/$B676</f>
        <v>0.145863614025651</v>
      </c>
      <c r="I676" s="5">
        <f>pima_data!G676/$B676</f>
        <v>0.0015483257411137</v>
      </c>
      <c r="J676" s="5">
        <f>pima_data!H676/$B676</f>
        <v>0.146335664556478</v>
      </c>
    </row>
    <row r="677" spans="1:10">
      <c r="A677" s="4" cm="1">
        <f t="array" ref="A677">SUM(POWER(pima_data!A677:H677,2))</f>
        <v>35237.0929</v>
      </c>
      <c r="B677" s="4">
        <f t="shared" si="10"/>
        <v>187.7154572751</v>
      </c>
      <c r="C677" s="5">
        <f>pima_data!A677/$B677</f>
        <v>0.0479449062461081</v>
      </c>
      <c r="D677" s="5">
        <f>pima_data!B677/$B677</f>
        <v>0.831045041599208</v>
      </c>
      <c r="E677" s="5">
        <f>pima_data!C677/$B677</f>
        <v>0.458140215240589</v>
      </c>
      <c r="F677" s="5">
        <f>pima_data!D677/$B677</f>
        <v>0</v>
      </c>
      <c r="G677" s="5">
        <f>pima_data!E677/$B677</f>
        <v>0</v>
      </c>
      <c r="H677" s="5">
        <f>pima_data!F677/$B677</f>
        <v>0.132114852767054</v>
      </c>
      <c r="I677" s="5">
        <f>pima_data!G677/$B677</f>
        <v>0.00122525871517832</v>
      </c>
      <c r="J677" s="5">
        <f>pima_data!H677/$B677</f>
        <v>0.282342225671526</v>
      </c>
    </row>
    <row r="678" spans="1:10">
      <c r="A678" s="4" cm="1">
        <f t="array" ref="A678">SUM(POWER(pima_data!A678:H678,2))</f>
        <v>14120.159169</v>
      </c>
      <c r="B678" s="4">
        <f t="shared" si="10"/>
        <v>118.828275965782</v>
      </c>
      <c r="C678" s="5">
        <f>pima_data!A678/$B678</f>
        <v>0</v>
      </c>
      <c r="D678" s="5">
        <f>pima_data!B678/$B678</f>
        <v>0.782642003716191</v>
      </c>
      <c r="E678" s="5">
        <f>pima_data!C678/$B678</f>
        <v>0.504930324978188</v>
      </c>
      <c r="F678" s="5">
        <f>pima_data!D678/$B678</f>
        <v>0</v>
      </c>
      <c r="G678" s="5">
        <f>pima_data!E678/$B678</f>
        <v>0</v>
      </c>
      <c r="H678" s="5">
        <f>pima_data!F678/$B678</f>
        <v>0.2970673411955</v>
      </c>
      <c r="I678" s="5">
        <f>pima_data!G678/$B678</f>
        <v>0.00221327792448772</v>
      </c>
      <c r="J678" s="5">
        <f>pima_data!H678/$B678</f>
        <v>0.210387635407578</v>
      </c>
    </row>
    <row r="679" spans="1:10">
      <c r="A679" s="4" cm="1">
        <f t="array" ref="A679">SUM(POWER(pima_data!A679:H679,2))</f>
        <v>19275.016129</v>
      </c>
      <c r="B679" s="4">
        <f t="shared" si="10"/>
        <v>138.834491856311</v>
      </c>
      <c r="C679" s="5">
        <f>pima_data!A679/$B679</f>
        <v>0.0216084631411689</v>
      </c>
      <c r="D679" s="5">
        <f>pima_data!B679/$B679</f>
        <v>0.871541346693811</v>
      </c>
      <c r="E679" s="5">
        <f>pima_data!C679/$B679</f>
        <v>0.374546694446927</v>
      </c>
      <c r="F679" s="5">
        <f>pima_data!D679/$B679</f>
        <v>0</v>
      </c>
      <c r="G679" s="5">
        <f>pima_data!E679/$B679</f>
        <v>0</v>
      </c>
      <c r="H679" s="5">
        <f>pima_data!F679/$B679</f>
        <v>0.259301557694027</v>
      </c>
      <c r="I679" s="5">
        <f>pima_data!G679/$B679</f>
        <v>0.000914758272976149</v>
      </c>
      <c r="J679" s="5">
        <f>pima_data!H679/$B679</f>
        <v>0.180070526176407</v>
      </c>
    </row>
    <row r="680" spans="1:10">
      <c r="A680" s="4" cm="1">
        <f t="array" ref="A680">SUM(POWER(pima_data!A680:H680,2))</f>
        <v>85198.016996</v>
      </c>
      <c r="B680" s="4">
        <f t="shared" si="10"/>
        <v>291.886993536882</v>
      </c>
      <c r="C680" s="5">
        <f>pima_data!A680/$B680</f>
        <v>0.00685196683745788</v>
      </c>
      <c r="D680" s="5">
        <f>pima_data!B680/$B680</f>
        <v>0.346024325291623</v>
      </c>
      <c r="E680" s="5">
        <f>pima_data!C680/$B680</f>
        <v>0.198707038286278</v>
      </c>
      <c r="F680" s="5">
        <f>pima_data!D680/$B680</f>
        <v>0.058241718118392</v>
      </c>
      <c r="G680" s="5">
        <f>pima_data!E680/$B680</f>
        <v>0.907885605963169</v>
      </c>
      <c r="H680" s="5">
        <f>pima_data!F680/$B680</f>
        <v>0.0829087987332403</v>
      </c>
      <c r="I680" s="5">
        <f>pima_data!G680/$B680</f>
        <v>0.00210355381909957</v>
      </c>
      <c r="J680" s="5">
        <f>pima_data!H680/$B680</f>
        <v>0.0787976186307656</v>
      </c>
    </row>
    <row r="681" spans="1:10">
      <c r="A681" s="4" cm="1">
        <f t="array" ref="A681">SUM(POWER(pima_data!A681:H681,2))</f>
        <v>10154.750224</v>
      </c>
      <c r="B681" s="4">
        <f t="shared" si="10"/>
        <v>100.770780606285</v>
      </c>
      <c r="C681" s="5">
        <f>pima_data!A681/$B681</f>
        <v>0.0198470229958233</v>
      </c>
      <c r="D681" s="5">
        <f>pima_data!B681/$B681</f>
        <v>0.555716643883052</v>
      </c>
      <c r="E681" s="5">
        <f>pima_data!C681/$B681</f>
        <v>0.555716643883052</v>
      </c>
      <c r="F681" s="5">
        <f>pima_data!D681/$B681</f>
        <v>0.277858321941526</v>
      </c>
      <c r="G681" s="5">
        <f>pima_data!E681/$B681</f>
        <v>0.446558017406024</v>
      </c>
      <c r="H681" s="5">
        <f>pima_data!F681/$B681</f>
        <v>0.240148978249462</v>
      </c>
      <c r="I681" s="5">
        <f>pima_data!G681/$B681</f>
        <v>0.00329460581730667</v>
      </c>
      <c r="J681" s="5">
        <f>pima_data!H681/$B681</f>
        <v>0.218317252954056</v>
      </c>
    </row>
    <row r="682" spans="1:10">
      <c r="A682" s="4" cm="1">
        <f t="array" ref="A682">SUM(POWER(pima_data!A682:H682,2))</f>
        <v>36452.292496</v>
      </c>
      <c r="B682" s="4">
        <f t="shared" si="10"/>
        <v>190.924834675848</v>
      </c>
      <c r="C682" s="5">
        <f>pima_data!A682/$B682</f>
        <v>0</v>
      </c>
      <c r="D682" s="5">
        <f>pima_data!B682/$B682</f>
        <v>0.848501454905242</v>
      </c>
      <c r="E682" s="5">
        <f>pima_data!C682/$B682</f>
        <v>0.3980624109432</v>
      </c>
      <c r="F682" s="5">
        <f>pima_data!D682/$B682</f>
        <v>0.188555878867831</v>
      </c>
      <c r="G682" s="5">
        <f>pima_data!E682/$B682</f>
        <v>0</v>
      </c>
      <c r="H682" s="5">
        <f>pima_data!F682/$B682</f>
        <v>0.259788099773457</v>
      </c>
      <c r="I682" s="5">
        <f>pima_data!G682/$B682</f>
        <v>0.00190650944188585</v>
      </c>
      <c r="J682" s="5">
        <f>pima_data!H682/$B682</f>
        <v>0.136179245848989</v>
      </c>
    </row>
    <row r="683" spans="1:10">
      <c r="A683" s="4" cm="1">
        <f t="array" ref="A683">SUM(POWER(pima_data!A683:H683,2))</f>
        <v>28140.293956</v>
      </c>
      <c r="B683" s="4">
        <f t="shared" si="10"/>
        <v>167.750689882337</v>
      </c>
      <c r="C683" s="5">
        <f>pima_data!A683/$B683</f>
        <v>0</v>
      </c>
      <c r="D683" s="5">
        <f>pima_data!B683/$B683</f>
        <v>0.566316597962336</v>
      </c>
      <c r="E683" s="5">
        <f>pima_data!C683/$B683</f>
        <v>0.381518550206206</v>
      </c>
      <c r="F683" s="5">
        <f>pima_data!D683/$B683</f>
        <v>0.232487866531906</v>
      </c>
      <c r="G683" s="5">
        <f>pima_data!E683/$B683</f>
        <v>0.625928871432056</v>
      </c>
      <c r="H683" s="5">
        <f>pima_data!F683/$B683</f>
        <v>0.265870739674949</v>
      </c>
      <c r="I683" s="5">
        <f>pima_data!G683/$B683</f>
        <v>0.00218180920899174</v>
      </c>
      <c r="J683" s="5">
        <f>pima_data!H683/$B683</f>
        <v>0.131147001633383</v>
      </c>
    </row>
    <row r="684" spans="1:10">
      <c r="A684" s="4" cm="1">
        <f t="array" ref="A684">SUM(POWER(pima_data!A684:H684,2))</f>
        <v>23813.577296</v>
      </c>
      <c r="B684" s="4">
        <f t="shared" si="10"/>
        <v>154.31648420049</v>
      </c>
      <c r="C684" s="5">
        <f>pima_data!A684/$B684</f>
        <v>0.0259207564293854</v>
      </c>
      <c r="D684" s="5">
        <f>pima_data!B684/$B684</f>
        <v>0.810023638418295</v>
      </c>
      <c r="E684" s="5">
        <f>pima_data!C684/$B684</f>
        <v>0.518415128587709</v>
      </c>
      <c r="F684" s="5">
        <f>pima_data!D684/$B684</f>
        <v>0</v>
      </c>
      <c r="G684" s="5">
        <f>pima_data!E684/$B684</f>
        <v>0</v>
      </c>
      <c r="H684" s="5">
        <f>pima_data!F684/$B684</f>
        <v>0.209310108167287</v>
      </c>
      <c r="I684" s="5">
        <f>pima_data!G684/$B684</f>
        <v>0.00347338136153765</v>
      </c>
      <c r="J684" s="5">
        <f>pima_data!H684/$B684</f>
        <v>0.174965105898352</v>
      </c>
    </row>
    <row r="685" spans="1:10">
      <c r="A685" s="4" cm="1">
        <f t="array" ref="A685">SUM(POWER(pima_data!A685:H685,2))</f>
        <v>30006.4096</v>
      </c>
      <c r="B685" s="4">
        <f t="shared" si="10"/>
        <v>173.223582690118</v>
      </c>
      <c r="C685" s="5">
        <f>pima_data!A685/$B685</f>
        <v>0.0288644301333068</v>
      </c>
      <c r="D685" s="5">
        <f>pima_data!B685/$B685</f>
        <v>0.785112499625946</v>
      </c>
      <c r="E685" s="5">
        <f>pima_data!C685/$B685</f>
        <v>0.473376654186232</v>
      </c>
      <c r="F685" s="5">
        <f>pima_data!D685/$B685</f>
        <v>0</v>
      </c>
      <c r="G685" s="5">
        <f>pima_data!E685/$B685</f>
        <v>0</v>
      </c>
      <c r="H685" s="5">
        <f>pima_data!F685/$B685</f>
        <v>0</v>
      </c>
      <c r="I685" s="5">
        <f>pima_data!G685/$B685</f>
        <v>0.00369464705706328</v>
      </c>
      <c r="J685" s="5">
        <f>pima_data!H685/$B685</f>
        <v>0.398329135839634</v>
      </c>
    </row>
    <row r="686" spans="1:10">
      <c r="A686" s="4" cm="1">
        <f t="array" ref="A686">SUM(POWER(pima_data!A686:H686,2))</f>
        <v>66549.589281</v>
      </c>
      <c r="B686" s="4">
        <f t="shared" si="10"/>
        <v>257.972070738287</v>
      </c>
      <c r="C686" s="5">
        <f>pima_data!A686/$B686</f>
        <v>0.00775277724552205</v>
      </c>
      <c r="D686" s="5">
        <f>pima_data!B686/$B686</f>
        <v>0.500054132336172</v>
      </c>
      <c r="E686" s="5">
        <f>pima_data!C686/$B686</f>
        <v>0.286852758084316</v>
      </c>
      <c r="F686" s="5">
        <f>pima_data!D686/$B686</f>
        <v>0.100786104191787</v>
      </c>
      <c r="G686" s="5">
        <f>pima_data!E686/$B686</f>
        <v>0.79465966766601</v>
      </c>
      <c r="H686" s="5">
        <f>pima_data!F686/$B686</f>
        <v>0.128696102275666</v>
      </c>
      <c r="I686" s="5">
        <f>pima_data!G686/$B686</f>
        <v>0.00229094567605177</v>
      </c>
      <c r="J686" s="5">
        <f>pima_data!H686/$B686</f>
        <v>0.0969097155690256</v>
      </c>
    </row>
    <row r="687" spans="1:10">
      <c r="A687" s="4" cm="1">
        <f t="array" ref="A687">SUM(POWER(pima_data!A687:H687,2))</f>
        <v>22022.708596</v>
      </c>
      <c r="B687" s="4">
        <f t="shared" si="10"/>
        <v>148.400500659533</v>
      </c>
      <c r="C687" s="5">
        <f>pima_data!A687/$B687</f>
        <v>0.0202155652215941</v>
      </c>
      <c r="D687" s="5">
        <f>pima_data!B687/$B687</f>
        <v>0.876007826269077</v>
      </c>
      <c r="E687" s="5">
        <f>pima_data!C687/$B687</f>
        <v>0.431265391394007</v>
      </c>
      <c r="F687" s="5">
        <f>pima_data!D687/$B687</f>
        <v>0</v>
      </c>
      <c r="G687" s="5">
        <f>pima_data!E687/$B687</f>
        <v>0</v>
      </c>
      <c r="H687" s="5">
        <f>pima_data!F687/$B687</f>
        <v>0.155659852206274</v>
      </c>
      <c r="I687" s="5">
        <f>pima_data!G687/$B687</f>
        <v>0.00211589582652685</v>
      </c>
      <c r="J687" s="5">
        <f>pima_data!H687/$B687</f>
        <v>0.14824747829169</v>
      </c>
    </row>
    <row r="688" spans="1:10">
      <c r="A688" s="4" cm="1">
        <f t="array" ref="A688">SUM(POWER(pima_data!A688:H688,2))</f>
        <v>15952.922761</v>
      </c>
      <c r="B688" s="4">
        <f t="shared" si="10"/>
        <v>126.30488019471</v>
      </c>
      <c r="C688" s="5">
        <f>pima_data!A688/$B688</f>
        <v>0.00791735044962961</v>
      </c>
      <c r="D688" s="5">
        <f>pima_data!B688/$B688</f>
        <v>0.847156498110369</v>
      </c>
      <c r="E688" s="5">
        <f>pima_data!C688/$B688</f>
        <v>0.395867522481481</v>
      </c>
      <c r="F688" s="5">
        <f>pima_data!D688/$B688</f>
        <v>0.150429658542963</v>
      </c>
      <c r="G688" s="5">
        <f>pima_data!E688/$B688</f>
        <v>0</v>
      </c>
      <c r="H688" s="5">
        <f>pima_data!F688/$B688</f>
        <v>0.224061017724518</v>
      </c>
      <c r="I688" s="5">
        <f>pima_data!G688/$B688</f>
        <v>0.00143304043138296</v>
      </c>
      <c r="J688" s="5">
        <f>pima_data!H688/$B688</f>
        <v>0.229603163039259</v>
      </c>
    </row>
    <row r="689" spans="1:10">
      <c r="A689" s="4" cm="1">
        <f t="array" ref="A689">SUM(POWER(pima_data!A689:H689,2))</f>
        <v>59263.495584</v>
      </c>
      <c r="B689" s="4">
        <f t="shared" si="10"/>
        <v>243.440948864401</v>
      </c>
      <c r="C689" s="5">
        <f>pima_data!A689/$B689</f>
        <v>0.00410777235573876</v>
      </c>
      <c r="D689" s="5">
        <f>pima_data!B689/$B689</f>
        <v>0.575088129803426</v>
      </c>
      <c r="E689" s="5">
        <f>pima_data!C689/$B689</f>
        <v>0.303975154324668</v>
      </c>
      <c r="F689" s="5">
        <f>pima_data!D689/$B689</f>
        <v>0.106802081249208</v>
      </c>
      <c r="G689" s="5">
        <f>pima_data!E689/$B689</f>
        <v>0.739399024032977</v>
      </c>
      <c r="H689" s="5">
        <f>pima_data!F689/$B689</f>
        <v>0.0989973137733041</v>
      </c>
      <c r="I689" s="5">
        <f>pima_data!G689/$B689</f>
        <v>0.00340123551055169</v>
      </c>
      <c r="J689" s="5">
        <f>pima_data!H689/$B689</f>
        <v>0.0944787641819914</v>
      </c>
    </row>
    <row r="690" spans="1:10">
      <c r="A690" s="4" cm="1">
        <f t="array" ref="A690">SUM(POWER(pima_data!A690:H690,2))</f>
        <v>66218.322225</v>
      </c>
      <c r="B690" s="4">
        <f t="shared" si="10"/>
        <v>257.329209816919</v>
      </c>
      <c r="C690" s="5">
        <f>pima_data!A690/$B690</f>
        <v>0.00388607263322911</v>
      </c>
      <c r="D690" s="5">
        <f>pima_data!B690/$B690</f>
        <v>0.559594459184991</v>
      </c>
      <c r="E690" s="5">
        <f>pima_data!C690/$B690</f>
        <v>0.318657955924787</v>
      </c>
      <c r="F690" s="5">
        <f>pima_data!D690/$B690</f>
        <v>0.178759341128539</v>
      </c>
      <c r="G690" s="5">
        <f>pima_data!E690/$B690</f>
        <v>0.699493073981239</v>
      </c>
      <c r="H690" s="5">
        <f>pima_data!F690/$B690</f>
        <v>0.179147948391862</v>
      </c>
      <c r="I690" s="5">
        <f>pima_data!G690/$B690</f>
        <v>0.00130183433213175</v>
      </c>
      <c r="J690" s="5">
        <f>pima_data!H690/$B690</f>
        <v>0.178759341128539</v>
      </c>
    </row>
    <row r="691" spans="1:10">
      <c r="A691" s="4" cm="1">
        <f t="array" ref="A691">SUM(POWER(pima_data!A691:H691,2))</f>
        <v>19674.892736</v>
      </c>
      <c r="B691" s="4">
        <f t="shared" si="10"/>
        <v>140.267219035668</v>
      </c>
      <c r="C691" s="5">
        <f>pima_data!A691/$B691</f>
        <v>0.0570339959329038</v>
      </c>
      <c r="D691" s="5">
        <f>pima_data!B691/$B691</f>
        <v>0.762829695602588</v>
      </c>
      <c r="E691" s="5">
        <f>pima_data!C691/$B691</f>
        <v>0.570339959329038</v>
      </c>
      <c r="F691" s="5">
        <f>pima_data!D691/$B691</f>
        <v>0</v>
      </c>
      <c r="G691" s="5">
        <f>pima_data!E691/$B691</f>
        <v>0</v>
      </c>
      <c r="H691" s="5">
        <f>pima_data!F691/$B691</f>
        <v>0.175379537493679</v>
      </c>
      <c r="I691" s="5">
        <f>pima_data!G691/$B691</f>
        <v>0.0061026375648207</v>
      </c>
      <c r="J691" s="5">
        <f>pima_data!H691/$B691</f>
        <v>0.242394482714841</v>
      </c>
    </row>
    <row r="692" spans="1:10">
      <c r="A692" s="4" cm="1">
        <f t="array" ref="A692">SUM(POWER(pima_data!A692:H692,2))</f>
        <v>41854.356049</v>
      </c>
      <c r="B692" s="4">
        <f t="shared" si="10"/>
        <v>204.583371878068</v>
      </c>
      <c r="C692" s="5">
        <f>pima_data!A692/$B692</f>
        <v>0.0635437762153417</v>
      </c>
      <c r="D692" s="5">
        <f>pima_data!B692/$B692</f>
        <v>0.772301280155691</v>
      </c>
      <c r="E692" s="5">
        <f>pima_data!C692/$B692</f>
        <v>0.557230037580689</v>
      </c>
      <c r="F692" s="5">
        <f>pima_data!D692/$B692</f>
        <v>0</v>
      </c>
      <c r="G692" s="5">
        <f>pima_data!E692/$B692</f>
        <v>0</v>
      </c>
      <c r="H692" s="5">
        <f>pima_data!F692/$B692</f>
        <v>0.20676167183915</v>
      </c>
      <c r="I692" s="5">
        <f>pima_data!G692/$B692</f>
        <v>0.00125621157594945</v>
      </c>
      <c r="J692" s="5">
        <f>pima_data!H692/$B692</f>
        <v>0.215071242575003</v>
      </c>
    </row>
    <row r="693" spans="1:10">
      <c r="A693" s="4" cm="1">
        <f t="array" ref="A693">SUM(POWER(pima_data!A693:H693,2))</f>
        <v>31652.594996</v>
      </c>
      <c r="B693" s="4">
        <f t="shared" si="10"/>
        <v>177.911761825912</v>
      </c>
      <c r="C693" s="5">
        <f>pima_data!A693/$B693</f>
        <v>0.0112415277071845</v>
      </c>
      <c r="D693" s="5">
        <f>pima_data!B693/$B693</f>
        <v>0.680112426284663</v>
      </c>
      <c r="E693" s="5">
        <f>pima_data!C693/$B693</f>
        <v>0.393453469751458</v>
      </c>
      <c r="F693" s="5">
        <f>pima_data!D693/$B693</f>
        <v>0.179864443314952</v>
      </c>
      <c r="G693" s="5">
        <f>pima_data!E693/$B693</f>
        <v>0.533972566091264</v>
      </c>
      <c r="H693" s="5">
        <f>pima_data!F693/$B693</f>
        <v>0.219771866675457</v>
      </c>
      <c r="I693" s="5">
        <f>pima_data!G693/$B693</f>
        <v>0.00497999677428274</v>
      </c>
      <c r="J693" s="5">
        <f>pima_data!H693/$B693</f>
        <v>0.129277568632622</v>
      </c>
    </row>
    <row r="694" spans="1:10">
      <c r="A694" s="4" cm="1">
        <f t="array" ref="A694">SUM(POWER(pima_data!A694:H694,2))</f>
        <v>42671.442721</v>
      </c>
      <c r="B694" s="4">
        <f t="shared" si="10"/>
        <v>206.570672461025</v>
      </c>
      <c r="C694" s="5">
        <f>pima_data!A694/$B694</f>
        <v>0.0338867077141395</v>
      </c>
      <c r="D694" s="5">
        <f>pima_data!B694/$B694</f>
        <v>0.624483613589143</v>
      </c>
      <c r="E694" s="5">
        <f>pima_data!C694/$B694</f>
        <v>0.329185160651641</v>
      </c>
      <c r="F694" s="5">
        <f>pima_data!D694/$B694</f>
        <v>0.237206953998977</v>
      </c>
      <c r="G694" s="5">
        <f>pima_data!E694/$B694</f>
        <v>0.605119780609634</v>
      </c>
      <c r="H694" s="5">
        <f>pima_data!F694/$B694</f>
        <v>0.186376892427767</v>
      </c>
      <c r="I694" s="5">
        <f>pima_data!G694/$B694</f>
        <v>0.00212518066950104</v>
      </c>
      <c r="J694" s="5">
        <f>pima_data!H694/$B694</f>
        <v>0.208161204529714</v>
      </c>
    </row>
    <row r="695" spans="1:10">
      <c r="A695" s="4" cm="1">
        <f t="array" ref="A695">SUM(POWER(pima_data!A695:H695,2))</f>
        <v>12881.286481</v>
      </c>
      <c r="B695" s="4">
        <f t="shared" si="10"/>
        <v>113.495755343537</v>
      </c>
      <c r="C695" s="5">
        <f>pima_data!A695/$B695</f>
        <v>0.0176218043921225</v>
      </c>
      <c r="D695" s="5">
        <f>pima_data!B695/$B695</f>
        <v>0.792981197645512</v>
      </c>
      <c r="E695" s="5">
        <f>pima_data!C695/$B695</f>
        <v>0.528654131763675</v>
      </c>
      <c r="F695" s="5">
        <f>pima_data!D695/$B695</f>
        <v>0</v>
      </c>
      <c r="G695" s="5">
        <f>pima_data!E695/$B695</f>
        <v>0</v>
      </c>
      <c r="H695" s="5">
        <f>pima_data!F695/$B695</f>
        <v>0.207056201607439</v>
      </c>
      <c r="I695" s="5">
        <f>pima_data!G695/$B695</f>
        <v>0.0016828823194477</v>
      </c>
      <c r="J695" s="5">
        <f>pima_data!H695/$B695</f>
        <v>0.220272554901531</v>
      </c>
    </row>
    <row r="696" spans="1:10">
      <c r="A696" s="4" cm="1">
        <f t="array" ref="A696">SUM(POWER(pima_data!A696:H696,2))</f>
        <v>262062.176384</v>
      </c>
      <c r="B696" s="4">
        <f t="shared" si="10"/>
        <v>511.920087888725</v>
      </c>
      <c r="C696" s="5">
        <f>pima_data!A696/$B696</f>
        <v>0.0136740092166916</v>
      </c>
      <c r="D696" s="5">
        <f>pima_data!B696/$B696</f>
        <v>0.27738704411003</v>
      </c>
      <c r="E696" s="5">
        <f>pima_data!C696/$B696</f>
        <v>0.175808689928892</v>
      </c>
      <c r="F696" s="5">
        <f>pima_data!D696/$B696</f>
        <v>0.0468823173143712</v>
      </c>
      <c r="G696" s="5">
        <f>pima_data!E696/$B696</f>
        <v>0.937646346287424</v>
      </c>
      <c r="H696" s="5">
        <f>pima_data!F696/$B696</f>
        <v>0.0593842685982035</v>
      </c>
      <c r="I696" s="5">
        <f>pima_data!G696/$B696</f>
        <v>0.000250039025676646</v>
      </c>
      <c r="J696" s="5">
        <f>pima_data!H696/$B696</f>
        <v>0.0839974851882484</v>
      </c>
    </row>
    <row r="697" spans="1:10">
      <c r="A697" s="4" cm="1">
        <f t="array" ref="A697">SUM(POWER(pima_data!A697:H697,2))</f>
        <v>51887.081824</v>
      </c>
      <c r="B697" s="4">
        <f t="shared" si="10"/>
        <v>227.787360983879</v>
      </c>
      <c r="C697" s="5">
        <f>pima_data!A697/$B697</f>
        <v>0.0131701776035428</v>
      </c>
      <c r="D697" s="5">
        <f>pima_data!B697/$B697</f>
        <v>0.741920004999577</v>
      </c>
      <c r="E697" s="5">
        <f>pima_data!C697/$B697</f>
        <v>0.324864380887389</v>
      </c>
      <c r="F697" s="5">
        <f>pima_data!D697/$B697</f>
        <v>0.0834111248224377</v>
      </c>
      <c r="G697" s="5">
        <f>pima_data!E697/$B697</f>
        <v>0.548757400147616</v>
      </c>
      <c r="H697" s="5">
        <f>pima_data!F697/$B697</f>
        <v>0.13126277011531</v>
      </c>
      <c r="I697" s="5">
        <f>pima_data!G697/$B697</f>
        <v>0.00117653586591649</v>
      </c>
      <c r="J697" s="5">
        <f>pima_data!H697/$B697</f>
        <v>0.136091835236609</v>
      </c>
    </row>
    <row r="698" spans="1:10">
      <c r="A698" s="4" cm="1">
        <f t="array" ref="A698">SUM(POWER(pima_data!A698:H698,2))</f>
        <v>10910.064009</v>
      </c>
      <c r="B698" s="4">
        <f t="shared" si="10"/>
        <v>104.451251830699</v>
      </c>
      <c r="C698" s="5">
        <f>pima_data!A698/$B698</f>
        <v>0</v>
      </c>
      <c r="D698" s="5">
        <f>pima_data!B698/$B698</f>
        <v>0.947810564879258</v>
      </c>
      <c r="E698" s="5">
        <f>pima_data!C698/$B698</f>
        <v>0</v>
      </c>
      <c r="F698" s="5">
        <f>pima_data!D698/$B698</f>
        <v>0</v>
      </c>
      <c r="G698" s="5">
        <f>pima_data!E698/$B698</f>
        <v>0</v>
      </c>
      <c r="H698" s="5">
        <f>pima_data!F698/$B698</f>
        <v>0.239346102242237</v>
      </c>
      <c r="I698" s="5">
        <f>pima_data!G698/$B698</f>
        <v>0.00242218255469144</v>
      </c>
      <c r="J698" s="5">
        <f>pima_data!H698/$B698</f>
        <v>0.210624569973168</v>
      </c>
    </row>
    <row r="699" spans="1:10">
      <c r="A699" s="4" cm="1">
        <f t="array" ref="A699">SUM(POWER(pima_data!A699:H699,2))</f>
        <v>50009.607604</v>
      </c>
      <c r="B699" s="4">
        <f t="shared" si="10"/>
        <v>223.62827997371</v>
      </c>
      <c r="C699" s="5">
        <f>pima_data!A699/$B699</f>
        <v>0.0178868254071902</v>
      </c>
      <c r="D699" s="5">
        <f>pima_data!B699/$B699</f>
        <v>0.567906706678289</v>
      </c>
      <c r="E699" s="5">
        <f>pima_data!C699/$B699</f>
        <v>0.393510158958185</v>
      </c>
      <c r="F699" s="5">
        <f>pima_data!D699/$B699</f>
        <v>0.0491887698697731</v>
      </c>
      <c r="G699" s="5">
        <f>pima_data!E699/$B699</f>
        <v>0.693114484528621</v>
      </c>
      <c r="H699" s="5">
        <f>pima_data!F699/$B699</f>
        <v>0.154273869137016</v>
      </c>
      <c r="I699" s="5">
        <f>pima_data!G699/$B699</f>
        <v>0.00267408039837494</v>
      </c>
      <c r="J699" s="5">
        <f>pima_data!H699/$B699</f>
        <v>0.125207777850331</v>
      </c>
    </row>
    <row r="700" spans="1:10">
      <c r="A700" s="4" cm="1">
        <f t="array" ref="A700">SUM(POWER(pima_data!A700:H700,2))</f>
        <v>21497.067216</v>
      </c>
      <c r="B700" s="4">
        <f t="shared" si="10"/>
        <v>146.618781934648</v>
      </c>
      <c r="C700" s="5">
        <f>pima_data!A700/$B700</f>
        <v>0.0272816343664818</v>
      </c>
      <c r="D700" s="5">
        <f>pima_data!B700/$B700</f>
        <v>0.804808213811212</v>
      </c>
      <c r="E700" s="5">
        <f>pima_data!C700/$B700</f>
        <v>0.477428601413431</v>
      </c>
      <c r="F700" s="5">
        <f>pima_data!D700/$B700</f>
        <v>0</v>
      </c>
      <c r="G700" s="5">
        <f>pima_data!E700/$B700</f>
        <v>0</v>
      </c>
      <c r="H700" s="5">
        <f>pima_data!F700/$B700</f>
        <v>0.30350818232711</v>
      </c>
      <c r="I700" s="5">
        <f>pima_data!G700/$B700</f>
        <v>0.00616564936682488</v>
      </c>
      <c r="J700" s="5">
        <f>pima_data!H700/$B700</f>
        <v>0.177330623382131</v>
      </c>
    </row>
    <row r="701" spans="1:10">
      <c r="A701" s="4" cm="1">
        <f t="array" ref="A701">SUM(POWER(pima_data!A701:H701,2))</f>
        <v>63358.043289</v>
      </c>
      <c r="B701" s="4">
        <f t="shared" si="10"/>
        <v>251.71023675846</v>
      </c>
      <c r="C701" s="5">
        <f>pima_data!A701/$B701</f>
        <v>0.00794564426841007</v>
      </c>
      <c r="D701" s="5">
        <f>pima_data!B701/$B701</f>
        <v>0.484684300373014</v>
      </c>
      <c r="E701" s="5">
        <f>pima_data!C701/$B701</f>
        <v>0.301934482199583</v>
      </c>
      <c r="F701" s="5">
        <f>pima_data!D701/$B701</f>
        <v>0.107266197623536</v>
      </c>
      <c r="G701" s="5">
        <f>pima_data!E701/$B701</f>
        <v>0.794564426841007</v>
      </c>
      <c r="H701" s="5">
        <f>pima_data!F701/$B701</f>
        <v>0.142624314617961</v>
      </c>
      <c r="I701" s="5">
        <f>pima_data!G701/$B701</f>
        <v>0.00191887309082103</v>
      </c>
      <c r="J701" s="5">
        <f>pima_data!H701/$B701</f>
        <v>0.103293375489331</v>
      </c>
    </row>
    <row r="702" spans="1:10">
      <c r="A702" s="4" cm="1">
        <f t="array" ref="A702">SUM(POWER(pima_data!A702:H702,2))</f>
        <v>25869.079225</v>
      </c>
      <c r="B702" s="4">
        <f t="shared" si="10"/>
        <v>160.838674531345</v>
      </c>
      <c r="C702" s="5">
        <f>pima_data!A702/$B702</f>
        <v>0.0373044606185851</v>
      </c>
      <c r="D702" s="5">
        <f>pima_data!B702/$B702</f>
        <v>0.77717626288719</v>
      </c>
      <c r="E702" s="5">
        <f>pima_data!C702/$B702</f>
        <v>0.484957988041607</v>
      </c>
      <c r="F702" s="5">
        <f>pima_data!D702/$B702</f>
        <v>0.192739713196023</v>
      </c>
      <c r="G702" s="5">
        <f>pima_data!E702/$B702</f>
        <v>0</v>
      </c>
      <c r="H702" s="5">
        <f>pima_data!F702/$B702</f>
        <v>0.171600518845492</v>
      </c>
      <c r="I702" s="5">
        <f>pima_data!G702/$B702</f>
        <v>0.0035128367082501</v>
      </c>
      <c r="J702" s="5">
        <f>pima_data!H702/$B702</f>
        <v>0.304653095051779</v>
      </c>
    </row>
    <row r="703" spans="1:10">
      <c r="A703" s="4" cm="1">
        <f t="array" ref="A703">SUM(POWER(pima_data!A703:H703,2))</f>
        <v>40739.819025</v>
      </c>
      <c r="B703" s="4">
        <f t="shared" si="10"/>
        <v>201.841073681746</v>
      </c>
      <c r="C703" s="5">
        <f>pima_data!A703/$B703</f>
        <v>0.00495439298731018</v>
      </c>
      <c r="D703" s="5">
        <f>pima_data!B703/$B703</f>
        <v>0.832338021868111</v>
      </c>
      <c r="E703" s="5">
        <f>pima_data!C703/$B703</f>
        <v>0.435986582883296</v>
      </c>
      <c r="F703" s="5">
        <f>pima_data!D703/$B703</f>
        <v>0.143677396631995</v>
      </c>
      <c r="G703" s="5">
        <f>pima_data!E703/$B703</f>
        <v>0</v>
      </c>
      <c r="H703" s="5">
        <f>pima_data!F703/$B703</f>
        <v>0.173403754555856</v>
      </c>
      <c r="I703" s="5">
        <f>pima_data!G703/$B703</f>
        <v>0.00448372565351572</v>
      </c>
      <c r="J703" s="5">
        <f>pima_data!H703/$B703</f>
        <v>0.25762843534013</v>
      </c>
    </row>
    <row r="704" spans="1:10">
      <c r="A704" s="4" cm="1">
        <f t="array" ref="A704">SUM(POWER(pima_data!A704:H704,2))</f>
        <v>19808.342416</v>
      </c>
      <c r="B704" s="4">
        <f t="shared" si="10"/>
        <v>140.742113157363</v>
      </c>
      <c r="C704" s="5">
        <f>pima_data!A704/$B704</f>
        <v>0.0142103877448807</v>
      </c>
      <c r="D704" s="5">
        <f>pima_data!B704/$B704</f>
        <v>0.916570009544803</v>
      </c>
      <c r="E704" s="5">
        <f>pima_data!C704/$B704</f>
        <v>0</v>
      </c>
      <c r="F704" s="5">
        <f>pima_data!D704/$B704</f>
        <v>0</v>
      </c>
      <c r="G704" s="5">
        <f>pima_data!E704/$B704</f>
        <v>0</v>
      </c>
      <c r="H704" s="5">
        <f>pima_data!F704/$B704</f>
        <v>0.273549964088953</v>
      </c>
      <c r="I704" s="5">
        <f>pima_data!G704/$B704</f>
        <v>0.00215997893722186</v>
      </c>
      <c r="J704" s="5">
        <f>pima_data!H704/$B704</f>
        <v>0.291312948770054</v>
      </c>
    </row>
    <row r="705" spans="1:10">
      <c r="A705" s="4" cm="1">
        <f t="array" ref="A705">SUM(POWER(pima_data!A705:H705,2))</f>
        <v>29827.573924</v>
      </c>
      <c r="B705" s="4">
        <f t="shared" ref="B705:B768" si="11">A705^0.5</f>
        <v>172.706612276427</v>
      </c>
      <c r="C705" s="5">
        <f>pima_data!A705/$B705</f>
        <v>0.0231606650566324</v>
      </c>
      <c r="D705" s="5">
        <f>pima_data!B705/$B705</f>
        <v>0.636918289057391</v>
      </c>
      <c r="E705" s="5">
        <f>pima_data!C705/$B705</f>
        <v>0.440052636076016</v>
      </c>
      <c r="F705" s="5">
        <f>pima_data!D705/$B705</f>
        <v>0.115803325283162</v>
      </c>
      <c r="G705" s="5">
        <f>pima_data!E705/$B705</f>
        <v>0.57901662641581</v>
      </c>
      <c r="H705" s="5">
        <f>pima_data!F705/$B705</f>
        <v>0.16444072190209</v>
      </c>
      <c r="I705" s="5">
        <f>pima_data!G705/$B705</f>
        <v>0.000683239619170656</v>
      </c>
      <c r="J705" s="5">
        <f>pima_data!H705/$B705</f>
        <v>0.156334489132269</v>
      </c>
    </row>
    <row r="706" spans="1:10">
      <c r="A706" s="4" cm="1">
        <f t="array" ref="A706">SUM(POWER(pima_data!A706:H706,2))</f>
        <v>16500.071329</v>
      </c>
      <c r="B706" s="4">
        <f t="shared" si="11"/>
        <v>128.452603434107</v>
      </c>
      <c r="C706" s="5">
        <f>pima_data!A706/$B706</f>
        <v>0.0467098356871984</v>
      </c>
      <c r="D706" s="5">
        <f>pima_data!B706/$B706</f>
        <v>0.622797809162645</v>
      </c>
      <c r="E706" s="5">
        <f>pima_data!C706/$B706</f>
        <v>0.622797809162645</v>
      </c>
      <c r="F706" s="5">
        <f>pima_data!D706/$B706</f>
        <v>0.28025901412319</v>
      </c>
      <c r="G706" s="5">
        <f>pima_data!E706/$B706</f>
        <v>0</v>
      </c>
      <c r="H706" s="5">
        <f>pima_data!F706/$B706</f>
        <v>0.309841910058416</v>
      </c>
      <c r="I706" s="5">
        <f>pima_data!G706/$B706</f>
        <v>0.00137794015277235</v>
      </c>
      <c r="J706" s="5">
        <f>pima_data!H706/$B706</f>
        <v>0.217979233206926</v>
      </c>
    </row>
    <row r="707" spans="1:10">
      <c r="A707" s="4" cm="1">
        <f t="array" ref="A707">SUM(POWER(pima_data!A707:H707,2))</f>
        <v>14225.068121</v>
      </c>
      <c r="B707" s="4">
        <f t="shared" si="11"/>
        <v>119.268889996512</v>
      </c>
      <c r="C707" s="5">
        <f>pima_data!A707/$B707</f>
        <v>0.0838441608729022</v>
      </c>
      <c r="D707" s="5">
        <f>pima_data!B707/$B707</f>
        <v>0.964207850038375</v>
      </c>
      <c r="E707" s="5">
        <f>pima_data!C707/$B707</f>
        <v>0</v>
      </c>
      <c r="F707" s="5">
        <f>pima_data!D707/$B707</f>
        <v>0</v>
      </c>
      <c r="G707" s="5">
        <f>pima_data!E707/$B707</f>
        <v>0</v>
      </c>
      <c r="H707" s="5">
        <f>pima_data!F707/$B707</f>
        <v>0</v>
      </c>
      <c r="I707" s="5">
        <f>pima_data!G707/$B707</f>
        <v>0.00218833259878275</v>
      </c>
      <c r="J707" s="5">
        <f>pima_data!H707/$B707</f>
        <v>0.251532482618707</v>
      </c>
    </row>
    <row r="708" spans="1:10">
      <c r="A708" s="4" cm="1">
        <f t="array" ref="A708">SUM(POWER(pima_data!A708:H708,2))</f>
        <v>132582.390976</v>
      </c>
      <c r="B708" s="4">
        <f t="shared" si="11"/>
        <v>364.118649585544</v>
      </c>
      <c r="C708" s="5">
        <f>pima_data!A708/$B708</f>
        <v>0.00549271508689953</v>
      </c>
      <c r="D708" s="5">
        <f>pima_data!B708/$B708</f>
        <v>0.34878740801812</v>
      </c>
      <c r="E708" s="5">
        <f>pima_data!C708/$B708</f>
        <v>0.126332446998689</v>
      </c>
      <c r="F708" s="5">
        <f>pima_data!D708/$B708</f>
        <v>0.0576735084124451</v>
      </c>
      <c r="G708" s="5">
        <f>pima_data!E708/$B708</f>
        <v>0.920029777055672</v>
      </c>
      <c r="H708" s="5">
        <f>pima_data!F708/$B708</f>
        <v>0.094474699494672</v>
      </c>
      <c r="I708" s="5">
        <f>pima_data!G708/$B708</f>
        <v>0.000483358927647159</v>
      </c>
      <c r="J708" s="5">
        <f>pima_data!H708/$B708</f>
        <v>0.0604198659558949</v>
      </c>
    </row>
    <row r="709" spans="1:10">
      <c r="A709" s="4" cm="1">
        <f t="array" ref="A709">SUM(POWER(pima_data!A709:H709,2))</f>
        <v>36161.861904</v>
      </c>
      <c r="B709" s="4">
        <f t="shared" si="11"/>
        <v>190.162724801681</v>
      </c>
      <c r="C709" s="5">
        <f>pima_data!A709/$B709</f>
        <v>0.0473278872575369</v>
      </c>
      <c r="D709" s="5">
        <f>pima_data!B709/$B709</f>
        <v>0.862419278915118</v>
      </c>
      <c r="E709" s="5">
        <f>pima_data!C709/$B709</f>
        <v>0.410175022898654</v>
      </c>
      <c r="F709" s="5">
        <f>pima_data!D709/$B709</f>
        <v>0</v>
      </c>
      <c r="G709" s="5">
        <f>pima_data!E709/$B709</f>
        <v>0</v>
      </c>
      <c r="H709" s="5">
        <f>pima_data!F709/$B709</f>
        <v>0.172483855783024</v>
      </c>
      <c r="I709" s="5">
        <f>pima_data!G709/$B709</f>
        <v>0.000778280812679496</v>
      </c>
      <c r="J709" s="5">
        <f>pima_data!H709/$B709</f>
        <v>0.236639436287685</v>
      </c>
    </row>
    <row r="710" spans="1:10">
      <c r="A710" s="4" cm="1">
        <f t="array" ref="A710">SUM(POWER(pima_data!A710:H710,2))</f>
        <v>41346.454276</v>
      </c>
      <c r="B710" s="4">
        <f t="shared" si="11"/>
        <v>203.338275482015</v>
      </c>
      <c r="C710" s="5">
        <f>pima_data!A710/$B710</f>
        <v>0.00983582650762125</v>
      </c>
      <c r="D710" s="5">
        <f>pima_data!B710/$B710</f>
        <v>0.457365932604388</v>
      </c>
      <c r="E710" s="5">
        <f>pima_data!C710/$B710</f>
        <v>0.31474644824388</v>
      </c>
      <c r="F710" s="5">
        <f>pima_data!D710/$B710</f>
        <v>0.15737322412194</v>
      </c>
      <c r="G710" s="5">
        <f>pima_data!E710/$B710</f>
        <v>0.7868661206097</v>
      </c>
      <c r="H710" s="5">
        <f>pima_data!F710/$B710</f>
        <v>0.186880703644804</v>
      </c>
      <c r="I710" s="5">
        <f>pima_data!G710/$B710</f>
        <v>0.00331467353306836</v>
      </c>
      <c r="J710" s="5">
        <f>pima_data!H710/$B710</f>
        <v>0.113112004837644</v>
      </c>
    </row>
    <row r="711" spans="1:10">
      <c r="A711" s="4" cm="1">
        <f t="array" ref="A711">SUM(POWER(pima_data!A711:H711,2))</f>
        <v>180556.527025</v>
      </c>
      <c r="B711" s="4">
        <f t="shared" si="11"/>
        <v>424.919435922858</v>
      </c>
      <c r="C711" s="5">
        <f>pima_data!A711/$B711</f>
        <v>0.00706016187158978</v>
      </c>
      <c r="D711" s="5">
        <f>pima_data!B711/$B711</f>
        <v>0.371835191903728</v>
      </c>
      <c r="E711" s="5">
        <f>pima_data!C711/$B711</f>
        <v>0.150616786593915</v>
      </c>
      <c r="F711" s="5">
        <f>pima_data!D711/$B711</f>
        <v>0.030594034776889</v>
      </c>
      <c r="G711" s="5">
        <f>pima_data!E711/$B711</f>
        <v>0.910760881435081</v>
      </c>
      <c r="H711" s="5">
        <f>pima_data!F711/$B711</f>
        <v>0.0734256834645337</v>
      </c>
      <c r="I711" s="5">
        <f>pima_data!G711/$B711</f>
        <v>0.000694249250706328</v>
      </c>
      <c r="J711" s="5">
        <f>pima_data!H711/$B711</f>
        <v>0.0564812949727182</v>
      </c>
    </row>
    <row r="712" spans="1:10">
      <c r="A712" s="4" cm="1">
        <f t="array" ref="A712">SUM(POWER(pima_data!A712:H712,2))</f>
        <v>25674.352721</v>
      </c>
      <c r="B712" s="4">
        <f t="shared" si="11"/>
        <v>160.232183786529</v>
      </c>
      <c r="C712" s="5">
        <f>pima_data!A712/$B712</f>
        <v>0.0312047173160999</v>
      </c>
      <c r="D712" s="5">
        <f>pima_data!B712/$B712</f>
        <v>0.786358876365717</v>
      </c>
      <c r="E712" s="5">
        <f>pima_data!C712/$B712</f>
        <v>0.486793590131158</v>
      </c>
      <c r="F712" s="5">
        <f>pima_data!D712/$B712</f>
        <v>0.168505473506939</v>
      </c>
      <c r="G712" s="5">
        <f>pima_data!E712/$B712</f>
        <v>0.13730075619084</v>
      </c>
      <c r="H712" s="5">
        <f>pima_data!F712/$B712</f>
        <v>0.184731926511311</v>
      </c>
      <c r="I712" s="5">
        <f>pima_data!G712/$B712</f>
        <v>0.00273977418035357</v>
      </c>
      <c r="J712" s="5">
        <f>pima_data!H712/$B712</f>
        <v>0.249637738528799</v>
      </c>
    </row>
    <row r="713" spans="1:10">
      <c r="A713" s="4" cm="1">
        <f t="array" ref="A713">SUM(POWER(pima_data!A713:H713,2))</f>
        <v>25022.634481</v>
      </c>
      <c r="B713" s="4">
        <f t="shared" si="11"/>
        <v>158.185443328392</v>
      </c>
      <c r="C713" s="5">
        <f>pima_data!A713/$B713</f>
        <v>0.0632169420244317</v>
      </c>
      <c r="D713" s="5">
        <f>pima_data!B713/$B713</f>
        <v>0.815498552115169</v>
      </c>
      <c r="E713" s="5">
        <f>pima_data!C713/$B713</f>
        <v>0.391945040551477</v>
      </c>
      <c r="F713" s="5">
        <f>pima_data!D713/$B713</f>
        <v>0.227580991287954</v>
      </c>
      <c r="G713" s="5">
        <f>pima_data!E713/$B713</f>
        <v>0</v>
      </c>
      <c r="H713" s="5">
        <f>pima_data!F713/$B713</f>
        <v>0.260453801140659</v>
      </c>
      <c r="I713" s="5">
        <f>pima_data!G713/$B713</f>
        <v>0.00278786714327744</v>
      </c>
      <c r="J713" s="5">
        <f>pima_data!H713/$B713</f>
        <v>0.24022437969284</v>
      </c>
    </row>
    <row r="714" spans="1:10">
      <c r="A714" s="4" cm="1">
        <f t="array" ref="A714">SUM(POWER(pima_data!A714:H714,2))</f>
        <v>107539.083904</v>
      </c>
      <c r="B714" s="4">
        <f t="shared" si="11"/>
        <v>327.931523193486</v>
      </c>
      <c r="C714" s="5">
        <f>pima_data!A714/$B714</f>
        <v>0</v>
      </c>
      <c r="D714" s="5">
        <f>pima_data!B714/$B714</f>
        <v>0.408621893665701</v>
      </c>
      <c r="E714" s="5">
        <f>pima_data!C714/$B714</f>
        <v>0.176866192780676</v>
      </c>
      <c r="F714" s="5">
        <f>pima_data!D714/$B714</f>
        <v>0.0609883423381643</v>
      </c>
      <c r="G714" s="5">
        <f>pima_data!E714/$B714</f>
        <v>0.88738038102029</v>
      </c>
      <c r="H714" s="5">
        <f>pima_data!F714/$B714</f>
        <v>0.0805046118863769</v>
      </c>
      <c r="I714" s="5">
        <f>pima_data!G714/$B714</f>
        <v>0.00107339482515169</v>
      </c>
      <c r="J714" s="5">
        <f>pima_data!H714/$B714</f>
        <v>0.0640377594550725</v>
      </c>
    </row>
    <row r="715" spans="1:10">
      <c r="A715" s="4" cm="1">
        <f t="array" ref="A715">SUM(POWER(pima_data!A715:H715,2))</f>
        <v>17783.264641</v>
      </c>
      <c r="B715" s="4">
        <f t="shared" si="11"/>
        <v>133.353907483058</v>
      </c>
      <c r="C715" s="5">
        <f>pima_data!A715/$B715</f>
        <v>0.0224965286478848</v>
      </c>
      <c r="D715" s="5">
        <f>pima_data!B715/$B715</f>
        <v>0.764881974028085</v>
      </c>
      <c r="E715" s="5">
        <f>pima_data!C715/$B715</f>
        <v>0.554914373314493</v>
      </c>
      <c r="F715" s="5">
        <f>pima_data!D715/$B715</f>
        <v>0</v>
      </c>
      <c r="G715" s="5">
        <f>pima_data!E715/$B715</f>
        <v>0</v>
      </c>
      <c r="H715" s="5">
        <f>pima_data!F715/$B715</f>
        <v>0.221215865037534</v>
      </c>
      <c r="I715" s="5">
        <f>pima_data!G715/$B715</f>
        <v>0.000907359988798022</v>
      </c>
      <c r="J715" s="5">
        <f>pima_data!H715/$B715</f>
        <v>0.239962972244105</v>
      </c>
    </row>
    <row r="716" spans="1:10">
      <c r="A716" s="4" cm="1">
        <f t="array" ref="A716">SUM(POWER(pima_data!A716:H716,2))</f>
        <v>194576.892276</v>
      </c>
      <c r="B716" s="4">
        <f t="shared" si="11"/>
        <v>441.108708002914</v>
      </c>
      <c r="C716" s="5">
        <f>pima_data!A716/$B716</f>
        <v>0.0158691040847776</v>
      </c>
      <c r="D716" s="5">
        <f>pima_data!B716/$B716</f>
        <v>0.423931780550487</v>
      </c>
      <c r="E716" s="5">
        <f>pima_data!C716/$B716</f>
        <v>0.113350743462697</v>
      </c>
      <c r="F716" s="5">
        <f>pima_data!D716/$B716</f>
        <v>0.07481149068538</v>
      </c>
      <c r="G716" s="5">
        <f>pima_data!E716/$B716</f>
        <v>0.888669828747544</v>
      </c>
      <c r="H716" s="5">
        <f>pima_data!F716/$B716</f>
        <v>0.0768518040677085</v>
      </c>
      <c r="I716" s="5">
        <f>pima_data!G716/$B716</f>
        <v>0.00187255428200375</v>
      </c>
      <c r="J716" s="5">
        <f>pima_data!H716/$B716</f>
        <v>0.0770785055546339</v>
      </c>
    </row>
    <row r="717" spans="1:10">
      <c r="A717" s="4" cm="1">
        <f t="array" ref="A717">SUM(POWER(pima_data!A717:H717,2))</f>
        <v>73872.3809</v>
      </c>
      <c r="B717" s="4">
        <f t="shared" si="11"/>
        <v>271.794740383253</v>
      </c>
      <c r="C717" s="5">
        <f>pima_data!A717/$B717</f>
        <v>0.0110377411857557</v>
      </c>
      <c r="D717" s="5">
        <f>pima_data!B717/$B717</f>
        <v>0.63650974171191</v>
      </c>
      <c r="E717" s="5">
        <f>pima_data!C717/$B717</f>
        <v>0.286981270829647</v>
      </c>
      <c r="F717" s="5">
        <f>pima_data!D717/$B717</f>
        <v>0.143490635414824</v>
      </c>
      <c r="G717" s="5">
        <f>pima_data!E717/$B717</f>
        <v>0.680660706454932</v>
      </c>
      <c r="H717" s="5">
        <f>pima_data!F717/$B717</f>
        <v>0.124358550692847</v>
      </c>
      <c r="I717" s="5">
        <f>pima_data!G717/$B717</f>
        <v>0.003568869650061</v>
      </c>
      <c r="J717" s="5">
        <f>pima_data!H717/$B717</f>
        <v>0.114056658919475</v>
      </c>
    </row>
    <row r="718" spans="1:10">
      <c r="A718" s="4" cm="1">
        <f t="array" ref="A718">SUM(POWER(pima_data!A718:H718,2))</f>
        <v>18113.964025</v>
      </c>
      <c r="B718" s="4">
        <f t="shared" si="11"/>
        <v>134.588127355276</v>
      </c>
      <c r="C718" s="5">
        <f>pima_data!A718/$B718</f>
        <v>0.0743007588893983</v>
      </c>
      <c r="D718" s="5">
        <f>pima_data!B718/$B718</f>
        <v>0.698427133560344</v>
      </c>
      <c r="E718" s="5">
        <f>pima_data!C718/$B718</f>
        <v>0.534965464003668</v>
      </c>
      <c r="F718" s="5">
        <f>pima_data!D718/$B718</f>
        <v>0.133741366000917</v>
      </c>
      <c r="G718" s="5">
        <f>pima_data!E718/$B718</f>
        <v>0</v>
      </c>
      <c r="H718" s="5">
        <f>pima_data!F718/$B718</f>
        <v>0.17163475303451</v>
      </c>
      <c r="I718" s="5">
        <f>pima_data!G718/$B718</f>
        <v>0.0044208951539192</v>
      </c>
      <c r="J718" s="5">
        <f>pima_data!H718/$B718</f>
        <v>0.416084249780631</v>
      </c>
    </row>
    <row r="719" spans="1:10">
      <c r="A719" s="4" cm="1">
        <f t="array" ref="A719">SUM(POWER(pima_data!A719:H719,2))</f>
        <v>50901.422225</v>
      </c>
      <c r="B719" s="4">
        <f t="shared" si="11"/>
        <v>225.613435382293</v>
      </c>
      <c r="C719" s="5">
        <f>pima_data!A719/$B719</f>
        <v>0.00443236014870099</v>
      </c>
      <c r="D719" s="5">
        <f>pima_data!B719/$B719</f>
        <v>0.478694896059707</v>
      </c>
      <c r="E719" s="5">
        <f>pima_data!C719/$B719</f>
        <v>0.265941608922059</v>
      </c>
      <c r="F719" s="5">
        <f>pima_data!D719/$B719</f>
        <v>0.203888566840245</v>
      </c>
      <c r="G719" s="5">
        <f>pima_data!E719/$B719</f>
        <v>0.788960106468776</v>
      </c>
      <c r="H719" s="5">
        <f>pima_data!F719/$B719</f>
        <v>0.157348785278885</v>
      </c>
      <c r="I719" s="5">
        <f>pima_data!G719/$B719</f>
        <v>0.00183942946171091</v>
      </c>
      <c r="J719" s="5">
        <f>pima_data!H719/$B719</f>
        <v>0.106376643568824</v>
      </c>
    </row>
    <row r="720" spans="1:10">
      <c r="A720" s="4" cm="1">
        <f t="array" ref="A720">SUM(POWER(pima_data!A720:H720,2))</f>
        <v>19910.502884</v>
      </c>
      <c r="B720" s="4">
        <f t="shared" si="11"/>
        <v>141.104581371407</v>
      </c>
      <c r="C720" s="5">
        <f>pima_data!A720/$B720</f>
        <v>0.0354347105629356</v>
      </c>
      <c r="D720" s="5">
        <f>pima_data!B720/$B720</f>
        <v>0.687433384920951</v>
      </c>
      <c r="E720" s="5">
        <f>pima_data!C720/$B720</f>
        <v>0.538607600556621</v>
      </c>
      <c r="F720" s="5">
        <f>pima_data!D720/$B720</f>
        <v>0.191347437039852</v>
      </c>
      <c r="G720" s="5">
        <f>pima_data!E720/$B720</f>
        <v>0</v>
      </c>
      <c r="H720" s="5">
        <f>pima_data!F720/$B720</f>
        <v>0.252295139208102</v>
      </c>
      <c r="I720" s="5">
        <f>pima_data!G720/$B720</f>
        <v>0.00267886411855793</v>
      </c>
      <c r="J720" s="5">
        <f>pima_data!H720/$B720</f>
        <v>0.36852098985453</v>
      </c>
    </row>
    <row r="721" spans="1:10">
      <c r="A721" s="4" cm="1">
        <f t="array" ref="A721">SUM(POWER(pima_data!A721:H721,2))</f>
        <v>16676.590489</v>
      </c>
      <c r="B721" s="4">
        <f t="shared" si="11"/>
        <v>129.137873952609</v>
      </c>
      <c r="C721" s="5">
        <f>pima_data!A721/$B721</f>
        <v>0.030974646535283</v>
      </c>
      <c r="D721" s="5">
        <f>pima_data!B721/$B721</f>
        <v>0.642723915607122</v>
      </c>
      <c r="E721" s="5">
        <f>pima_data!C721/$B721</f>
        <v>0.665954900508584</v>
      </c>
      <c r="F721" s="5">
        <f>pima_data!D721/$B721</f>
        <v>0.147129571042594</v>
      </c>
      <c r="G721" s="5">
        <f>pima_data!E721/$B721</f>
        <v>0</v>
      </c>
      <c r="H721" s="5">
        <f>pima_data!F721/$B721</f>
        <v>0.226889285870948</v>
      </c>
      <c r="I721" s="5">
        <f>pima_data!G721/$B721</f>
        <v>0.00245474073792118</v>
      </c>
      <c r="J721" s="5">
        <f>pima_data!H721/$B721</f>
        <v>0.263284495549905</v>
      </c>
    </row>
    <row r="722" spans="1:10">
      <c r="A722" s="4" cm="1">
        <f t="array" ref="A722">SUM(POWER(pima_data!A722:H722,2))</f>
        <v>60541.693521</v>
      </c>
      <c r="B722" s="4">
        <f t="shared" si="11"/>
        <v>246.052217061745</v>
      </c>
      <c r="C722" s="5">
        <f>pima_data!A722/$B722</f>
        <v>0.00406417796978866</v>
      </c>
      <c r="D722" s="5">
        <f>pima_data!B722/$B722</f>
        <v>0.463316288555907</v>
      </c>
      <c r="E722" s="5">
        <f>pima_data!C722/$B722</f>
        <v>0.268235746006051</v>
      </c>
      <c r="F722" s="5">
        <f>pima_data!D722/$B722</f>
        <v>0.146310406912392</v>
      </c>
      <c r="G722" s="5">
        <f>pima_data!E722/$B722</f>
        <v>0.812835593957731</v>
      </c>
      <c r="H722" s="5">
        <f>pima_data!F722/$B722</f>
        <v>0.154845180648948</v>
      </c>
      <c r="I722" s="5">
        <f>pima_data!G722/$B722</f>
        <v>0.00117454743326892</v>
      </c>
      <c r="J722" s="5">
        <f>pima_data!H722/$B722</f>
        <v>0.0853477373655618</v>
      </c>
    </row>
    <row r="723" spans="1:10">
      <c r="A723" s="4" cm="1">
        <f t="array" ref="A723">SUM(POWER(pima_data!A723:H723,2))</f>
        <v>46418.611801</v>
      </c>
      <c r="B723" s="4">
        <f t="shared" si="11"/>
        <v>215.449789512545</v>
      </c>
      <c r="C723" s="5">
        <f>pima_data!A723/$B723</f>
        <v>0.00464145266636138</v>
      </c>
      <c r="D723" s="5">
        <f>pima_data!B723/$B723</f>
        <v>0.691576447287845</v>
      </c>
      <c r="E723" s="5">
        <f>pima_data!C723/$B723</f>
        <v>0.315618781312574</v>
      </c>
      <c r="F723" s="5">
        <f>pima_data!D723/$B723</f>
        <v>0.13460212732448</v>
      </c>
      <c r="G723" s="5">
        <f>pima_data!E723/$B723</f>
        <v>0.589464488627895</v>
      </c>
      <c r="H723" s="5">
        <f>pima_data!F723/$B723</f>
        <v>0.135994563124388</v>
      </c>
      <c r="I723" s="5">
        <f>pima_data!G723/$B723</f>
        <v>0.00161986698056012</v>
      </c>
      <c r="J723" s="5">
        <f>pima_data!H723/$B723</f>
        <v>0.194941011987178</v>
      </c>
    </row>
    <row r="724" spans="1:10">
      <c r="A724" s="4" cm="1">
        <f t="array" ref="A724">SUM(POWER(pima_data!A724:H724,2))</f>
        <v>36327.873001</v>
      </c>
      <c r="B724" s="4">
        <f t="shared" si="11"/>
        <v>190.598722453746</v>
      </c>
      <c r="C724" s="5">
        <f>pima_data!A724/$B724</f>
        <v>0.0262331244177851</v>
      </c>
      <c r="D724" s="5">
        <f>pima_data!B724/$B724</f>
        <v>0.613855111376171</v>
      </c>
      <c r="E724" s="5">
        <f>pima_data!C724/$B724</f>
        <v>0.451209739985903</v>
      </c>
      <c r="F724" s="5">
        <f>pima_data!D724/$B724</f>
        <v>0.157398746506711</v>
      </c>
      <c r="G724" s="5">
        <f>pima_data!E724/$B724</f>
        <v>0.550895612773487</v>
      </c>
      <c r="H724" s="5">
        <f>pima_data!F724/$B724</f>
        <v>0.205143032947079</v>
      </c>
      <c r="I724" s="5">
        <f>pima_data!G724/$B724</f>
        <v>0.00131690284577281</v>
      </c>
      <c r="J724" s="5">
        <f>pima_data!H724/$B724</f>
        <v>0.220358245109395</v>
      </c>
    </row>
    <row r="725" spans="1:10">
      <c r="A725" s="4" cm="1">
        <f t="array" ref="A725">SUM(POWER(pima_data!A725:H725,2))</f>
        <v>24258.910225</v>
      </c>
      <c r="B725" s="4">
        <f t="shared" si="11"/>
        <v>155.752721404796</v>
      </c>
      <c r="C725" s="5">
        <f>pima_data!A725/$B725</f>
        <v>0.00642043356276924</v>
      </c>
      <c r="D725" s="5">
        <f>pima_data!B725/$B725</f>
        <v>0.712668125467386</v>
      </c>
      <c r="E725" s="5">
        <f>pima_data!C725/$B725</f>
        <v>0.603520754900309</v>
      </c>
      <c r="F725" s="5">
        <f>pima_data!D725/$B725</f>
        <v>0</v>
      </c>
      <c r="G725" s="5">
        <f>pima_data!E725/$B725</f>
        <v>0</v>
      </c>
      <c r="H725" s="5">
        <f>pima_data!F725/$B725</f>
        <v>0.210590220858831</v>
      </c>
      <c r="I725" s="5">
        <f>pima_data!G725/$B725</f>
        <v>0.00170141489413385</v>
      </c>
      <c r="J725" s="5">
        <f>pima_data!H725/$B725</f>
        <v>0.288919510324616</v>
      </c>
    </row>
    <row r="726" spans="1:10">
      <c r="A726" s="4" cm="1">
        <f t="array" ref="A726">SUM(POWER(pima_data!A726:H726,2))</f>
        <v>23240.415696</v>
      </c>
      <c r="B726" s="4">
        <f t="shared" si="11"/>
        <v>152.448075409301</v>
      </c>
      <c r="C726" s="5">
        <f>pima_data!A726/$B726</f>
        <v>0.0262384421007649</v>
      </c>
      <c r="D726" s="5">
        <f>pima_data!B726/$B726</f>
        <v>0.734676378821419</v>
      </c>
      <c r="E726" s="5">
        <f>pima_data!C726/$B726</f>
        <v>0.511649620964917</v>
      </c>
      <c r="F726" s="5">
        <f>pima_data!D726/$B726</f>
        <v>0.26238442100765</v>
      </c>
      <c r="G726" s="5">
        <f>pima_data!E726/$B726</f>
        <v>0</v>
      </c>
      <c r="H726" s="5">
        <f>pima_data!F726/$B726</f>
        <v>0.258448654692535</v>
      </c>
      <c r="I726" s="5">
        <f>pima_data!G726/$B726</f>
        <v>0.00154806808394513</v>
      </c>
      <c r="J726" s="5">
        <f>pima_data!H726/$B726</f>
        <v>0.249265199957267</v>
      </c>
    </row>
    <row r="727" spans="1:10">
      <c r="A727" s="4" cm="1">
        <f t="array" ref="A727">SUM(POWER(pima_data!A727:H727,2))</f>
        <v>54710.456016</v>
      </c>
      <c r="B727" s="4">
        <f t="shared" si="11"/>
        <v>233.902663550461</v>
      </c>
      <c r="C727" s="5">
        <f>pima_data!A727/$B727</f>
        <v>0.00427528265313775</v>
      </c>
      <c r="D727" s="5">
        <f>pima_data!B727/$B727</f>
        <v>0.495932787763979</v>
      </c>
      <c r="E727" s="5">
        <f>pima_data!C727/$B727</f>
        <v>0.333472046944745</v>
      </c>
      <c r="F727" s="5">
        <f>pima_data!D727/$B727</f>
        <v>0.123983196940995</v>
      </c>
      <c r="G727" s="5">
        <f>pima_data!E727/$B727</f>
        <v>0.769550877564795</v>
      </c>
      <c r="H727" s="5">
        <f>pima_data!F727/$B727</f>
        <v>0.154337703778273</v>
      </c>
      <c r="I727" s="5">
        <f>pima_data!G727/$B727</f>
        <v>0.00212054019595632</v>
      </c>
      <c r="J727" s="5">
        <f>pima_data!H727/$B727</f>
        <v>0.106882066328444</v>
      </c>
    </row>
    <row r="728" spans="1:10">
      <c r="A728" s="4" cm="1">
        <f t="array" ref="A728">SUM(POWER(pima_data!A728:H728,2))</f>
        <v>29146.947489</v>
      </c>
      <c r="B728" s="4">
        <f t="shared" si="11"/>
        <v>170.724771164</v>
      </c>
      <c r="C728" s="5">
        <f>pima_data!A728/$B728</f>
        <v>0</v>
      </c>
      <c r="D728" s="5">
        <f>pima_data!B728/$B728</f>
        <v>0.825890695525105</v>
      </c>
      <c r="E728" s="5">
        <f>pima_data!C728/$B728</f>
        <v>0.492019988823467</v>
      </c>
      <c r="F728" s="5">
        <f>pima_data!D728/$B728</f>
        <v>0.152291901302502</v>
      </c>
      <c r="G728" s="5">
        <f>pima_data!E728/$B728</f>
        <v>0</v>
      </c>
      <c r="H728" s="5">
        <f>pima_data!F728/$B728</f>
        <v>0.189779138546194</v>
      </c>
      <c r="I728" s="5">
        <f>pima_data!G728/$B728</f>
        <v>0.00253624589476859</v>
      </c>
      <c r="J728" s="5">
        <f>pima_data!H728/$B728</f>
        <v>0.128862378025194</v>
      </c>
    </row>
    <row r="729" spans="1:10">
      <c r="A729" s="4" cm="1">
        <f t="array" ref="A729">SUM(POWER(pima_data!A729:H729,2))</f>
        <v>39381.516276</v>
      </c>
      <c r="B729" s="4">
        <f t="shared" si="11"/>
        <v>198.447767122737</v>
      </c>
      <c r="C729" s="5">
        <f>pima_data!A729/$B729</f>
        <v>0.0100782187121462</v>
      </c>
      <c r="D729" s="5">
        <f>pima_data!B729/$B729</f>
        <v>0.881844137312793</v>
      </c>
      <c r="E729" s="5">
        <f>pima_data!C729/$B729</f>
        <v>0.443441623334433</v>
      </c>
      <c r="F729" s="5">
        <f>pima_data!D729/$B729</f>
        <v>0</v>
      </c>
      <c r="G729" s="5">
        <f>pima_data!E729/$B729</f>
        <v>0</v>
      </c>
      <c r="H729" s="5">
        <f>pima_data!F729/$B729</f>
        <v>0.115395604254074</v>
      </c>
      <c r="I729" s="5">
        <f>pima_data!G729/$B729</f>
        <v>0.00164274965007983</v>
      </c>
      <c r="J729" s="5">
        <f>pima_data!H729/$B729</f>
        <v>0.110860405833608</v>
      </c>
    </row>
    <row r="730" spans="1:10">
      <c r="A730" s="4" cm="1">
        <f t="array" ref="A730">SUM(POWER(pima_data!A730:H730,2))</f>
        <v>12562.029881</v>
      </c>
      <c r="B730" s="4">
        <f t="shared" si="11"/>
        <v>112.080461638057</v>
      </c>
      <c r="C730" s="5">
        <f>pima_data!A730/$B730</f>
        <v>0.0178443233617169</v>
      </c>
      <c r="D730" s="5">
        <f>pima_data!B730/$B730</f>
        <v>0.820838874638978</v>
      </c>
      <c r="E730" s="5">
        <f>pima_data!C730/$B730</f>
        <v>0.46395240740464</v>
      </c>
      <c r="F730" s="5">
        <f>pima_data!D730/$B730</f>
        <v>0</v>
      </c>
      <c r="G730" s="5">
        <f>pima_data!E730/$B730</f>
        <v>0</v>
      </c>
      <c r="H730" s="5">
        <f>pima_data!F730/$B730</f>
        <v>0.26855706659384</v>
      </c>
      <c r="I730" s="5">
        <f>pima_data!G730/$B730</f>
        <v>0.00125802479700104</v>
      </c>
      <c r="J730" s="5">
        <f>pima_data!H730/$B730</f>
        <v>0.196287556978886</v>
      </c>
    </row>
    <row r="731" spans="1:10">
      <c r="A731" s="4" cm="1">
        <f t="array" ref="A731">SUM(POWER(pima_data!A731:H731,2))</f>
        <v>31725.664329</v>
      </c>
      <c r="B731" s="4">
        <f t="shared" si="11"/>
        <v>178.116996182285</v>
      </c>
      <c r="C731" s="5">
        <f>pima_data!A731/$B731</f>
        <v>0.0168428620754967</v>
      </c>
      <c r="D731" s="5">
        <f>pima_data!B731/$B731</f>
        <v>0.729857356604859</v>
      </c>
      <c r="E731" s="5">
        <f>pima_data!C731/$B731</f>
        <v>0.437914413962915</v>
      </c>
      <c r="F731" s="5">
        <f>pima_data!D731/$B731</f>
        <v>0.129128609245475</v>
      </c>
      <c r="G731" s="5">
        <f>pima_data!E731/$B731</f>
        <v>0.443528701321414</v>
      </c>
      <c r="H731" s="5">
        <f>pima_data!F731/$B731</f>
        <v>0.159445760981369</v>
      </c>
      <c r="I731" s="5">
        <f>pima_data!G731/$B731</f>
        <v>0.00181341481679515</v>
      </c>
      <c r="J731" s="5">
        <f>pima_data!H731/$B731</f>
        <v>0.190885770188963</v>
      </c>
    </row>
    <row r="732" spans="1:10">
      <c r="A732" s="4" cm="1">
        <f t="array" ref="A732">SUM(POWER(pima_data!A732:H732,2))</f>
        <v>23150.627081</v>
      </c>
      <c r="B732" s="4">
        <f t="shared" si="11"/>
        <v>152.153301249102</v>
      </c>
      <c r="C732" s="5">
        <f>pima_data!A732/$B732</f>
        <v>0.0525785502800401</v>
      </c>
      <c r="D732" s="5">
        <f>pima_data!B732/$B732</f>
        <v>0.788678254200601</v>
      </c>
      <c r="E732" s="5">
        <f>pima_data!C732/$B732</f>
        <v>0.565219415510431</v>
      </c>
      <c r="F732" s="5">
        <f>pima_data!D732/$B732</f>
        <v>0</v>
      </c>
      <c r="G732" s="5">
        <f>pima_data!E732/$B732</f>
        <v>0</v>
      </c>
      <c r="H732" s="5">
        <f>pima_data!F732/$B732</f>
        <v>0.186653853494142</v>
      </c>
      <c r="I732" s="5">
        <f>pima_data!G732/$B732</f>
        <v>0.0017022305653163</v>
      </c>
      <c r="J732" s="5">
        <f>pima_data!H732/$B732</f>
        <v>0.14459101327011</v>
      </c>
    </row>
    <row r="733" spans="1:10">
      <c r="A733" s="4" cm="1">
        <f t="array" ref="A733">SUM(POWER(pima_data!A733:H733,2))</f>
        <v>56349.667316</v>
      </c>
      <c r="B733" s="4">
        <f t="shared" si="11"/>
        <v>237.380848671497</v>
      </c>
      <c r="C733" s="5">
        <f>pima_data!A733/$B733</f>
        <v>0.00842527950840606</v>
      </c>
      <c r="D733" s="5">
        <f>pima_data!B733/$B733</f>
        <v>0.732999317231327</v>
      </c>
      <c r="E733" s="5">
        <f>pima_data!C733/$B733</f>
        <v>0.370712298369867</v>
      </c>
      <c r="F733" s="5">
        <f>pima_data!D733/$B733</f>
        <v>0.155867670905512</v>
      </c>
      <c r="G733" s="5">
        <f>pima_data!E733/$B733</f>
        <v>0.505516770504363</v>
      </c>
      <c r="H733" s="5">
        <f>pima_data!F733/$B733</f>
        <v>0.187462469062035</v>
      </c>
      <c r="I733" s="5">
        <f>pima_data!G733/$B733</f>
        <v>0.00272136528121516</v>
      </c>
      <c r="J733" s="5">
        <f>pima_data!H733/$B733</f>
        <v>0.101103354100873</v>
      </c>
    </row>
    <row r="734" spans="1:10">
      <c r="A734" s="4" cm="1">
        <f t="array" ref="A734">SUM(POWER(pima_data!A734:H734,2))</f>
        <v>43655.181476</v>
      </c>
      <c r="B734" s="4">
        <f t="shared" si="11"/>
        <v>208.938224066349</v>
      </c>
      <c r="C734" s="5">
        <f>pima_data!A734/$B734</f>
        <v>0.00957220733035852</v>
      </c>
      <c r="D734" s="5">
        <f>pima_data!B734/$B734</f>
        <v>0.507326988509002</v>
      </c>
      <c r="E734" s="5">
        <f>pima_data!C734/$B734</f>
        <v>0.268021805250039</v>
      </c>
      <c r="F734" s="5">
        <f>pima_data!D734/$B734</f>
        <v>0.12922479895984</v>
      </c>
      <c r="G734" s="5">
        <f>pima_data!E734/$B734</f>
        <v>0.789707104754578</v>
      </c>
      <c r="H734" s="5">
        <f>pima_data!F734/$B734</f>
        <v>0.138797006290199</v>
      </c>
      <c r="I734" s="5">
        <f>pima_data!G734/$B734</f>
        <v>0.00203888016136636</v>
      </c>
      <c r="J734" s="5">
        <f>pima_data!H734/$B734</f>
        <v>0.105294280633944</v>
      </c>
    </row>
    <row r="735" spans="1:10">
      <c r="A735" s="4" cm="1">
        <f t="array" ref="A735">SUM(POWER(pima_data!A735:H735,2))</f>
        <v>20006.2036</v>
      </c>
      <c r="B735" s="4">
        <f t="shared" si="11"/>
        <v>141.443287574915</v>
      </c>
      <c r="C735" s="5">
        <f>pima_data!A735/$B735</f>
        <v>0.0141399428300244</v>
      </c>
      <c r="D735" s="5">
        <f>pima_data!B735/$B735</f>
        <v>0.742346998576284</v>
      </c>
      <c r="E735" s="5">
        <f>pima_data!C735/$B735</f>
        <v>0.530247856125917</v>
      </c>
      <c r="F735" s="5">
        <f>pima_data!D735/$B735</f>
        <v>0</v>
      </c>
      <c r="G735" s="5">
        <f>pima_data!E735/$B735</f>
        <v>0</v>
      </c>
      <c r="H735" s="5">
        <f>pima_data!F735/$B735</f>
        <v>0.164730333969785</v>
      </c>
      <c r="I735" s="5">
        <f>pima_data!G735/$B735</f>
        <v>0.00395918399240685</v>
      </c>
      <c r="J735" s="5">
        <f>pima_data!H735/$B735</f>
        <v>0.374708484995648</v>
      </c>
    </row>
    <row r="736" spans="1:10">
      <c r="A736" s="4" cm="1">
        <f t="array" ref="A736">SUM(POWER(pima_data!A736:H736,2))</f>
        <v>15702.240656</v>
      </c>
      <c r="B736" s="4">
        <f t="shared" si="11"/>
        <v>125.308581733256</v>
      </c>
      <c r="C736" s="5">
        <f>pima_data!A736/$B736</f>
        <v>0.0319211976121061</v>
      </c>
      <c r="D736" s="5">
        <f>pima_data!B736/$B736</f>
        <v>0.75812844328752</v>
      </c>
      <c r="E736" s="5">
        <f>pima_data!C736/$B736</f>
        <v>0.478817964181591</v>
      </c>
      <c r="F736" s="5">
        <f>pima_data!D736/$B736</f>
        <v>0.255369580896849</v>
      </c>
      <c r="G736" s="5">
        <f>pima_data!E736/$B736</f>
        <v>0</v>
      </c>
      <c r="H736" s="5">
        <f>pima_data!F736/$B736</f>
        <v>0.282502598867139</v>
      </c>
      <c r="I736" s="5">
        <f>pima_data!G736/$B736</f>
        <v>0.00226640503045953</v>
      </c>
      <c r="J736" s="5">
        <f>pima_data!H736/$B736</f>
        <v>0.223448383284743</v>
      </c>
    </row>
    <row r="737" spans="1:10">
      <c r="A737" s="4" cm="1">
        <f t="array" ref="A737">SUM(POWER(pima_data!A737:H737,2))</f>
        <v>39593.025225</v>
      </c>
      <c r="B737" s="4">
        <f t="shared" si="11"/>
        <v>198.979961868023</v>
      </c>
      <c r="C737" s="5">
        <f>pima_data!A737/$B737</f>
        <v>0</v>
      </c>
      <c r="D737" s="5">
        <f>pima_data!B737/$B737</f>
        <v>0.633229591648889</v>
      </c>
      <c r="E737" s="5">
        <f>pima_data!C737/$B737</f>
        <v>0.432204324458766</v>
      </c>
      <c r="F737" s="5">
        <f>pima_data!D737/$B737</f>
        <v>0.135692055353333</v>
      </c>
      <c r="G737" s="5">
        <f>pima_data!E737/$B737</f>
        <v>0.603075801570371</v>
      </c>
      <c r="H737" s="5">
        <f>pima_data!F737/$B737</f>
        <v>0.137702308025235</v>
      </c>
      <c r="I737" s="5">
        <f>pima_data!G737/$B737</f>
        <v>0.00258820031507284</v>
      </c>
      <c r="J737" s="5">
        <f>pima_data!H737/$B737</f>
        <v>0.105538265274815</v>
      </c>
    </row>
    <row r="738" spans="1:10">
      <c r="A738" s="4" cm="1">
        <f t="array" ref="A738">SUM(POWER(pima_data!A738:H738,2))</f>
        <v>12790.36</v>
      </c>
      <c r="B738" s="4">
        <f t="shared" si="11"/>
        <v>113.094473781878</v>
      </c>
      <c r="C738" s="5">
        <f>pima_data!A738/$B738</f>
        <v>0.070737320157918</v>
      </c>
      <c r="D738" s="5">
        <f>pima_data!B738/$B738</f>
        <v>0.574740726283084</v>
      </c>
      <c r="E738" s="5">
        <f>pima_data!C738/$B738</f>
        <v>0.636635881421262</v>
      </c>
      <c r="F738" s="5">
        <f>pima_data!D738/$B738</f>
        <v>0.203369795454014</v>
      </c>
      <c r="G738" s="5">
        <f>pima_data!E738/$B738</f>
        <v>0</v>
      </c>
      <c r="H738" s="5">
        <f>pima_data!F738/$B738</f>
        <v>0.282949280631672</v>
      </c>
      <c r="I738" s="5">
        <f>pima_data!G738/$B738</f>
        <v>0.00530529901184385</v>
      </c>
      <c r="J738" s="5">
        <f>pima_data!H738/$B738</f>
        <v>0.371370930829069</v>
      </c>
    </row>
    <row r="739" spans="1:10">
      <c r="A739" s="4" cm="1">
        <f t="array" ref="A739">SUM(POWER(pima_data!A739:H739,2))</f>
        <v>41074.765209</v>
      </c>
      <c r="B739" s="4">
        <f t="shared" si="11"/>
        <v>202.669102748791</v>
      </c>
      <c r="C739" s="5">
        <f>pima_data!A739/$B739</f>
        <v>0.00986830243423442</v>
      </c>
      <c r="D739" s="5">
        <f>pima_data!B739/$B739</f>
        <v>0.488480970494604</v>
      </c>
      <c r="E739" s="5">
        <f>pima_data!C739/$B739</f>
        <v>0.296049073027033</v>
      </c>
      <c r="F739" s="5">
        <f>pima_data!D739/$B739</f>
        <v>0.0838805706909926</v>
      </c>
      <c r="G739" s="5">
        <f>pima_data!E739/$B739</f>
        <v>0.789464194738754</v>
      </c>
      <c r="H739" s="5">
        <f>pima_data!F739/$B739</f>
        <v>0.18058993454649</v>
      </c>
      <c r="I739" s="5">
        <f>pima_data!G739/$B739</f>
        <v>0.0022351705013541</v>
      </c>
      <c r="J739" s="5">
        <f>pima_data!H739/$B739</f>
        <v>0.103617175559461</v>
      </c>
    </row>
    <row r="740" spans="1:10">
      <c r="A740" s="4" cm="1">
        <f t="array" ref="A740">SUM(POWER(pima_data!A740:H740,2))</f>
        <v>19205.335849</v>
      </c>
      <c r="B740" s="4">
        <f t="shared" si="11"/>
        <v>138.583317354579</v>
      </c>
      <c r="C740" s="5">
        <f>pima_data!A740/$B740</f>
        <v>0.0072158757568301</v>
      </c>
      <c r="D740" s="5">
        <f>pima_data!B740/$B740</f>
        <v>0.73601932719667</v>
      </c>
      <c r="E740" s="5">
        <f>pima_data!C740/$B740</f>
        <v>0.533974806005428</v>
      </c>
      <c r="F740" s="5">
        <f>pima_data!D740/$B740</f>
        <v>0</v>
      </c>
      <c r="G740" s="5">
        <f>pima_data!E740/$B740</f>
        <v>0</v>
      </c>
      <c r="H740" s="5">
        <f>pima_data!F740/$B740</f>
        <v>0.285027092394789</v>
      </c>
      <c r="I740" s="5">
        <f>pima_data!G740/$B740</f>
        <v>0.00211425159675122</v>
      </c>
      <c r="J740" s="5">
        <f>pima_data!H740/$B740</f>
        <v>0.303066781786864</v>
      </c>
    </row>
    <row r="741" spans="1:10">
      <c r="A741" s="4" cm="1">
        <f t="array" ref="A741">SUM(POWER(pima_data!A741:H741,2))</f>
        <v>48883.906225</v>
      </c>
      <c r="B741" s="4">
        <f t="shared" si="11"/>
        <v>221.097051597257</v>
      </c>
      <c r="C741" s="5">
        <f>pima_data!A741/$B741</f>
        <v>0.0497519072304829</v>
      </c>
      <c r="D741" s="5">
        <f>pima_data!B741/$B741</f>
        <v>0.542748078877995</v>
      </c>
      <c r="E741" s="5">
        <f>pima_data!C741/$B741</f>
        <v>0.36183205258533</v>
      </c>
      <c r="F741" s="5">
        <f>pima_data!D741/$B741</f>
        <v>0.167347324320715</v>
      </c>
      <c r="G741" s="5">
        <f>pima_data!E741/$B741</f>
        <v>0.678435098597494</v>
      </c>
      <c r="H741" s="5">
        <f>pima_data!F741/$B741</f>
        <v>0.191318697804493</v>
      </c>
      <c r="I741" s="5">
        <f>pima_data!G741/$B741</f>
        <v>0.00355047701599355</v>
      </c>
      <c r="J741" s="5">
        <f>pima_data!H741/$B741</f>
        <v>0.217099231551198</v>
      </c>
    </row>
    <row r="742" spans="1:10">
      <c r="A742" s="4" cm="1">
        <f t="array" ref="A742">SUM(POWER(pima_data!A742:H742,2))</f>
        <v>23209.8</v>
      </c>
      <c r="B742" s="4">
        <f t="shared" si="11"/>
        <v>152.347628796775</v>
      </c>
      <c r="C742" s="5">
        <f>pima_data!A742/$B742</f>
        <v>0.0196918063227742</v>
      </c>
      <c r="D742" s="5">
        <f>pima_data!B742/$B742</f>
        <v>0.669521414974324</v>
      </c>
      <c r="E742" s="5">
        <f>pima_data!C742/$B742</f>
        <v>0.288813159400689</v>
      </c>
      <c r="F742" s="5">
        <f>pima_data!D742/$B742</f>
        <v>0.131278708818495</v>
      </c>
      <c r="G742" s="5">
        <f>pima_data!E742/$B742</f>
        <v>0.617009931446926</v>
      </c>
      <c r="H742" s="5">
        <f>pima_data!F742/$B742</f>
        <v>0.202169211580482</v>
      </c>
      <c r="I742" s="5">
        <f>pima_data!G742/$B742</f>
        <v>0.0026255741763699</v>
      </c>
      <c r="J742" s="5">
        <f>pima_data!H742/$B742</f>
        <v>0.170662321464043</v>
      </c>
    </row>
    <row r="743" spans="1:10">
      <c r="A743" s="4" cm="1">
        <f t="array" ref="A743">SUM(POWER(pima_data!A743:H743,2))</f>
        <v>30322.297961</v>
      </c>
      <c r="B743" s="4">
        <f t="shared" si="11"/>
        <v>174.132989295538</v>
      </c>
      <c r="C743" s="5">
        <f>pima_data!A743/$B743</f>
        <v>0.00574273722656195</v>
      </c>
      <c r="D743" s="5">
        <f>pima_data!B743/$B743</f>
        <v>0.625958357695252</v>
      </c>
      <c r="E743" s="5">
        <f>pima_data!C743/$B743</f>
        <v>0.333078759140593</v>
      </c>
      <c r="F743" s="5">
        <f>pima_data!D743/$B743</f>
        <v>0.103369270078115</v>
      </c>
      <c r="G743" s="5">
        <f>pima_data!E743/$B743</f>
        <v>0.666157518281186</v>
      </c>
      <c r="H743" s="5">
        <f>pima_data!F743/$B743</f>
        <v>0.163668010957015</v>
      </c>
      <c r="I743" s="5">
        <f>pima_data!G743/$B743</f>
        <v>0.00125765945261707</v>
      </c>
      <c r="J743" s="5">
        <f>pima_data!H743/$B743</f>
        <v>0.126340218984363</v>
      </c>
    </row>
    <row r="744" spans="1:10">
      <c r="A744" s="4" cm="1">
        <f t="array" ref="A744">SUM(POWER(pima_data!A744:H744,2))</f>
        <v>31611.828756</v>
      </c>
      <c r="B744" s="4">
        <f t="shared" si="11"/>
        <v>177.797156208979</v>
      </c>
      <c r="C744" s="5">
        <f>pima_data!A744/$B744</f>
        <v>0.0506194822903782</v>
      </c>
      <c r="D744" s="5">
        <f>pima_data!B744/$B744</f>
        <v>0.787414168961438</v>
      </c>
      <c r="E744" s="5">
        <f>pima_data!C744/$B744</f>
        <v>0.528692370588394</v>
      </c>
      <c r="F744" s="5">
        <f>pima_data!D744/$B744</f>
        <v>0</v>
      </c>
      <c r="G744" s="5">
        <f>pima_data!E744/$B744</f>
        <v>0</v>
      </c>
      <c r="H744" s="5">
        <f>pima_data!F744/$B744</f>
        <v>0.183917452321707</v>
      </c>
      <c r="I744" s="5">
        <f>pima_data!G744/$B744</f>
        <v>0.0041283000001264</v>
      </c>
      <c r="J744" s="5">
        <f>pima_data!H744/$B744</f>
        <v>0.253097411451891</v>
      </c>
    </row>
    <row r="745" spans="1:10">
      <c r="A745" s="4" cm="1">
        <f t="array" ref="A745">SUM(POWER(pima_data!A745:H745,2))</f>
        <v>55461.738276</v>
      </c>
      <c r="B745" s="4">
        <f t="shared" si="11"/>
        <v>235.503159800458</v>
      </c>
      <c r="C745" s="5">
        <f>pima_data!A745/$B745</f>
        <v>0.055200957859822</v>
      </c>
      <c r="D745" s="5">
        <f>pima_data!B745/$B745</f>
        <v>0.649672811734828</v>
      </c>
      <c r="E745" s="5">
        <f>pima_data!C745/$B745</f>
        <v>0.373668022435718</v>
      </c>
      <c r="F745" s="5">
        <f>pima_data!D745/$B745</f>
        <v>0.157110418524109</v>
      </c>
      <c r="G745" s="5">
        <f>pima_data!E745/$B745</f>
        <v>0.594471853875006</v>
      </c>
      <c r="H745" s="5">
        <f>pima_data!F745/$B745</f>
        <v>0.172396837623752</v>
      </c>
      <c r="I745" s="5">
        <f>pima_data!G745/$B745</f>
        <v>0.00498507111749469</v>
      </c>
      <c r="J745" s="5">
        <f>pima_data!H745/$B745</f>
        <v>0.165602873579466</v>
      </c>
    </row>
    <row r="746" spans="1:10">
      <c r="A746" s="4" cm="1">
        <f t="array" ref="A746">SUM(POWER(pima_data!A746:H746,2))</f>
        <v>32330.238144</v>
      </c>
      <c r="B746" s="4">
        <f t="shared" si="11"/>
        <v>179.806112643592</v>
      </c>
      <c r="C746" s="5">
        <f>pima_data!A746/$B746</f>
        <v>0.0667385542325036</v>
      </c>
      <c r="D746" s="5">
        <f>pima_data!B746/$B746</f>
        <v>0.556154618604197</v>
      </c>
      <c r="E746" s="5">
        <f>pima_data!C746/$B746</f>
        <v>0.467169879627525</v>
      </c>
      <c r="F746" s="5">
        <f>pima_data!D746/$B746</f>
        <v>0.183531024139385</v>
      </c>
      <c r="G746" s="5">
        <f>pima_data!E746/$B746</f>
        <v>0.583962349534407</v>
      </c>
      <c r="H746" s="5">
        <f>pima_data!F746/$B746</f>
        <v>0.166846385581259</v>
      </c>
      <c r="I746" s="5">
        <f>pima_data!G746/$B746</f>
        <v>0.00271403453878848</v>
      </c>
      <c r="J746" s="5">
        <f>pima_data!H746/$B746</f>
        <v>0.255831124557931</v>
      </c>
    </row>
    <row r="747" spans="1:10">
      <c r="A747" s="4" cm="1">
        <f t="array" ref="A747">SUM(POWER(pima_data!A747:H747,2))</f>
        <v>35286.618164</v>
      </c>
      <c r="B747" s="4">
        <f t="shared" si="11"/>
        <v>187.847326741692</v>
      </c>
      <c r="C747" s="5">
        <f>pima_data!A747/$B747</f>
        <v>0.00532347208419471</v>
      </c>
      <c r="D747" s="5">
        <f>pima_data!B747/$B747</f>
        <v>0.782550396376622</v>
      </c>
      <c r="E747" s="5">
        <f>pima_data!C747/$B747</f>
        <v>0.500406375914303</v>
      </c>
      <c r="F747" s="5">
        <f>pima_data!D747/$B747</f>
        <v>0.218262355451983</v>
      </c>
      <c r="G747" s="5">
        <f>pima_data!E747/$B747</f>
        <v>0</v>
      </c>
      <c r="H747" s="5">
        <f>pima_data!F747/$B747</f>
        <v>0.262447173750799</v>
      </c>
      <c r="I747" s="5">
        <f>pima_data!G747/$B747</f>
        <v>0.00190580300614171</v>
      </c>
      <c r="J747" s="5">
        <f>pima_data!H747/$B747</f>
        <v>0.143733746273257</v>
      </c>
    </row>
    <row r="748" spans="1:10">
      <c r="A748" s="4" cm="1">
        <f t="array" ref="A748">SUM(POWER(pima_data!A748:H748,2))</f>
        <v>20136.891216</v>
      </c>
      <c r="B748" s="4">
        <f t="shared" si="11"/>
        <v>141.90451443136</v>
      </c>
      <c r="C748" s="5">
        <f>pima_data!A748/$B748</f>
        <v>0.00704699215530389</v>
      </c>
      <c r="D748" s="5">
        <f>pima_data!B748/$B748</f>
        <v>0.570806364579615</v>
      </c>
      <c r="E748" s="5">
        <f>pima_data!C748/$B748</f>
        <v>0.521477419492488</v>
      </c>
      <c r="F748" s="5">
        <f>pima_data!D748/$B748</f>
        <v>0.288926678367459</v>
      </c>
      <c r="G748" s="5">
        <f>pima_data!E748/$B748</f>
        <v>0.401678552852322</v>
      </c>
      <c r="H748" s="5">
        <f>pima_data!F748/$B748</f>
        <v>0.32627573679057</v>
      </c>
      <c r="I748" s="5">
        <f>pima_data!G748/$B748</f>
        <v>0.00772350340221306</v>
      </c>
      <c r="J748" s="5">
        <f>pima_data!H748/$B748</f>
        <v>0.225503748969724</v>
      </c>
    </row>
    <row r="749" spans="1:10">
      <c r="A749" s="4" cm="1">
        <f t="array" ref="A749">SUM(POWER(pima_data!A749:H749,2))</f>
        <v>82983.126464</v>
      </c>
      <c r="B749" s="4">
        <f t="shared" si="11"/>
        <v>288.067919880017</v>
      </c>
      <c r="C749" s="5">
        <f>pima_data!A749/$B749</f>
        <v>0.010414210652993</v>
      </c>
      <c r="D749" s="5">
        <f>pima_data!B749/$B749</f>
        <v>0.649152464036562</v>
      </c>
      <c r="E749" s="5">
        <f>pima_data!C749/$B749</f>
        <v>0.242998248569836</v>
      </c>
      <c r="F749" s="5">
        <f>pima_data!D749/$B749</f>
        <v>0.0763708781219484</v>
      </c>
      <c r="G749" s="5">
        <f>pima_data!E749/$B749</f>
        <v>0.694280710199531</v>
      </c>
      <c r="H749" s="5">
        <f>pima_data!F749/$B749</f>
        <v>0.126359089256315</v>
      </c>
      <c r="I749" s="5">
        <f>pima_data!G749/$B749</f>
        <v>0.00141633264880704</v>
      </c>
      <c r="J749" s="5">
        <f>pima_data!H749/$B749</f>
        <v>0.124970527835916</v>
      </c>
    </row>
    <row r="750" spans="1:10">
      <c r="A750" s="4" cm="1">
        <f t="array" ref="A750">SUM(POWER(pima_data!A750:H750,2))</f>
        <v>33214.521684</v>
      </c>
      <c r="B750" s="4">
        <f t="shared" si="11"/>
        <v>182.248516273796</v>
      </c>
      <c r="C750" s="5">
        <f>pima_data!A750/$B750</f>
        <v>0.0329220787234617</v>
      </c>
      <c r="D750" s="5">
        <f>pima_data!B750/$B750</f>
        <v>0.888896125533467</v>
      </c>
      <c r="E750" s="5">
        <f>pima_data!C750/$B750</f>
        <v>0.340194813475771</v>
      </c>
      <c r="F750" s="5">
        <f>pima_data!D750/$B750</f>
        <v>0</v>
      </c>
      <c r="G750" s="5">
        <f>pima_data!E750/$B750</f>
        <v>0</v>
      </c>
      <c r="H750" s="5">
        <f>pima_data!F750/$B750</f>
        <v>0.13333441883002</v>
      </c>
      <c r="I750" s="5">
        <f>pima_data!G750/$B750</f>
        <v>0.000976688335462698</v>
      </c>
      <c r="J750" s="5">
        <f>pima_data!H750/$B750</f>
        <v>0.274350656028848</v>
      </c>
    </row>
    <row r="751" spans="1:10">
      <c r="A751" s="4" cm="1">
        <f t="array" ref="A751">SUM(POWER(pima_data!A751:H751,2))</f>
        <v>24870.837124</v>
      </c>
      <c r="B751" s="4">
        <f t="shared" si="11"/>
        <v>157.704905199553</v>
      </c>
      <c r="C751" s="5">
        <f>pima_data!A751/$B751</f>
        <v>0.0253638274278062</v>
      </c>
      <c r="D751" s="5">
        <f>pima_data!B751/$B751</f>
        <v>0.862370132545411</v>
      </c>
      <c r="E751" s="5">
        <f>pima_data!C751/$B751</f>
        <v>0.443866979986609</v>
      </c>
      <c r="F751" s="5">
        <f>pima_data!D751/$B751</f>
        <v>0</v>
      </c>
      <c r="G751" s="5">
        <f>pima_data!E751/$B751</f>
        <v>0</v>
      </c>
      <c r="H751" s="5">
        <f>pima_data!F751/$B751</f>
        <v>0.197837853936888</v>
      </c>
      <c r="I751" s="5">
        <f>pima_data!G751/$B751</f>
        <v>0.00749501100491673</v>
      </c>
      <c r="J751" s="5">
        <f>pima_data!H751/$B751</f>
        <v>0.139501050852934</v>
      </c>
    </row>
    <row r="752" spans="1:10">
      <c r="A752" s="4" cm="1">
        <f t="array" ref="A752">SUM(POWER(pima_data!A752:H752,2))</f>
        <v>30028.068121</v>
      </c>
      <c r="B752" s="4">
        <f t="shared" si="11"/>
        <v>173.286087499834</v>
      </c>
      <c r="C752" s="5">
        <f>pima_data!A752/$B752</f>
        <v>0.0057708037294163</v>
      </c>
      <c r="D752" s="5">
        <f>pima_data!B752/$B752</f>
        <v>0.698267251259373</v>
      </c>
      <c r="E752" s="5">
        <f>pima_data!C752/$B752</f>
        <v>0.450122690894472</v>
      </c>
      <c r="F752" s="5">
        <f>pima_data!D752/$B752</f>
        <v>0.225061345447236</v>
      </c>
      <c r="G752" s="5">
        <f>pima_data!E752/$B752</f>
        <v>0.427039475976807</v>
      </c>
      <c r="H752" s="5">
        <f>pima_data!F752/$B752</f>
        <v>0.225061345447236</v>
      </c>
      <c r="I752" s="5">
        <f>pima_data!G752/$B752</f>
        <v>0.00150617977337766</v>
      </c>
      <c r="J752" s="5">
        <f>pima_data!H752/$B752</f>
        <v>0.161582504423657</v>
      </c>
    </row>
    <row r="753" spans="1:10">
      <c r="A753" s="4" cm="1">
        <f t="array" ref="A753">SUM(POWER(pima_data!A753:H753,2))</f>
        <v>17394.049729</v>
      </c>
      <c r="B753" s="4">
        <f t="shared" si="11"/>
        <v>131.886503210147</v>
      </c>
      <c r="C753" s="5">
        <f>pima_data!A753/$B753</f>
        <v>0.0227468310022583</v>
      </c>
      <c r="D753" s="5">
        <f>pima_data!B753/$B753</f>
        <v>0.818885916081299</v>
      </c>
      <c r="E753" s="5">
        <f>pima_data!C753/$B753</f>
        <v>0.470101174046671</v>
      </c>
      <c r="F753" s="5">
        <f>pima_data!D753/$B753</f>
        <v>0.181974648018066</v>
      </c>
      <c r="G753" s="5">
        <f>pima_data!E753/$B753</f>
        <v>0</v>
      </c>
      <c r="H753" s="5">
        <f>pima_data!F753/$B753</f>
        <v>0.197139202019572</v>
      </c>
      <c r="I753" s="5">
        <f>pima_data!G753/$B753</f>
        <v>0.00169084777116787</v>
      </c>
      <c r="J753" s="5">
        <f>pima_data!H753/$B753</f>
        <v>0.189556925018819</v>
      </c>
    </row>
    <row r="754" spans="1:10">
      <c r="A754" s="4" cm="1">
        <f t="array" ref="A754">SUM(POWER(pima_data!A754:H754,2))</f>
        <v>305091.939284</v>
      </c>
      <c r="B754" s="4">
        <f t="shared" si="11"/>
        <v>552.351282504169</v>
      </c>
      <c r="C754" s="5">
        <f>pima_data!A754/$B754</f>
        <v>0</v>
      </c>
      <c r="D754" s="5">
        <f>pima_data!B754/$B754</f>
        <v>0.327690014911179</v>
      </c>
      <c r="E754" s="5">
        <f>pima_data!C754/$B754</f>
        <v>0.159318902277258</v>
      </c>
      <c r="F754" s="5">
        <f>pima_data!D754/$B754</f>
        <v>0.0796594511386292</v>
      </c>
      <c r="G754" s="5">
        <f>pima_data!E754/$B754</f>
        <v>0.923325456379566</v>
      </c>
      <c r="H754" s="5">
        <f>pima_data!F754/$B754</f>
        <v>0.0783921416886965</v>
      </c>
      <c r="I754" s="5">
        <f>pima_data!G754/$B754</f>
        <v>0.000401918139835811</v>
      </c>
      <c r="J754" s="5">
        <f>pima_data!H754/$B754</f>
        <v>0.0470714938546445</v>
      </c>
    </row>
    <row r="755" spans="1:10">
      <c r="A755" s="4" cm="1">
        <f t="array" ref="A755">SUM(POWER(pima_data!A755:H755,2))</f>
        <v>33962.956249</v>
      </c>
      <c r="B755" s="4">
        <f t="shared" si="11"/>
        <v>184.290412797302</v>
      </c>
      <c r="C755" s="5">
        <f>pima_data!A755/$B755</f>
        <v>0.0434097459470074</v>
      </c>
      <c r="D755" s="5">
        <f>pima_data!B755/$B755</f>
        <v>0.835637609479892</v>
      </c>
      <c r="E755" s="5">
        <f>pima_data!C755/$B755</f>
        <v>0.423245022983322</v>
      </c>
      <c r="F755" s="5">
        <f>pima_data!D755/$B755</f>
        <v>0.17363898378803</v>
      </c>
      <c r="G755" s="5">
        <f>pima_data!E755/$B755</f>
        <v>0</v>
      </c>
      <c r="H755" s="5">
        <f>pima_data!F755/$B755</f>
        <v>0.17580947108538</v>
      </c>
      <c r="I755" s="5">
        <f>pima_data!G755/$B755</f>
        <v>0.00240381468181553</v>
      </c>
      <c r="J755" s="5">
        <f>pima_data!H755/$B755</f>
        <v>0.244179820951917</v>
      </c>
    </row>
    <row r="756" spans="1:10">
      <c r="A756" s="4" cm="1">
        <f t="array" ref="A756">SUM(POWER(pima_data!A756:H756,2))</f>
        <v>40452.367249</v>
      </c>
      <c r="B756" s="4">
        <f t="shared" si="11"/>
        <v>201.12773863642</v>
      </c>
      <c r="C756" s="5">
        <f>pima_data!A756/$B756</f>
        <v>0.00497196461701241</v>
      </c>
      <c r="D756" s="5">
        <f>pima_data!B756/$B756</f>
        <v>0.636411470977589</v>
      </c>
      <c r="E756" s="5">
        <f>pima_data!C756/$B756</f>
        <v>0.437532886297092</v>
      </c>
      <c r="F756" s="5">
        <f>pima_data!D756/$B756</f>
        <v>0.193906620063484</v>
      </c>
      <c r="G756" s="5">
        <f>pima_data!E756/$B756</f>
        <v>0.546916107871366</v>
      </c>
      <c r="H756" s="5">
        <f>pima_data!F756/$B756</f>
        <v>0.181476708520953</v>
      </c>
      <c r="I756" s="5">
        <f>pima_data!G756/$B756</f>
        <v>0.00525536660018212</v>
      </c>
      <c r="J756" s="5">
        <f>pima_data!H756/$B756</f>
        <v>0.183962690829459</v>
      </c>
    </row>
    <row r="757" spans="1:10">
      <c r="A757" s="4" cm="1">
        <f t="array" ref="A757">SUM(POWER(pima_data!A757:H757,2))</f>
        <v>31144.152881</v>
      </c>
      <c r="B757" s="4">
        <f t="shared" si="11"/>
        <v>176.477060495125</v>
      </c>
      <c r="C757" s="5">
        <f>pima_data!A757/$B757</f>
        <v>0.0396652118998399</v>
      </c>
      <c r="D757" s="5">
        <f>pima_data!B757/$B757</f>
        <v>0.776304861468295</v>
      </c>
      <c r="E757" s="5">
        <f>pima_data!C757/$B757</f>
        <v>0.509981295855085</v>
      </c>
      <c r="F757" s="5">
        <f>pima_data!D757/$B757</f>
        <v>0.232324812556205</v>
      </c>
      <c r="G757" s="5">
        <f>pima_data!E757/$B757</f>
        <v>0</v>
      </c>
      <c r="H757" s="5">
        <f>pima_data!F757/$B757</f>
        <v>0.181326682970697</v>
      </c>
      <c r="I757" s="5">
        <f>pima_data!G757/$B757</f>
        <v>0.0022155854075482</v>
      </c>
      <c r="J757" s="5">
        <f>pima_data!H757/$B757</f>
        <v>0.220991894870537</v>
      </c>
    </row>
    <row r="758" spans="1:10">
      <c r="A758" s="4" cm="1">
        <f t="array" ref="A758">SUM(POWER(pima_data!A758:H758,2))</f>
        <v>24334.756564</v>
      </c>
      <c r="B758" s="4">
        <f t="shared" si="11"/>
        <v>155.996014577296</v>
      </c>
      <c r="C758" s="5">
        <f>pima_data!A758/$B758</f>
        <v>0</v>
      </c>
      <c r="D758" s="5">
        <f>pima_data!B758/$B758</f>
        <v>0.788481682261526</v>
      </c>
      <c r="E758" s="5">
        <f>pima_data!C758/$B758</f>
        <v>0.461550253031137</v>
      </c>
      <c r="F758" s="5">
        <f>pima_data!D758/$B758</f>
        <v>0</v>
      </c>
      <c r="G758" s="5">
        <f>pima_data!E758/$B758</f>
        <v>0</v>
      </c>
      <c r="H758" s="5">
        <f>pima_data!F758/$B758</f>
        <v>0.232698252569865</v>
      </c>
      <c r="I758" s="5">
        <f>pima_data!G758/$B758</f>
        <v>0.00165388840669491</v>
      </c>
      <c r="J758" s="5">
        <f>pima_data!H758/$B758</f>
        <v>0.333341849411377</v>
      </c>
    </row>
    <row r="759" spans="1:10">
      <c r="A759" s="4" cm="1">
        <f t="array" ref="A759">SUM(POWER(pima_data!A759:H759,2))</f>
        <v>19095.288809</v>
      </c>
      <c r="B759" s="4">
        <f t="shared" si="11"/>
        <v>138.185704068836</v>
      </c>
      <c r="C759" s="5">
        <f>pima_data!A759/$B759</f>
        <v>0.00723663859976323</v>
      </c>
      <c r="D759" s="5">
        <f>pima_data!B759/$B759</f>
        <v>0.767083691574903</v>
      </c>
      <c r="E759" s="5">
        <f>pima_data!C759/$B759</f>
        <v>0.549984533582006</v>
      </c>
      <c r="F759" s="5">
        <f>pima_data!D759/$B759</f>
        <v>0</v>
      </c>
      <c r="G759" s="5">
        <f>pima_data!E759/$B759</f>
        <v>0</v>
      </c>
      <c r="H759" s="5">
        <f>pima_data!F759/$B759</f>
        <v>0.271373947491121</v>
      </c>
      <c r="I759" s="5">
        <f>pima_data!G759/$B759</f>
        <v>0.00142561780415336</v>
      </c>
      <c r="J759" s="5">
        <f>pima_data!H759/$B759</f>
        <v>0.188152603593844</v>
      </c>
    </row>
    <row r="760" spans="1:10">
      <c r="A760" s="4" cm="1">
        <f t="array" ref="A760">SUM(POWER(pima_data!A760:H760,2))</f>
        <v>50216.327284</v>
      </c>
      <c r="B760" s="4">
        <f t="shared" si="11"/>
        <v>224.089998179303</v>
      </c>
      <c r="C760" s="5">
        <f>pima_data!A760/$B760</f>
        <v>0.0267749567082381</v>
      </c>
      <c r="D760" s="5">
        <f>pima_data!B760/$B760</f>
        <v>0.847873629094208</v>
      </c>
      <c r="E760" s="5">
        <f>pima_data!C760/$B760</f>
        <v>0.410549336192985</v>
      </c>
      <c r="F760" s="5">
        <f>pima_data!D760/$B760</f>
        <v>0</v>
      </c>
      <c r="G760" s="5">
        <f>pima_data!E760/$B760</f>
        <v>0</v>
      </c>
      <c r="H760" s="5">
        <f>pima_data!F760/$B760</f>
        <v>0.158418493857076</v>
      </c>
      <c r="I760" s="5">
        <f>pima_data!G760/$B760</f>
        <v>0.00124057299414837</v>
      </c>
      <c r="J760" s="5">
        <f>pima_data!H760/$B760</f>
        <v>0.29452452379062</v>
      </c>
    </row>
    <row r="761" spans="1:10">
      <c r="A761" s="4" cm="1">
        <f t="array" ref="A761">SUM(POWER(pima_data!A761:H761,2))</f>
        <v>13335.146756</v>
      </c>
      <c r="B761" s="4">
        <f t="shared" si="11"/>
        <v>115.477905921436</v>
      </c>
      <c r="C761" s="5">
        <f>pima_data!A761/$B761</f>
        <v>0.0173193303432492</v>
      </c>
      <c r="D761" s="5">
        <f>pima_data!B761/$B761</f>
        <v>0.762050535102964</v>
      </c>
      <c r="E761" s="5">
        <f>pima_data!C761/$B761</f>
        <v>0.502260579954226</v>
      </c>
      <c r="F761" s="5">
        <f>pima_data!D761/$B761</f>
        <v>0.225151294462239</v>
      </c>
      <c r="G761" s="5">
        <f>pima_data!E761/$B761</f>
        <v>0.138554642745993</v>
      </c>
      <c r="H761" s="5">
        <f>pima_data!F761/$B761</f>
        <v>0.245934490874138</v>
      </c>
      <c r="I761" s="5">
        <f>pima_data!G761/$B761</f>
        <v>0.00663330352146444</v>
      </c>
      <c r="J761" s="5">
        <f>pima_data!H761/$B761</f>
        <v>0.190512633775741</v>
      </c>
    </row>
    <row r="762" spans="1:10">
      <c r="A762" s="4" cm="1">
        <f t="array" ref="A762">SUM(POWER(pima_data!A762:H762,2))</f>
        <v>39203.162409</v>
      </c>
      <c r="B762" s="4">
        <f t="shared" si="11"/>
        <v>197.997884859915</v>
      </c>
      <c r="C762" s="5">
        <f>pima_data!A762/$B762</f>
        <v>0.0454550310290819</v>
      </c>
      <c r="D762" s="5">
        <f>pima_data!B762/$B762</f>
        <v>0.858595030549325</v>
      </c>
      <c r="E762" s="5">
        <f>pima_data!C762/$B762</f>
        <v>0.373741366239118</v>
      </c>
      <c r="F762" s="5">
        <f>pima_data!D762/$B762</f>
        <v>0.156567329100171</v>
      </c>
      <c r="G762" s="5">
        <f>pima_data!E762/$B762</f>
        <v>0</v>
      </c>
      <c r="H762" s="5">
        <f>pima_data!F762/$B762</f>
        <v>0.222224596142178</v>
      </c>
      <c r="I762" s="5">
        <f>pima_data!G762/$B762</f>
        <v>0.00203537527830222</v>
      </c>
      <c r="J762" s="5">
        <f>pima_data!H762/$B762</f>
        <v>0.217174037138947</v>
      </c>
    </row>
    <row r="763" spans="1:10">
      <c r="A763" s="4" cm="1">
        <f t="array" ref="A763">SUM(POWER(pima_data!A763:H763,2))</f>
        <v>13441.270164</v>
      </c>
      <c r="B763" s="4">
        <f t="shared" si="11"/>
        <v>115.936491942787</v>
      </c>
      <c r="C763" s="5">
        <f>pima_data!A763/$B763</f>
        <v>0.0776287073136674</v>
      </c>
      <c r="D763" s="5">
        <f>pima_data!B763/$B763</f>
        <v>0.767661661212933</v>
      </c>
      <c r="E763" s="5">
        <f>pima_data!C763/$B763</f>
        <v>0.534775539271931</v>
      </c>
      <c r="F763" s="5">
        <f>pima_data!D763/$B763</f>
        <v>0</v>
      </c>
      <c r="G763" s="5">
        <f>pima_data!E763/$B763</f>
        <v>0</v>
      </c>
      <c r="H763" s="5">
        <f>pima_data!F763/$B763</f>
        <v>0.194071768284168</v>
      </c>
      <c r="I763" s="5">
        <f>pima_data!G763/$B763</f>
        <v>0.0012248084931712</v>
      </c>
      <c r="J763" s="5">
        <f>pima_data!H763/$B763</f>
        <v>0.284638593483447</v>
      </c>
    </row>
    <row r="764" spans="1:10">
      <c r="A764" s="4" cm="1">
        <f t="array" ref="A764">SUM(POWER(pima_data!A764:H764,2))</f>
        <v>55832.439241</v>
      </c>
      <c r="B764" s="4">
        <f t="shared" si="11"/>
        <v>236.288889372734</v>
      </c>
      <c r="C764" s="5">
        <f>pima_data!A764/$B764</f>
        <v>0.0423210758091359</v>
      </c>
      <c r="D764" s="5">
        <f>pima_data!B764/$B764</f>
        <v>0.427442865672273</v>
      </c>
      <c r="E764" s="5">
        <f>pima_data!C764/$B764</f>
        <v>0.321640176149433</v>
      </c>
      <c r="F764" s="5">
        <f>pima_data!D764/$B764</f>
        <v>0.203141163883853</v>
      </c>
      <c r="G764" s="5">
        <f>pima_data!E764/$B764</f>
        <v>0.761779364564447</v>
      </c>
      <c r="H764" s="5">
        <f>pima_data!F764/$B764</f>
        <v>0.139236339412057</v>
      </c>
      <c r="I764" s="5">
        <f>pima_data!G764/$B764</f>
        <v>0.000723690396336225</v>
      </c>
      <c r="J764" s="5">
        <f>pima_data!H764/$B764</f>
        <v>0.266622777597556</v>
      </c>
    </row>
    <row r="765" spans="1:10">
      <c r="A765" s="4" cm="1">
        <f t="array" ref="A765">SUM(POWER(pima_data!A765:H765,2))</f>
        <v>22600.3556</v>
      </c>
      <c r="B765" s="4">
        <f t="shared" si="11"/>
        <v>150.334146487084</v>
      </c>
      <c r="C765" s="5">
        <f>pima_data!A765/$B765</f>
        <v>0.0133036974415645</v>
      </c>
      <c r="D765" s="5">
        <f>pima_data!B765/$B765</f>
        <v>0.811525543935434</v>
      </c>
      <c r="E765" s="5">
        <f>pima_data!C765/$B765</f>
        <v>0.465629410454757</v>
      </c>
      <c r="F765" s="5">
        <f>pima_data!D765/$B765</f>
        <v>0.179599915461121</v>
      </c>
      <c r="G765" s="5">
        <f>pima_data!E765/$B765</f>
        <v>0</v>
      </c>
      <c r="H765" s="5">
        <f>pima_data!F765/$B765</f>
        <v>0.244788032924787</v>
      </c>
      <c r="I765" s="5">
        <f>pima_data!G765/$B765</f>
        <v>0.00226162856506596</v>
      </c>
      <c r="J765" s="5">
        <f>pima_data!H765/$B765</f>
        <v>0.179599915461121</v>
      </c>
    </row>
    <row r="766" spans="1:10">
      <c r="A766" s="4" cm="1">
        <f t="array" ref="A766">SUM(POWER(pima_data!A766:H766,2))</f>
        <v>34509.500025</v>
      </c>
      <c r="B766" s="4">
        <f t="shared" si="11"/>
        <v>185.767327657476</v>
      </c>
      <c r="C766" s="5">
        <f>pima_data!A766/$B766</f>
        <v>0.0269153896061807</v>
      </c>
      <c r="D766" s="5">
        <f>pima_data!B766/$B766</f>
        <v>0.651352428469574</v>
      </c>
      <c r="E766" s="5">
        <f>pima_data!C766/$B766</f>
        <v>0.387581610329003</v>
      </c>
      <c r="F766" s="5">
        <f>pima_data!D766/$B766</f>
        <v>0.123810792188431</v>
      </c>
      <c r="G766" s="5">
        <f>pima_data!E766/$B766</f>
        <v>0.602904727178449</v>
      </c>
      <c r="H766" s="5">
        <f>pima_data!F766/$B766</f>
        <v>0.141036641536387</v>
      </c>
      <c r="I766" s="5">
        <f>pima_data!G766/$B766</f>
        <v>0.00131885409070286</v>
      </c>
      <c r="J766" s="5">
        <f>pima_data!H766/$B766</f>
        <v>0.161492337637085</v>
      </c>
    </row>
    <row r="767" spans="1:10">
      <c r="A767" s="4" cm="1">
        <f t="array" ref="A767">SUM(POWER(pima_data!A767:H767,2))</f>
        <v>22592.131801</v>
      </c>
      <c r="B767" s="4">
        <f t="shared" si="11"/>
        <v>150.30679226502</v>
      </c>
      <c r="C767" s="5">
        <f>pima_data!A767/$B767</f>
        <v>0.00665305928581593</v>
      </c>
      <c r="D767" s="5">
        <f>pima_data!B767/$B767</f>
        <v>0.838285470012807</v>
      </c>
      <c r="E767" s="5">
        <f>pima_data!C767/$B767</f>
        <v>0.399183557148956</v>
      </c>
      <c r="F767" s="5">
        <f>pima_data!D767/$B767</f>
        <v>0</v>
      </c>
      <c r="G767" s="5">
        <f>pima_data!E767/$B767</f>
        <v>0</v>
      </c>
      <c r="H767" s="5">
        <f>pima_data!F767/$B767</f>
        <v>0.200257084503059</v>
      </c>
      <c r="I767" s="5">
        <f>pima_data!G767/$B767</f>
        <v>0.00232191769074976</v>
      </c>
      <c r="J767" s="5">
        <f>pima_data!H767/$B767</f>
        <v>0.312693786433349</v>
      </c>
    </row>
    <row r="768" spans="1:10">
      <c r="A768" s="4" cm="1">
        <f t="array" ref="A768">SUM(POWER(pima_data!A768:H768,2))</f>
        <v>15964.259225</v>
      </c>
      <c r="B768" s="4">
        <f t="shared" si="11"/>
        <v>126.349749604026</v>
      </c>
      <c r="C768" s="5">
        <f>pima_data!A768/$B768</f>
        <v>0.00791453883473417</v>
      </c>
      <c r="D768" s="5">
        <f>pima_data!B768/$B768</f>
        <v>0.736052111630278</v>
      </c>
      <c r="E768" s="5">
        <f>pima_data!C768/$B768</f>
        <v>0.554017718431392</v>
      </c>
      <c r="F768" s="5">
        <f>pima_data!D768/$B768</f>
        <v>0.245350703876759</v>
      </c>
      <c r="G768" s="5">
        <f>pima_data!E768/$B768</f>
        <v>0</v>
      </c>
      <c r="H768" s="5">
        <f>pima_data!F768/$B768</f>
        <v>0.240601980575919</v>
      </c>
      <c r="I768" s="5">
        <f>pima_data!G768/$B768</f>
        <v>0.00249307973294126</v>
      </c>
      <c r="J768" s="5">
        <f>pima_data!H768/$B768</f>
        <v>0.182034393198886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O27" sqref="O27:P27"/>
    </sheetView>
  </sheetViews>
  <sheetFormatPr defaultColWidth="9" defaultRowHeight="13.5" outlineLevelRow="3"/>
  <sheetData>
    <row r="1" spans="9:16"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</row>
    <row r="2" spans="1:16">
      <c r="A2" t="s">
        <v>8</v>
      </c>
      <c r="C2" t="s">
        <v>0</v>
      </c>
      <c r="D2" t="s">
        <v>1</v>
      </c>
      <c r="E2" t="s">
        <v>2</v>
      </c>
      <c r="F2" t="s">
        <v>3</v>
      </c>
      <c r="I2">
        <v>1</v>
      </c>
      <c r="J2">
        <v>1</v>
      </c>
      <c r="K2">
        <v>1</v>
      </c>
      <c r="L2">
        <v>1</v>
      </c>
      <c r="M2" s="2">
        <v>0</v>
      </c>
      <c r="N2" s="2">
        <v>0</v>
      </c>
      <c r="O2" s="2">
        <v>0</v>
      </c>
      <c r="P2" s="2">
        <v>0</v>
      </c>
    </row>
    <row r="3" spans="1:16">
      <c r="A3" t="s">
        <v>9</v>
      </c>
      <c r="C3" t="s">
        <v>0</v>
      </c>
      <c r="D3" t="s">
        <v>4</v>
      </c>
      <c r="E3" s="2" t="s">
        <v>10</v>
      </c>
      <c r="F3" s="2" t="s">
        <v>0</v>
      </c>
      <c r="G3" s="2" t="s">
        <v>1</v>
      </c>
      <c r="H3" s="2" t="s">
        <v>2</v>
      </c>
      <c r="I3">
        <v>1</v>
      </c>
      <c r="J3" s="2">
        <v>0</v>
      </c>
      <c r="K3" s="2">
        <v>0</v>
      </c>
      <c r="L3" s="2">
        <v>0</v>
      </c>
      <c r="M3">
        <v>1</v>
      </c>
      <c r="N3" s="2">
        <v>0</v>
      </c>
      <c r="O3" s="2">
        <v>0</v>
      </c>
      <c r="P3" s="2">
        <v>0</v>
      </c>
    </row>
    <row r="4" spans="1:16">
      <c r="A4" t="s">
        <v>11</v>
      </c>
      <c r="C4" t="s">
        <v>0</v>
      </c>
      <c r="D4" t="s">
        <v>5</v>
      </c>
      <c r="E4" t="s">
        <v>6</v>
      </c>
      <c r="F4" t="s">
        <v>7</v>
      </c>
      <c r="I4">
        <v>1</v>
      </c>
      <c r="J4" s="2">
        <v>0</v>
      </c>
      <c r="K4" s="2">
        <v>0</v>
      </c>
      <c r="L4" s="2">
        <v>0</v>
      </c>
      <c r="M4" s="2">
        <v>0</v>
      </c>
      <c r="N4">
        <v>1</v>
      </c>
      <c r="O4">
        <v>1</v>
      </c>
      <c r="P4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4"/>
  <sheetViews>
    <sheetView workbookViewId="0">
      <pane xSplit="5" ySplit="11" topLeftCell="F756" activePane="bottomRight" state="frozen"/>
      <selection/>
      <selection pane="topRight"/>
      <selection pane="bottomLeft"/>
      <selection pane="bottomRight" activeCell="A776" sqref="A775:A776"/>
    </sheetView>
  </sheetViews>
  <sheetFormatPr defaultColWidth="9" defaultRowHeight="13.5"/>
  <cols>
    <col min="2" max="2" width="9.375"/>
    <col min="5" max="5" width="9.375"/>
  </cols>
  <sheetData>
    <row r="1" spans="1:9">
      <c r="A1" s="1" t="s">
        <v>12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</row>
    <row r="3" spans="1:9">
      <c r="A3" s="1">
        <v>5</v>
      </c>
      <c r="B3" s="1">
        <v>2</v>
      </c>
      <c r="C3" s="1">
        <v>7</v>
      </c>
      <c r="D3" s="1">
        <v>6</v>
      </c>
      <c r="E3" s="1">
        <v>1</v>
      </c>
      <c r="F3" s="1">
        <v>4</v>
      </c>
      <c r="G3" s="1">
        <v>8</v>
      </c>
      <c r="H3" s="1">
        <v>3</v>
      </c>
      <c r="I3" s="1"/>
    </row>
    <row r="4" spans="1:9">
      <c r="A4" s="1">
        <v>111.52</v>
      </c>
      <c r="B4" s="1">
        <v>1411.887</v>
      </c>
      <c r="C4" s="1">
        <v>17.605</v>
      </c>
      <c r="D4" s="1">
        <v>53.108</v>
      </c>
      <c r="E4" s="1">
        <v>2175.565</v>
      </c>
      <c r="F4" s="1">
        <v>127.669</v>
      </c>
      <c r="G4" s="1">
        <v>5.393</v>
      </c>
      <c r="H4" s="1">
        <v>181.304</v>
      </c>
      <c r="I4" s="1"/>
    </row>
    <row r="5" spans="1:9">
      <c r="A5" s="2">
        <v>6</v>
      </c>
      <c r="B5" s="2">
        <v>148</v>
      </c>
      <c r="C5" s="2">
        <v>72</v>
      </c>
      <c r="D5" s="2">
        <v>35</v>
      </c>
      <c r="E5" s="2">
        <v>0</v>
      </c>
      <c r="F5" s="2">
        <v>33.6</v>
      </c>
      <c r="G5" s="2">
        <v>0.627</v>
      </c>
      <c r="H5" s="2">
        <v>50</v>
      </c>
      <c r="I5">
        <v>1</v>
      </c>
    </row>
    <row r="6" spans="1:9">
      <c r="A6" s="2">
        <v>1</v>
      </c>
      <c r="B6" s="2">
        <v>85</v>
      </c>
      <c r="C6" s="2">
        <v>66</v>
      </c>
      <c r="D6" s="2">
        <v>29</v>
      </c>
      <c r="E6" s="2">
        <v>0</v>
      </c>
      <c r="F6" s="2">
        <v>26.6</v>
      </c>
      <c r="G6" s="2">
        <v>0.351</v>
      </c>
      <c r="H6" s="2">
        <v>31</v>
      </c>
      <c r="I6">
        <v>0</v>
      </c>
    </row>
    <row r="7" spans="1:9">
      <c r="A7" s="2">
        <v>8</v>
      </c>
      <c r="B7" s="2">
        <v>183</v>
      </c>
      <c r="C7" s="2">
        <v>64</v>
      </c>
      <c r="D7" s="2">
        <v>0</v>
      </c>
      <c r="E7" s="2">
        <v>0</v>
      </c>
      <c r="F7" s="2">
        <v>23.3</v>
      </c>
      <c r="G7" s="2">
        <v>0.672</v>
      </c>
      <c r="H7" s="2">
        <v>32</v>
      </c>
      <c r="I7">
        <v>1</v>
      </c>
    </row>
    <row r="8" spans="1:9">
      <c r="A8" s="2">
        <v>1</v>
      </c>
      <c r="B8" s="2">
        <v>89</v>
      </c>
      <c r="C8" s="2">
        <v>66</v>
      </c>
      <c r="D8" s="2">
        <v>23</v>
      </c>
      <c r="E8" s="2">
        <v>94</v>
      </c>
      <c r="F8" s="2">
        <v>28.1</v>
      </c>
      <c r="G8" s="2">
        <v>0.167</v>
      </c>
      <c r="H8" s="2">
        <v>21</v>
      </c>
      <c r="I8">
        <v>0</v>
      </c>
    </row>
    <row r="9" spans="1:9">
      <c r="A9" s="2">
        <v>0</v>
      </c>
      <c r="B9" s="2">
        <v>137</v>
      </c>
      <c r="C9" s="2">
        <v>40</v>
      </c>
      <c r="D9" s="2">
        <v>35</v>
      </c>
      <c r="E9" s="2">
        <v>168</v>
      </c>
      <c r="F9" s="2">
        <v>43.1</v>
      </c>
      <c r="G9" s="2">
        <v>2.288</v>
      </c>
      <c r="H9" s="2">
        <v>33</v>
      </c>
      <c r="I9">
        <v>1</v>
      </c>
    </row>
    <row r="10" spans="1:9">
      <c r="A10" s="2">
        <v>5</v>
      </c>
      <c r="B10" s="2">
        <v>116</v>
      </c>
      <c r="C10" s="2">
        <v>74</v>
      </c>
      <c r="D10" s="2">
        <v>0</v>
      </c>
      <c r="E10" s="2">
        <v>0</v>
      </c>
      <c r="F10" s="2">
        <v>25.6</v>
      </c>
      <c r="G10" s="2">
        <v>0.201</v>
      </c>
      <c r="H10" s="2">
        <v>30</v>
      </c>
      <c r="I10">
        <v>0</v>
      </c>
    </row>
    <row r="11" spans="1:9">
      <c r="A11" s="2">
        <v>3</v>
      </c>
      <c r="B11" s="2">
        <v>78</v>
      </c>
      <c r="C11" s="2">
        <v>50</v>
      </c>
      <c r="D11" s="2">
        <v>32</v>
      </c>
      <c r="E11" s="2">
        <v>88</v>
      </c>
      <c r="F11" s="2">
        <v>31</v>
      </c>
      <c r="G11" s="2">
        <v>0.248</v>
      </c>
      <c r="H11" s="2">
        <v>26</v>
      </c>
      <c r="I11">
        <v>1</v>
      </c>
    </row>
    <row r="12" spans="1:9">
      <c r="A12" s="2">
        <v>10</v>
      </c>
      <c r="B12" s="2">
        <v>115</v>
      </c>
      <c r="C12" s="2">
        <v>0</v>
      </c>
      <c r="D12" s="2">
        <v>0</v>
      </c>
      <c r="E12" s="2">
        <v>0</v>
      </c>
      <c r="F12" s="2">
        <v>35.3</v>
      </c>
      <c r="G12" s="2">
        <v>0.134</v>
      </c>
      <c r="H12" s="2">
        <v>29</v>
      </c>
      <c r="I12">
        <v>0</v>
      </c>
    </row>
    <row r="13" spans="1:9">
      <c r="A13" s="2">
        <v>2</v>
      </c>
      <c r="B13" s="2">
        <v>197</v>
      </c>
      <c r="C13" s="2">
        <v>70</v>
      </c>
      <c r="D13" s="2">
        <v>45</v>
      </c>
      <c r="E13" s="2">
        <v>543</v>
      </c>
      <c r="F13" s="2">
        <v>30.5</v>
      </c>
      <c r="G13" s="2">
        <v>0.158</v>
      </c>
      <c r="H13" s="2">
        <v>53</v>
      </c>
      <c r="I13">
        <v>1</v>
      </c>
    </row>
    <row r="14" spans="1:9">
      <c r="A14" s="2">
        <v>8</v>
      </c>
      <c r="B14" s="2">
        <v>125</v>
      </c>
      <c r="C14" s="2">
        <v>96</v>
      </c>
      <c r="D14" s="2">
        <v>0</v>
      </c>
      <c r="E14" s="2">
        <v>0</v>
      </c>
      <c r="F14" s="2">
        <v>0</v>
      </c>
      <c r="G14" s="2">
        <v>0.232</v>
      </c>
      <c r="H14" s="2">
        <v>54</v>
      </c>
      <c r="I14">
        <v>1</v>
      </c>
    </row>
    <row r="15" spans="1:9">
      <c r="A15" s="2">
        <v>4</v>
      </c>
      <c r="B15" s="2">
        <v>110</v>
      </c>
      <c r="C15" s="2">
        <v>92</v>
      </c>
      <c r="D15" s="2">
        <v>0</v>
      </c>
      <c r="E15" s="2">
        <v>0</v>
      </c>
      <c r="F15" s="2">
        <v>37.6</v>
      </c>
      <c r="G15" s="2">
        <v>0.191</v>
      </c>
      <c r="H15" s="2">
        <v>30</v>
      </c>
      <c r="I15">
        <v>0</v>
      </c>
    </row>
    <row r="16" spans="1:9">
      <c r="A16" s="2">
        <v>10</v>
      </c>
      <c r="B16" s="2">
        <v>168</v>
      </c>
      <c r="C16" s="2">
        <v>74</v>
      </c>
      <c r="D16" s="2">
        <v>0</v>
      </c>
      <c r="E16" s="2">
        <v>0</v>
      </c>
      <c r="F16" s="2">
        <v>38</v>
      </c>
      <c r="G16" s="2">
        <v>0.537</v>
      </c>
      <c r="H16" s="2">
        <v>34</v>
      </c>
      <c r="I16">
        <v>1</v>
      </c>
    </row>
    <row r="17" spans="1:9">
      <c r="A17" s="2">
        <v>10</v>
      </c>
      <c r="B17" s="2">
        <v>139</v>
      </c>
      <c r="C17" s="2">
        <v>80</v>
      </c>
      <c r="D17" s="2">
        <v>0</v>
      </c>
      <c r="E17" s="2">
        <v>0</v>
      </c>
      <c r="F17" s="2">
        <v>27.1</v>
      </c>
      <c r="G17" s="2">
        <v>1.441</v>
      </c>
      <c r="H17" s="2">
        <v>57</v>
      </c>
      <c r="I17">
        <v>0</v>
      </c>
    </row>
    <row r="18" spans="1:9">
      <c r="A18" s="2">
        <v>1</v>
      </c>
      <c r="B18" s="2">
        <v>189</v>
      </c>
      <c r="C18" s="2">
        <v>60</v>
      </c>
      <c r="D18" s="2">
        <v>23</v>
      </c>
      <c r="E18" s="2">
        <v>846</v>
      </c>
      <c r="F18" s="2">
        <v>30.1</v>
      </c>
      <c r="G18" s="2">
        <v>0.398</v>
      </c>
      <c r="H18" s="2">
        <v>59</v>
      </c>
      <c r="I18">
        <v>1</v>
      </c>
    </row>
    <row r="19" spans="1:9">
      <c r="A19" s="2">
        <v>5</v>
      </c>
      <c r="B19" s="2">
        <v>166</v>
      </c>
      <c r="C19" s="2">
        <v>72</v>
      </c>
      <c r="D19" s="2">
        <v>19</v>
      </c>
      <c r="E19" s="2">
        <v>175</v>
      </c>
      <c r="F19" s="2">
        <v>25.8</v>
      </c>
      <c r="G19" s="2">
        <v>0.587</v>
      </c>
      <c r="H19" s="2">
        <v>51</v>
      </c>
      <c r="I19">
        <v>1</v>
      </c>
    </row>
    <row r="20" spans="1:9">
      <c r="A20" s="2">
        <v>7</v>
      </c>
      <c r="B20" s="2">
        <v>100</v>
      </c>
      <c r="C20" s="2">
        <v>0</v>
      </c>
      <c r="D20" s="2">
        <v>0</v>
      </c>
      <c r="E20" s="2">
        <v>0</v>
      </c>
      <c r="F20" s="2">
        <v>30</v>
      </c>
      <c r="G20" s="2">
        <v>0.484</v>
      </c>
      <c r="H20" s="2">
        <v>32</v>
      </c>
      <c r="I20">
        <v>1</v>
      </c>
    </row>
    <row r="21" spans="1:9">
      <c r="A21" s="2">
        <v>0</v>
      </c>
      <c r="B21" s="2">
        <v>118</v>
      </c>
      <c r="C21" s="2">
        <v>84</v>
      </c>
      <c r="D21" s="2">
        <v>47</v>
      </c>
      <c r="E21" s="2">
        <v>230</v>
      </c>
      <c r="F21" s="2">
        <v>45.8</v>
      </c>
      <c r="G21" s="2">
        <v>0.551</v>
      </c>
      <c r="H21" s="2">
        <v>31</v>
      </c>
      <c r="I21">
        <v>1</v>
      </c>
    </row>
    <row r="22" spans="1:9">
      <c r="A22" s="2">
        <v>7</v>
      </c>
      <c r="B22" s="2">
        <v>107</v>
      </c>
      <c r="C22" s="2">
        <v>74</v>
      </c>
      <c r="D22" s="2">
        <v>0</v>
      </c>
      <c r="E22" s="2">
        <v>0</v>
      </c>
      <c r="F22" s="2">
        <v>29.6</v>
      </c>
      <c r="G22" s="2">
        <v>0.254</v>
      </c>
      <c r="H22" s="2">
        <v>31</v>
      </c>
      <c r="I22">
        <v>1</v>
      </c>
    </row>
    <row r="23" spans="1:9">
      <c r="A23" s="2">
        <v>1</v>
      </c>
      <c r="B23" s="2">
        <v>103</v>
      </c>
      <c r="C23" s="2">
        <v>30</v>
      </c>
      <c r="D23" s="2">
        <v>38</v>
      </c>
      <c r="E23" s="2">
        <v>83</v>
      </c>
      <c r="F23" s="2">
        <v>43.3</v>
      </c>
      <c r="G23" s="2">
        <v>0.183</v>
      </c>
      <c r="H23" s="2">
        <v>33</v>
      </c>
      <c r="I23">
        <v>0</v>
      </c>
    </row>
    <row r="24" spans="1:9">
      <c r="A24" s="2">
        <v>1</v>
      </c>
      <c r="B24" s="2">
        <v>115</v>
      </c>
      <c r="C24" s="2">
        <v>70</v>
      </c>
      <c r="D24" s="2">
        <v>30</v>
      </c>
      <c r="E24" s="2">
        <v>96</v>
      </c>
      <c r="F24" s="2">
        <v>34.6</v>
      </c>
      <c r="G24" s="2">
        <v>0.529</v>
      </c>
      <c r="H24" s="2">
        <v>32</v>
      </c>
      <c r="I24">
        <v>1</v>
      </c>
    </row>
    <row r="25" spans="1:9">
      <c r="A25" s="2">
        <v>3</v>
      </c>
      <c r="B25" s="2">
        <v>126</v>
      </c>
      <c r="C25" s="2">
        <v>88</v>
      </c>
      <c r="D25" s="2">
        <v>41</v>
      </c>
      <c r="E25" s="2">
        <v>235</v>
      </c>
      <c r="F25" s="2">
        <v>39.3</v>
      </c>
      <c r="G25" s="2">
        <v>0.704</v>
      </c>
      <c r="H25" s="2">
        <v>27</v>
      </c>
      <c r="I25">
        <v>0</v>
      </c>
    </row>
    <row r="26" spans="1:9">
      <c r="A26" s="2">
        <v>8</v>
      </c>
      <c r="B26" s="2">
        <v>99</v>
      </c>
      <c r="C26" s="2">
        <v>84</v>
      </c>
      <c r="D26" s="2">
        <v>0</v>
      </c>
      <c r="E26" s="2">
        <v>0</v>
      </c>
      <c r="F26" s="2">
        <v>35.4</v>
      </c>
      <c r="G26" s="2">
        <v>0.388</v>
      </c>
      <c r="H26" s="2">
        <v>50</v>
      </c>
      <c r="I26">
        <v>0</v>
      </c>
    </row>
    <row r="27" spans="1:9">
      <c r="A27" s="2">
        <v>7</v>
      </c>
      <c r="B27" s="2">
        <v>196</v>
      </c>
      <c r="C27" s="2">
        <v>90</v>
      </c>
      <c r="D27" s="2">
        <v>0</v>
      </c>
      <c r="E27" s="2">
        <v>0</v>
      </c>
      <c r="F27" s="2">
        <v>39.8</v>
      </c>
      <c r="G27" s="2">
        <v>0.451</v>
      </c>
      <c r="H27" s="2">
        <v>41</v>
      </c>
      <c r="I27">
        <v>1</v>
      </c>
    </row>
    <row r="28" spans="1:9">
      <c r="A28" s="2">
        <v>9</v>
      </c>
      <c r="B28" s="2">
        <v>119</v>
      </c>
      <c r="C28" s="2">
        <v>80</v>
      </c>
      <c r="D28" s="2">
        <v>35</v>
      </c>
      <c r="E28" s="2">
        <v>0</v>
      </c>
      <c r="F28" s="2">
        <v>29</v>
      </c>
      <c r="G28" s="2">
        <v>0.263</v>
      </c>
      <c r="H28" s="2">
        <v>29</v>
      </c>
      <c r="I28">
        <v>1</v>
      </c>
    </row>
    <row r="29" spans="1:9">
      <c r="A29" s="2">
        <v>11</v>
      </c>
      <c r="B29" s="2">
        <v>143</v>
      </c>
      <c r="C29" s="2">
        <v>94</v>
      </c>
      <c r="D29" s="2">
        <v>33</v>
      </c>
      <c r="E29" s="2">
        <v>146</v>
      </c>
      <c r="F29" s="2">
        <v>36.6</v>
      </c>
      <c r="G29" s="2">
        <v>0.254</v>
      </c>
      <c r="H29" s="2">
        <v>51</v>
      </c>
      <c r="I29">
        <v>1</v>
      </c>
    </row>
    <row r="30" spans="1:9">
      <c r="A30" s="2">
        <v>10</v>
      </c>
      <c r="B30" s="2">
        <v>125</v>
      </c>
      <c r="C30" s="2">
        <v>70</v>
      </c>
      <c r="D30" s="2">
        <v>26</v>
      </c>
      <c r="E30" s="2">
        <v>115</v>
      </c>
      <c r="F30" s="2">
        <v>31.1</v>
      </c>
      <c r="G30" s="2">
        <v>0.205</v>
      </c>
      <c r="H30" s="2">
        <v>41</v>
      </c>
      <c r="I30">
        <v>1</v>
      </c>
    </row>
    <row r="31" spans="1:9">
      <c r="A31" s="2">
        <v>7</v>
      </c>
      <c r="B31" s="2">
        <v>147</v>
      </c>
      <c r="C31" s="2">
        <v>76</v>
      </c>
      <c r="D31" s="2">
        <v>0</v>
      </c>
      <c r="E31" s="2">
        <v>0</v>
      </c>
      <c r="F31" s="2">
        <v>39.4</v>
      </c>
      <c r="G31" s="2">
        <v>0.257</v>
      </c>
      <c r="H31" s="2">
        <v>43</v>
      </c>
      <c r="I31">
        <v>1</v>
      </c>
    </row>
    <row r="32" spans="1:9">
      <c r="A32" s="2">
        <v>1</v>
      </c>
      <c r="B32" s="2">
        <v>97</v>
      </c>
      <c r="C32" s="2">
        <v>66</v>
      </c>
      <c r="D32" s="2">
        <v>15</v>
      </c>
      <c r="E32" s="2">
        <v>140</v>
      </c>
      <c r="F32" s="2">
        <v>23.2</v>
      </c>
      <c r="G32" s="2">
        <v>0.487</v>
      </c>
      <c r="H32" s="2">
        <v>22</v>
      </c>
      <c r="I32">
        <v>0</v>
      </c>
    </row>
    <row r="33" spans="1:9">
      <c r="A33" s="2">
        <v>13</v>
      </c>
      <c r="B33" s="2">
        <v>145</v>
      </c>
      <c r="C33" s="2">
        <v>82</v>
      </c>
      <c r="D33" s="2">
        <v>19</v>
      </c>
      <c r="E33" s="2">
        <v>110</v>
      </c>
      <c r="F33" s="2">
        <v>22.2</v>
      </c>
      <c r="G33" s="2">
        <v>0.245</v>
      </c>
      <c r="H33" s="2">
        <v>57</v>
      </c>
      <c r="I33">
        <v>0</v>
      </c>
    </row>
    <row r="34" spans="1:9">
      <c r="A34" s="2">
        <v>5</v>
      </c>
      <c r="B34" s="2">
        <v>117</v>
      </c>
      <c r="C34" s="2">
        <v>92</v>
      </c>
      <c r="D34" s="2">
        <v>0</v>
      </c>
      <c r="E34" s="2">
        <v>0</v>
      </c>
      <c r="F34" s="2">
        <v>34.1</v>
      </c>
      <c r="G34" s="2">
        <v>0.337</v>
      </c>
      <c r="H34" s="2">
        <v>38</v>
      </c>
      <c r="I34">
        <v>0</v>
      </c>
    </row>
    <row r="35" spans="1:9">
      <c r="A35" s="2">
        <v>5</v>
      </c>
      <c r="B35" s="2">
        <v>109</v>
      </c>
      <c r="C35" s="2">
        <v>75</v>
      </c>
      <c r="D35" s="2">
        <v>26</v>
      </c>
      <c r="E35" s="2">
        <v>0</v>
      </c>
      <c r="F35" s="2">
        <v>36</v>
      </c>
      <c r="G35" s="2">
        <v>0.546</v>
      </c>
      <c r="H35" s="2">
        <v>60</v>
      </c>
      <c r="I35">
        <v>0</v>
      </c>
    </row>
    <row r="36" spans="1:9">
      <c r="A36" s="2">
        <v>3</v>
      </c>
      <c r="B36" s="2">
        <v>158</v>
      </c>
      <c r="C36" s="2">
        <v>76</v>
      </c>
      <c r="D36" s="2">
        <v>36</v>
      </c>
      <c r="E36" s="2">
        <v>245</v>
      </c>
      <c r="F36" s="2">
        <v>31.6</v>
      </c>
      <c r="G36" s="2">
        <v>0.851</v>
      </c>
      <c r="H36" s="2">
        <v>28</v>
      </c>
      <c r="I36">
        <v>1</v>
      </c>
    </row>
    <row r="37" spans="1:9">
      <c r="A37" s="2">
        <v>3</v>
      </c>
      <c r="B37" s="2">
        <v>88</v>
      </c>
      <c r="C37" s="2">
        <v>58</v>
      </c>
      <c r="D37" s="2">
        <v>11</v>
      </c>
      <c r="E37" s="2">
        <v>54</v>
      </c>
      <c r="F37" s="2">
        <v>24.8</v>
      </c>
      <c r="G37" s="2">
        <v>0.267</v>
      </c>
      <c r="H37" s="2">
        <v>22</v>
      </c>
      <c r="I37">
        <v>0</v>
      </c>
    </row>
    <row r="38" spans="1:9">
      <c r="A38" s="2">
        <v>6</v>
      </c>
      <c r="B38" s="2">
        <v>92</v>
      </c>
      <c r="C38" s="2">
        <v>92</v>
      </c>
      <c r="D38" s="2">
        <v>0</v>
      </c>
      <c r="E38" s="2">
        <v>0</v>
      </c>
      <c r="F38" s="2">
        <v>19.9</v>
      </c>
      <c r="G38" s="2">
        <v>0.188</v>
      </c>
      <c r="H38" s="2">
        <v>28</v>
      </c>
      <c r="I38">
        <v>0</v>
      </c>
    </row>
    <row r="39" spans="1:9">
      <c r="A39" s="2">
        <v>10</v>
      </c>
      <c r="B39" s="2">
        <v>122</v>
      </c>
      <c r="C39" s="2">
        <v>78</v>
      </c>
      <c r="D39" s="2">
        <v>31</v>
      </c>
      <c r="E39" s="2">
        <v>0</v>
      </c>
      <c r="F39" s="2">
        <v>27.6</v>
      </c>
      <c r="G39" s="2">
        <v>0.512</v>
      </c>
      <c r="H39" s="2">
        <v>45</v>
      </c>
      <c r="I39">
        <v>0</v>
      </c>
    </row>
    <row r="40" spans="1:9">
      <c r="A40" s="2">
        <v>4</v>
      </c>
      <c r="B40" s="2">
        <v>103</v>
      </c>
      <c r="C40" s="2">
        <v>60</v>
      </c>
      <c r="D40" s="2">
        <v>33</v>
      </c>
      <c r="E40" s="2">
        <v>192</v>
      </c>
      <c r="F40" s="2">
        <v>24</v>
      </c>
      <c r="G40" s="2">
        <v>0.966</v>
      </c>
      <c r="H40" s="2">
        <v>33</v>
      </c>
      <c r="I40">
        <v>0</v>
      </c>
    </row>
    <row r="41" spans="1:9">
      <c r="A41" s="2">
        <v>11</v>
      </c>
      <c r="B41" s="2">
        <v>138</v>
      </c>
      <c r="C41" s="2">
        <v>76</v>
      </c>
      <c r="D41" s="2">
        <v>0</v>
      </c>
      <c r="E41" s="2">
        <v>0</v>
      </c>
      <c r="F41" s="2">
        <v>33.2</v>
      </c>
      <c r="G41" s="2">
        <v>0.42</v>
      </c>
      <c r="H41" s="2">
        <v>35</v>
      </c>
      <c r="I41">
        <v>0</v>
      </c>
    </row>
    <row r="42" spans="1:9">
      <c r="A42" s="2">
        <v>9</v>
      </c>
      <c r="B42" s="2">
        <v>102</v>
      </c>
      <c r="C42" s="2">
        <v>76</v>
      </c>
      <c r="D42" s="2">
        <v>37</v>
      </c>
      <c r="E42" s="2">
        <v>0</v>
      </c>
      <c r="F42" s="2">
        <v>32.9</v>
      </c>
      <c r="G42" s="2">
        <v>0.665</v>
      </c>
      <c r="H42" s="2">
        <v>46</v>
      </c>
      <c r="I42">
        <v>1</v>
      </c>
    </row>
    <row r="43" spans="1:9">
      <c r="A43" s="2">
        <v>2</v>
      </c>
      <c r="B43" s="2">
        <v>90</v>
      </c>
      <c r="C43" s="2">
        <v>68</v>
      </c>
      <c r="D43" s="2">
        <v>42</v>
      </c>
      <c r="E43" s="2">
        <v>0</v>
      </c>
      <c r="F43" s="2">
        <v>38.2</v>
      </c>
      <c r="G43" s="2">
        <v>0.503</v>
      </c>
      <c r="H43" s="2">
        <v>27</v>
      </c>
      <c r="I43">
        <v>1</v>
      </c>
    </row>
    <row r="44" spans="1:9">
      <c r="A44" s="2">
        <v>4</v>
      </c>
      <c r="B44" s="2">
        <v>111</v>
      </c>
      <c r="C44" s="2">
        <v>72</v>
      </c>
      <c r="D44" s="2">
        <v>47</v>
      </c>
      <c r="E44" s="2">
        <v>207</v>
      </c>
      <c r="F44" s="2">
        <v>37.1</v>
      </c>
      <c r="G44" s="2">
        <v>1.39</v>
      </c>
      <c r="H44" s="2">
        <v>56</v>
      </c>
      <c r="I44">
        <v>1</v>
      </c>
    </row>
    <row r="45" spans="1:9">
      <c r="A45" s="2">
        <v>3</v>
      </c>
      <c r="B45" s="2">
        <v>180</v>
      </c>
      <c r="C45" s="2">
        <v>64</v>
      </c>
      <c r="D45" s="2">
        <v>25</v>
      </c>
      <c r="E45" s="2">
        <v>70</v>
      </c>
      <c r="F45" s="2">
        <v>34</v>
      </c>
      <c r="G45" s="2">
        <v>0.271</v>
      </c>
      <c r="H45" s="2">
        <v>26</v>
      </c>
      <c r="I45">
        <v>0</v>
      </c>
    </row>
    <row r="46" spans="1:9">
      <c r="A46" s="2">
        <v>7</v>
      </c>
      <c r="B46" s="2">
        <v>133</v>
      </c>
      <c r="C46" s="2">
        <v>84</v>
      </c>
      <c r="D46" s="2">
        <v>0</v>
      </c>
      <c r="E46" s="2">
        <v>0</v>
      </c>
      <c r="F46" s="2">
        <v>40.2</v>
      </c>
      <c r="G46" s="2">
        <v>0.696</v>
      </c>
      <c r="H46" s="2">
        <v>37</v>
      </c>
      <c r="I46">
        <v>0</v>
      </c>
    </row>
    <row r="47" spans="1:9">
      <c r="A47" s="2">
        <v>7</v>
      </c>
      <c r="B47" s="2">
        <v>106</v>
      </c>
      <c r="C47" s="2">
        <v>92</v>
      </c>
      <c r="D47" s="2">
        <v>18</v>
      </c>
      <c r="E47" s="2">
        <v>0</v>
      </c>
      <c r="F47" s="2">
        <v>22.7</v>
      </c>
      <c r="G47" s="2">
        <v>0.235</v>
      </c>
      <c r="H47" s="2">
        <v>48</v>
      </c>
      <c r="I47">
        <v>0</v>
      </c>
    </row>
    <row r="48" spans="1:9">
      <c r="A48" s="2">
        <v>9</v>
      </c>
      <c r="B48" s="2">
        <v>171</v>
      </c>
      <c r="C48" s="2">
        <v>110</v>
      </c>
      <c r="D48" s="2">
        <v>24</v>
      </c>
      <c r="E48" s="2">
        <v>240</v>
      </c>
      <c r="F48" s="2">
        <v>45.4</v>
      </c>
      <c r="G48" s="2">
        <v>0.721</v>
      </c>
      <c r="H48" s="2">
        <v>54</v>
      </c>
      <c r="I48">
        <v>1</v>
      </c>
    </row>
    <row r="49" spans="1:9">
      <c r="A49" s="2">
        <v>7</v>
      </c>
      <c r="B49" s="2">
        <v>159</v>
      </c>
      <c r="C49" s="2">
        <v>64</v>
      </c>
      <c r="D49" s="2">
        <v>0</v>
      </c>
      <c r="E49" s="2">
        <v>0</v>
      </c>
      <c r="F49" s="2">
        <v>27.4</v>
      </c>
      <c r="G49" s="2">
        <v>0.294</v>
      </c>
      <c r="H49" s="2">
        <v>40</v>
      </c>
      <c r="I49">
        <v>0</v>
      </c>
    </row>
    <row r="50" spans="1:9">
      <c r="A50" s="2">
        <v>0</v>
      </c>
      <c r="B50" s="2">
        <v>180</v>
      </c>
      <c r="C50" s="2">
        <v>66</v>
      </c>
      <c r="D50" s="2">
        <v>39</v>
      </c>
      <c r="E50" s="2">
        <v>0</v>
      </c>
      <c r="F50" s="2">
        <v>42</v>
      </c>
      <c r="G50" s="2">
        <v>1.893</v>
      </c>
      <c r="H50" s="2">
        <v>25</v>
      </c>
      <c r="I50">
        <v>1</v>
      </c>
    </row>
    <row r="51" spans="1:9">
      <c r="A51" s="2">
        <v>1</v>
      </c>
      <c r="B51" s="2">
        <v>146</v>
      </c>
      <c r="C51" s="2">
        <v>56</v>
      </c>
      <c r="D51" s="2">
        <v>0</v>
      </c>
      <c r="E51" s="2">
        <v>0</v>
      </c>
      <c r="F51" s="2">
        <v>29.7</v>
      </c>
      <c r="G51" s="2">
        <v>0.564</v>
      </c>
      <c r="H51" s="2">
        <v>29</v>
      </c>
      <c r="I51">
        <v>0</v>
      </c>
    </row>
    <row r="52" spans="1:9">
      <c r="A52" s="2">
        <v>2</v>
      </c>
      <c r="B52" s="2">
        <v>71</v>
      </c>
      <c r="C52" s="2">
        <v>70</v>
      </c>
      <c r="D52" s="2">
        <v>27</v>
      </c>
      <c r="E52" s="2">
        <v>0</v>
      </c>
      <c r="F52" s="2">
        <v>28</v>
      </c>
      <c r="G52" s="2">
        <v>0.586</v>
      </c>
      <c r="H52" s="2">
        <v>22</v>
      </c>
      <c r="I52">
        <v>0</v>
      </c>
    </row>
    <row r="53" spans="1:9">
      <c r="A53" s="2">
        <v>7</v>
      </c>
      <c r="B53" s="2">
        <v>103</v>
      </c>
      <c r="C53" s="2">
        <v>66</v>
      </c>
      <c r="D53" s="2">
        <v>32</v>
      </c>
      <c r="E53" s="2">
        <v>0</v>
      </c>
      <c r="F53" s="2">
        <v>39.1</v>
      </c>
      <c r="G53" s="2">
        <v>0.344</v>
      </c>
      <c r="H53" s="2">
        <v>31</v>
      </c>
      <c r="I53">
        <v>1</v>
      </c>
    </row>
    <row r="54" spans="1:9">
      <c r="A54" s="2">
        <v>7</v>
      </c>
      <c r="B54" s="2">
        <v>105</v>
      </c>
      <c r="C54" s="2">
        <v>0</v>
      </c>
      <c r="D54" s="2">
        <v>0</v>
      </c>
      <c r="E54" s="2">
        <v>0</v>
      </c>
      <c r="F54" s="2">
        <v>0</v>
      </c>
      <c r="G54" s="2">
        <v>0.305</v>
      </c>
      <c r="H54" s="2">
        <v>24</v>
      </c>
      <c r="I54">
        <v>0</v>
      </c>
    </row>
    <row r="55" spans="1:9">
      <c r="A55" s="2">
        <v>1</v>
      </c>
      <c r="B55" s="2">
        <v>103</v>
      </c>
      <c r="C55" s="2">
        <v>80</v>
      </c>
      <c r="D55" s="2">
        <v>11</v>
      </c>
      <c r="E55" s="2">
        <v>82</v>
      </c>
      <c r="F55" s="2">
        <v>19.4</v>
      </c>
      <c r="G55" s="2">
        <v>0.491</v>
      </c>
      <c r="H55" s="2">
        <v>22</v>
      </c>
      <c r="I55">
        <v>0</v>
      </c>
    </row>
    <row r="56" spans="1:9">
      <c r="A56" s="2">
        <v>1</v>
      </c>
      <c r="B56" s="2">
        <v>101</v>
      </c>
      <c r="C56" s="2">
        <v>50</v>
      </c>
      <c r="D56" s="2">
        <v>15</v>
      </c>
      <c r="E56" s="2">
        <v>36</v>
      </c>
      <c r="F56" s="2">
        <v>24.2</v>
      </c>
      <c r="G56" s="2">
        <v>0.526</v>
      </c>
      <c r="H56" s="2">
        <v>26</v>
      </c>
      <c r="I56">
        <v>0</v>
      </c>
    </row>
    <row r="57" spans="1:9">
      <c r="A57" s="2">
        <v>5</v>
      </c>
      <c r="B57" s="2">
        <v>88</v>
      </c>
      <c r="C57" s="2">
        <v>66</v>
      </c>
      <c r="D57" s="2">
        <v>21</v>
      </c>
      <c r="E57" s="2">
        <v>23</v>
      </c>
      <c r="F57" s="2">
        <v>24.4</v>
      </c>
      <c r="G57" s="2">
        <v>0.342</v>
      </c>
      <c r="H57" s="2">
        <v>30</v>
      </c>
      <c r="I57">
        <v>0</v>
      </c>
    </row>
    <row r="58" spans="1:9">
      <c r="A58" s="2">
        <v>8</v>
      </c>
      <c r="B58" s="2">
        <v>176</v>
      </c>
      <c r="C58" s="2">
        <v>90</v>
      </c>
      <c r="D58" s="2">
        <v>34</v>
      </c>
      <c r="E58" s="2">
        <v>300</v>
      </c>
      <c r="F58" s="2">
        <v>33.7</v>
      </c>
      <c r="G58" s="2">
        <v>0.467</v>
      </c>
      <c r="H58" s="2">
        <v>58</v>
      </c>
      <c r="I58">
        <v>1</v>
      </c>
    </row>
    <row r="59" spans="1:9">
      <c r="A59" s="2">
        <v>7</v>
      </c>
      <c r="B59" s="2">
        <v>150</v>
      </c>
      <c r="C59" s="2">
        <v>66</v>
      </c>
      <c r="D59" s="2">
        <v>42</v>
      </c>
      <c r="E59" s="2">
        <v>342</v>
      </c>
      <c r="F59" s="2">
        <v>34.7</v>
      </c>
      <c r="G59" s="2">
        <v>0.718</v>
      </c>
      <c r="H59" s="2">
        <v>42</v>
      </c>
      <c r="I59">
        <v>0</v>
      </c>
    </row>
    <row r="60" spans="1:9">
      <c r="A60" s="2">
        <v>1</v>
      </c>
      <c r="B60" s="2">
        <v>73</v>
      </c>
      <c r="C60" s="2">
        <v>50</v>
      </c>
      <c r="D60" s="2">
        <v>10</v>
      </c>
      <c r="E60" s="2">
        <v>0</v>
      </c>
      <c r="F60" s="2">
        <v>23</v>
      </c>
      <c r="G60" s="2">
        <v>0.248</v>
      </c>
      <c r="H60" s="2">
        <v>21</v>
      </c>
      <c r="I60">
        <v>0</v>
      </c>
    </row>
    <row r="61" spans="1:9">
      <c r="A61" s="2">
        <v>7</v>
      </c>
      <c r="B61" s="2">
        <v>187</v>
      </c>
      <c r="C61" s="2">
        <v>68</v>
      </c>
      <c r="D61" s="2">
        <v>39</v>
      </c>
      <c r="E61" s="2">
        <v>304</v>
      </c>
      <c r="F61" s="2">
        <v>37.7</v>
      </c>
      <c r="G61" s="2">
        <v>0.254</v>
      </c>
      <c r="H61" s="2">
        <v>41</v>
      </c>
      <c r="I61">
        <v>1</v>
      </c>
    </row>
    <row r="62" spans="1:9">
      <c r="A62" s="2">
        <v>0</v>
      </c>
      <c r="B62" s="2">
        <v>100</v>
      </c>
      <c r="C62" s="2">
        <v>88</v>
      </c>
      <c r="D62" s="2">
        <v>60</v>
      </c>
      <c r="E62" s="2">
        <v>110</v>
      </c>
      <c r="F62" s="2">
        <v>46.8</v>
      </c>
      <c r="G62" s="2">
        <v>0.962</v>
      </c>
      <c r="H62" s="2">
        <v>31</v>
      </c>
      <c r="I62">
        <v>0</v>
      </c>
    </row>
    <row r="63" spans="1:9">
      <c r="A63" s="2">
        <v>0</v>
      </c>
      <c r="B63" s="2">
        <v>146</v>
      </c>
      <c r="C63" s="2">
        <v>82</v>
      </c>
      <c r="D63" s="2">
        <v>0</v>
      </c>
      <c r="E63" s="2">
        <v>0</v>
      </c>
      <c r="F63" s="2">
        <v>40.5</v>
      </c>
      <c r="G63" s="2">
        <v>1.781</v>
      </c>
      <c r="H63" s="2">
        <v>44</v>
      </c>
      <c r="I63">
        <v>0</v>
      </c>
    </row>
    <row r="64" spans="1:9">
      <c r="A64" s="2">
        <v>0</v>
      </c>
      <c r="B64" s="2">
        <v>105</v>
      </c>
      <c r="C64" s="2">
        <v>64</v>
      </c>
      <c r="D64" s="2">
        <v>41</v>
      </c>
      <c r="E64" s="2">
        <v>142</v>
      </c>
      <c r="F64" s="2">
        <v>41.5</v>
      </c>
      <c r="G64" s="2">
        <v>0.173</v>
      </c>
      <c r="H64" s="2">
        <v>22</v>
      </c>
      <c r="I64">
        <v>0</v>
      </c>
    </row>
    <row r="65" spans="1:9">
      <c r="A65" s="2">
        <v>2</v>
      </c>
      <c r="B65" s="2">
        <v>84</v>
      </c>
      <c r="C65" s="2">
        <v>0</v>
      </c>
      <c r="D65" s="2">
        <v>0</v>
      </c>
      <c r="E65" s="2">
        <v>0</v>
      </c>
      <c r="F65" s="2">
        <v>0</v>
      </c>
      <c r="G65" s="2">
        <v>0.304</v>
      </c>
      <c r="H65" s="2">
        <v>21</v>
      </c>
      <c r="I65">
        <v>0</v>
      </c>
    </row>
    <row r="66" spans="1:9">
      <c r="A66" s="2">
        <v>8</v>
      </c>
      <c r="B66" s="2">
        <v>133</v>
      </c>
      <c r="C66" s="2">
        <v>72</v>
      </c>
      <c r="D66" s="2">
        <v>0</v>
      </c>
      <c r="E66" s="2">
        <v>0</v>
      </c>
      <c r="F66" s="2">
        <v>32.9</v>
      </c>
      <c r="G66" s="2">
        <v>0.27</v>
      </c>
      <c r="H66" s="2">
        <v>39</v>
      </c>
      <c r="I66">
        <v>1</v>
      </c>
    </row>
    <row r="67" spans="1:9">
      <c r="A67" s="2">
        <v>5</v>
      </c>
      <c r="B67" s="2">
        <v>44</v>
      </c>
      <c r="C67" s="2">
        <v>62</v>
      </c>
      <c r="D67" s="2">
        <v>0</v>
      </c>
      <c r="E67" s="2">
        <v>0</v>
      </c>
      <c r="F67" s="2">
        <v>25</v>
      </c>
      <c r="G67" s="2">
        <v>0.587</v>
      </c>
      <c r="H67" s="2">
        <v>36</v>
      </c>
      <c r="I67">
        <v>0</v>
      </c>
    </row>
    <row r="68" spans="1:9">
      <c r="A68" s="2">
        <v>2</v>
      </c>
      <c r="B68" s="2">
        <v>141</v>
      </c>
      <c r="C68" s="2">
        <v>58</v>
      </c>
      <c r="D68" s="2">
        <v>34</v>
      </c>
      <c r="E68" s="2">
        <v>128</v>
      </c>
      <c r="F68" s="2">
        <v>25.4</v>
      </c>
      <c r="G68" s="2">
        <v>0.699</v>
      </c>
      <c r="H68" s="2">
        <v>24</v>
      </c>
      <c r="I68">
        <v>0</v>
      </c>
    </row>
    <row r="69" spans="1:9">
      <c r="A69" s="2">
        <v>7</v>
      </c>
      <c r="B69" s="2">
        <v>114</v>
      </c>
      <c r="C69" s="2">
        <v>66</v>
      </c>
      <c r="D69" s="2">
        <v>0</v>
      </c>
      <c r="E69" s="2">
        <v>0</v>
      </c>
      <c r="F69" s="2">
        <v>32.8</v>
      </c>
      <c r="G69" s="2">
        <v>0.258</v>
      </c>
      <c r="H69" s="2">
        <v>42</v>
      </c>
      <c r="I69">
        <v>1</v>
      </c>
    </row>
    <row r="70" spans="1:9">
      <c r="A70" s="2">
        <v>5</v>
      </c>
      <c r="B70" s="2">
        <v>99</v>
      </c>
      <c r="C70" s="2">
        <v>74</v>
      </c>
      <c r="D70" s="2">
        <v>27</v>
      </c>
      <c r="E70" s="2">
        <v>0</v>
      </c>
      <c r="F70" s="2">
        <v>29</v>
      </c>
      <c r="G70" s="2">
        <v>0.203</v>
      </c>
      <c r="H70" s="2">
        <v>32</v>
      </c>
      <c r="I70">
        <v>0</v>
      </c>
    </row>
    <row r="71" spans="1:9">
      <c r="A71" s="2">
        <v>0</v>
      </c>
      <c r="B71" s="2">
        <v>109</v>
      </c>
      <c r="C71" s="2">
        <v>88</v>
      </c>
      <c r="D71" s="2">
        <v>30</v>
      </c>
      <c r="E71" s="2">
        <v>0</v>
      </c>
      <c r="F71" s="2">
        <v>32.5</v>
      </c>
      <c r="G71" s="2">
        <v>0.855</v>
      </c>
      <c r="H71" s="2">
        <v>38</v>
      </c>
      <c r="I71">
        <v>1</v>
      </c>
    </row>
    <row r="72" spans="1:9">
      <c r="A72" s="2">
        <v>2</v>
      </c>
      <c r="B72" s="2">
        <v>109</v>
      </c>
      <c r="C72" s="2">
        <v>92</v>
      </c>
      <c r="D72" s="2">
        <v>0</v>
      </c>
      <c r="E72" s="2">
        <v>0</v>
      </c>
      <c r="F72" s="2">
        <v>42.7</v>
      </c>
      <c r="G72" s="2">
        <v>0.845</v>
      </c>
      <c r="H72" s="2">
        <v>54</v>
      </c>
      <c r="I72">
        <v>0</v>
      </c>
    </row>
    <row r="73" spans="1:9">
      <c r="A73" s="2">
        <v>1</v>
      </c>
      <c r="B73" s="2">
        <v>95</v>
      </c>
      <c r="C73" s="2">
        <v>66</v>
      </c>
      <c r="D73" s="2">
        <v>13</v>
      </c>
      <c r="E73" s="2">
        <v>38</v>
      </c>
      <c r="F73" s="2">
        <v>19.6</v>
      </c>
      <c r="G73" s="2">
        <v>0.334</v>
      </c>
      <c r="H73" s="2">
        <v>25</v>
      </c>
      <c r="I73">
        <v>0</v>
      </c>
    </row>
    <row r="74" spans="1:9">
      <c r="A74" s="2">
        <v>4</v>
      </c>
      <c r="B74" s="2">
        <v>146</v>
      </c>
      <c r="C74" s="2">
        <v>85</v>
      </c>
      <c r="D74" s="2">
        <v>27</v>
      </c>
      <c r="E74" s="2">
        <v>100</v>
      </c>
      <c r="F74" s="2">
        <v>28.9</v>
      </c>
      <c r="G74" s="2">
        <v>0.189</v>
      </c>
      <c r="H74" s="2">
        <v>27</v>
      </c>
      <c r="I74">
        <v>0</v>
      </c>
    </row>
    <row r="75" spans="1:9">
      <c r="A75" s="2">
        <v>2</v>
      </c>
      <c r="B75" s="2">
        <v>100</v>
      </c>
      <c r="C75" s="2">
        <v>66</v>
      </c>
      <c r="D75" s="2">
        <v>20</v>
      </c>
      <c r="E75" s="2">
        <v>90</v>
      </c>
      <c r="F75" s="2">
        <v>32.9</v>
      </c>
      <c r="G75" s="2">
        <v>0.867</v>
      </c>
      <c r="H75" s="2">
        <v>28</v>
      </c>
      <c r="I75">
        <v>1</v>
      </c>
    </row>
    <row r="76" spans="1:9">
      <c r="A76" s="2">
        <v>5</v>
      </c>
      <c r="B76" s="2">
        <v>139</v>
      </c>
      <c r="C76" s="2">
        <v>64</v>
      </c>
      <c r="D76" s="2">
        <v>35</v>
      </c>
      <c r="E76" s="2">
        <v>140</v>
      </c>
      <c r="F76" s="2">
        <v>28.6</v>
      </c>
      <c r="G76" s="2">
        <v>0.411</v>
      </c>
      <c r="H76" s="2">
        <v>26</v>
      </c>
      <c r="I76">
        <v>0</v>
      </c>
    </row>
    <row r="77" spans="1:9">
      <c r="A77" s="2">
        <v>13</v>
      </c>
      <c r="B77" s="2">
        <v>126</v>
      </c>
      <c r="C77" s="2">
        <v>90</v>
      </c>
      <c r="D77" s="2">
        <v>0</v>
      </c>
      <c r="E77" s="2">
        <v>0</v>
      </c>
      <c r="F77" s="2">
        <v>43.4</v>
      </c>
      <c r="G77" s="2">
        <v>0.583</v>
      </c>
      <c r="H77" s="2">
        <v>42</v>
      </c>
      <c r="I77">
        <v>1</v>
      </c>
    </row>
    <row r="78" spans="1:9">
      <c r="A78" s="2">
        <v>4</v>
      </c>
      <c r="B78" s="2">
        <v>129</v>
      </c>
      <c r="C78" s="2">
        <v>86</v>
      </c>
      <c r="D78" s="2">
        <v>20</v>
      </c>
      <c r="E78" s="2">
        <v>270</v>
      </c>
      <c r="F78" s="2">
        <v>35.1</v>
      </c>
      <c r="G78" s="2">
        <v>0.231</v>
      </c>
      <c r="H78" s="2">
        <v>23</v>
      </c>
      <c r="I78">
        <v>0</v>
      </c>
    </row>
    <row r="79" spans="1:9">
      <c r="A79" s="2">
        <v>1</v>
      </c>
      <c r="B79" s="2">
        <v>79</v>
      </c>
      <c r="C79" s="2">
        <v>75</v>
      </c>
      <c r="D79" s="2">
        <v>30</v>
      </c>
      <c r="E79" s="2">
        <v>0</v>
      </c>
      <c r="F79" s="2">
        <v>32</v>
      </c>
      <c r="G79" s="2">
        <v>0.396</v>
      </c>
      <c r="H79" s="2">
        <v>22</v>
      </c>
      <c r="I79">
        <v>0</v>
      </c>
    </row>
    <row r="80" spans="1:9">
      <c r="A80" s="2">
        <v>1</v>
      </c>
      <c r="B80" s="2">
        <v>0</v>
      </c>
      <c r="C80" s="2">
        <v>48</v>
      </c>
      <c r="D80" s="2">
        <v>20</v>
      </c>
      <c r="E80" s="2">
        <v>0</v>
      </c>
      <c r="F80" s="2">
        <v>24.7</v>
      </c>
      <c r="G80" s="2">
        <v>0.14</v>
      </c>
      <c r="H80" s="2">
        <v>22</v>
      </c>
      <c r="I80">
        <v>0</v>
      </c>
    </row>
    <row r="81" spans="1:9">
      <c r="A81" s="2">
        <v>7</v>
      </c>
      <c r="B81" s="2">
        <v>62</v>
      </c>
      <c r="C81" s="2">
        <v>78</v>
      </c>
      <c r="D81" s="2">
        <v>0</v>
      </c>
      <c r="E81" s="2">
        <v>0</v>
      </c>
      <c r="F81" s="2">
        <v>32.6</v>
      </c>
      <c r="G81" s="2">
        <v>0.391</v>
      </c>
      <c r="H81" s="2">
        <v>41</v>
      </c>
      <c r="I81">
        <v>0</v>
      </c>
    </row>
    <row r="82" spans="1:9">
      <c r="A82" s="2">
        <v>5</v>
      </c>
      <c r="B82" s="2">
        <v>95</v>
      </c>
      <c r="C82" s="2">
        <v>72</v>
      </c>
      <c r="D82" s="2">
        <v>33</v>
      </c>
      <c r="E82" s="2">
        <v>0</v>
      </c>
      <c r="F82" s="2">
        <v>37.7</v>
      </c>
      <c r="G82" s="2">
        <v>0.37</v>
      </c>
      <c r="H82" s="2">
        <v>27</v>
      </c>
      <c r="I82">
        <v>0</v>
      </c>
    </row>
    <row r="83" spans="1:9">
      <c r="A83" s="2">
        <v>0</v>
      </c>
      <c r="B83" s="2">
        <v>131</v>
      </c>
      <c r="C83" s="2">
        <v>0</v>
      </c>
      <c r="D83" s="2">
        <v>0</v>
      </c>
      <c r="E83" s="2">
        <v>0</v>
      </c>
      <c r="F83" s="2">
        <v>43.2</v>
      </c>
      <c r="G83" s="2">
        <v>0.27</v>
      </c>
      <c r="H83" s="2">
        <v>26</v>
      </c>
      <c r="I83">
        <v>1</v>
      </c>
    </row>
    <row r="84" spans="1:9">
      <c r="A84" s="2">
        <v>2</v>
      </c>
      <c r="B84" s="2">
        <v>112</v>
      </c>
      <c r="C84" s="2">
        <v>66</v>
      </c>
      <c r="D84" s="2">
        <v>22</v>
      </c>
      <c r="E84" s="2">
        <v>0</v>
      </c>
      <c r="F84" s="2">
        <v>25</v>
      </c>
      <c r="G84" s="2">
        <v>0.307</v>
      </c>
      <c r="H84" s="2">
        <v>24</v>
      </c>
      <c r="I84">
        <v>0</v>
      </c>
    </row>
    <row r="85" spans="1:9">
      <c r="A85" s="2">
        <v>3</v>
      </c>
      <c r="B85" s="2">
        <v>113</v>
      </c>
      <c r="C85" s="2">
        <v>44</v>
      </c>
      <c r="D85" s="2">
        <v>13</v>
      </c>
      <c r="E85" s="2">
        <v>0</v>
      </c>
      <c r="F85" s="2">
        <v>22.4</v>
      </c>
      <c r="G85" s="2">
        <v>0.14</v>
      </c>
      <c r="H85" s="2">
        <v>22</v>
      </c>
      <c r="I85">
        <v>0</v>
      </c>
    </row>
    <row r="86" spans="1:9">
      <c r="A86" s="2">
        <v>2</v>
      </c>
      <c r="B86" s="2">
        <v>74</v>
      </c>
      <c r="C86" s="2">
        <v>0</v>
      </c>
      <c r="D86" s="2">
        <v>0</v>
      </c>
      <c r="E86" s="2">
        <v>0</v>
      </c>
      <c r="F86" s="2">
        <v>0</v>
      </c>
      <c r="G86" s="2">
        <v>0.102</v>
      </c>
      <c r="H86" s="2">
        <v>22</v>
      </c>
      <c r="I86">
        <v>0</v>
      </c>
    </row>
    <row r="87" spans="1:9">
      <c r="A87" s="2">
        <v>7</v>
      </c>
      <c r="B87" s="2">
        <v>83</v>
      </c>
      <c r="C87" s="2">
        <v>78</v>
      </c>
      <c r="D87" s="2">
        <v>26</v>
      </c>
      <c r="E87" s="2">
        <v>71</v>
      </c>
      <c r="F87" s="2">
        <v>29.3</v>
      </c>
      <c r="G87" s="2">
        <v>0.767</v>
      </c>
      <c r="H87" s="2">
        <v>36</v>
      </c>
      <c r="I87">
        <v>0</v>
      </c>
    </row>
    <row r="88" spans="1:9">
      <c r="A88" s="2">
        <v>0</v>
      </c>
      <c r="B88" s="2">
        <v>101</v>
      </c>
      <c r="C88" s="2">
        <v>65</v>
      </c>
      <c r="D88" s="2">
        <v>28</v>
      </c>
      <c r="E88" s="2">
        <v>0</v>
      </c>
      <c r="F88" s="2">
        <v>24.6</v>
      </c>
      <c r="G88" s="2">
        <v>0.237</v>
      </c>
      <c r="H88" s="2">
        <v>22</v>
      </c>
      <c r="I88">
        <v>0</v>
      </c>
    </row>
    <row r="89" spans="1:9">
      <c r="A89" s="2">
        <v>5</v>
      </c>
      <c r="B89" s="2">
        <v>137</v>
      </c>
      <c r="C89" s="2">
        <v>108</v>
      </c>
      <c r="D89" s="2">
        <v>0</v>
      </c>
      <c r="E89" s="2">
        <v>0</v>
      </c>
      <c r="F89" s="2">
        <v>48.8</v>
      </c>
      <c r="G89" s="2">
        <v>0.227</v>
      </c>
      <c r="H89" s="2">
        <v>37</v>
      </c>
      <c r="I89">
        <v>1</v>
      </c>
    </row>
    <row r="90" spans="1:9">
      <c r="A90" s="2">
        <v>2</v>
      </c>
      <c r="B90" s="2">
        <v>110</v>
      </c>
      <c r="C90" s="2">
        <v>74</v>
      </c>
      <c r="D90" s="2">
        <v>29</v>
      </c>
      <c r="E90" s="2">
        <v>125</v>
      </c>
      <c r="F90" s="2">
        <v>32.4</v>
      </c>
      <c r="G90" s="2">
        <v>0.698</v>
      </c>
      <c r="H90" s="2">
        <v>27</v>
      </c>
      <c r="I90">
        <v>0</v>
      </c>
    </row>
    <row r="91" spans="1:9">
      <c r="A91" s="2">
        <v>13</v>
      </c>
      <c r="B91" s="2">
        <v>106</v>
      </c>
      <c r="C91" s="2">
        <v>72</v>
      </c>
      <c r="D91" s="2">
        <v>54</v>
      </c>
      <c r="E91" s="2">
        <v>0</v>
      </c>
      <c r="F91" s="2">
        <v>36.6</v>
      </c>
      <c r="G91" s="2">
        <v>0.178</v>
      </c>
      <c r="H91" s="2">
        <v>45</v>
      </c>
      <c r="I91">
        <v>0</v>
      </c>
    </row>
    <row r="92" spans="1:9">
      <c r="A92" s="2">
        <v>2</v>
      </c>
      <c r="B92" s="2">
        <v>100</v>
      </c>
      <c r="C92" s="2">
        <v>68</v>
      </c>
      <c r="D92" s="2">
        <v>25</v>
      </c>
      <c r="E92" s="2">
        <v>71</v>
      </c>
      <c r="F92" s="2">
        <v>38.5</v>
      </c>
      <c r="G92" s="2">
        <v>0.324</v>
      </c>
      <c r="H92" s="2">
        <v>26</v>
      </c>
      <c r="I92">
        <v>0</v>
      </c>
    </row>
    <row r="93" spans="1:9">
      <c r="A93" s="2">
        <v>15</v>
      </c>
      <c r="B93" s="2">
        <v>136</v>
      </c>
      <c r="C93" s="2">
        <v>70</v>
      </c>
      <c r="D93" s="2">
        <v>32</v>
      </c>
      <c r="E93" s="2">
        <v>110</v>
      </c>
      <c r="F93" s="2">
        <v>37.1</v>
      </c>
      <c r="G93" s="2">
        <v>0.153</v>
      </c>
      <c r="H93" s="2">
        <v>43</v>
      </c>
      <c r="I93">
        <v>1</v>
      </c>
    </row>
    <row r="94" spans="1:9">
      <c r="A94" s="2">
        <v>1</v>
      </c>
      <c r="B94" s="2">
        <v>107</v>
      </c>
      <c r="C94" s="2">
        <v>68</v>
      </c>
      <c r="D94" s="2">
        <v>19</v>
      </c>
      <c r="E94" s="2">
        <v>0</v>
      </c>
      <c r="F94" s="2">
        <v>26.5</v>
      </c>
      <c r="G94" s="2">
        <v>0.165</v>
      </c>
      <c r="H94" s="2">
        <v>24</v>
      </c>
      <c r="I94">
        <v>0</v>
      </c>
    </row>
    <row r="95" spans="1:9">
      <c r="A95" s="2">
        <v>1</v>
      </c>
      <c r="B95" s="2">
        <v>80</v>
      </c>
      <c r="C95" s="2">
        <v>55</v>
      </c>
      <c r="D95" s="2">
        <v>0</v>
      </c>
      <c r="E95" s="2">
        <v>0</v>
      </c>
      <c r="F95" s="2">
        <v>19.1</v>
      </c>
      <c r="G95" s="2">
        <v>0.258</v>
      </c>
      <c r="H95" s="2">
        <v>21</v>
      </c>
      <c r="I95">
        <v>0</v>
      </c>
    </row>
    <row r="96" spans="1:9">
      <c r="A96" s="2">
        <v>4</v>
      </c>
      <c r="B96" s="2">
        <v>123</v>
      </c>
      <c r="C96" s="2">
        <v>80</v>
      </c>
      <c r="D96" s="2">
        <v>15</v>
      </c>
      <c r="E96" s="2">
        <v>176</v>
      </c>
      <c r="F96" s="2">
        <v>32</v>
      </c>
      <c r="G96" s="2">
        <v>0.443</v>
      </c>
      <c r="H96" s="2">
        <v>34</v>
      </c>
      <c r="I96">
        <v>0</v>
      </c>
    </row>
    <row r="97" spans="1:9">
      <c r="A97" s="2">
        <v>7</v>
      </c>
      <c r="B97" s="2">
        <v>81</v>
      </c>
      <c r="C97" s="2">
        <v>78</v>
      </c>
      <c r="D97" s="2">
        <v>40</v>
      </c>
      <c r="E97" s="2">
        <v>48</v>
      </c>
      <c r="F97" s="2">
        <v>46.7</v>
      </c>
      <c r="G97" s="2">
        <v>0.261</v>
      </c>
      <c r="H97" s="2">
        <v>42</v>
      </c>
      <c r="I97">
        <v>0</v>
      </c>
    </row>
    <row r="98" spans="1:9">
      <c r="A98" s="2">
        <v>4</v>
      </c>
      <c r="B98" s="2">
        <v>134</v>
      </c>
      <c r="C98" s="2">
        <v>72</v>
      </c>
      <c r="D98" s="2">
        <v>0</v>
      </c>
      <c r="E98" s="2">
        <v>0</v>
      </c>
      <c r="F98" s="2">
        <v>23.8</v>
      </c>
      <c r="G98" s="2">
        <v>0.277</v>
      </c>
      <c r="H98" s="2">
        <v>60</v>
      </c>
      <c r="I98">
        <v>1</v>
      </c>
    </row>
    <row r="99" spans="1:9">
      <c r="A99" s="2">
        <v>2</v>
      </c>
      <c r="B99" s="2">
        <v>142</v>
      </c>
      <c r="C99" s="2">
        <v>82</v>
      </c>
      <c r="D99" s="2">
        <v>18</v>
      </c>
      <c r="E99" s="2">
        <v>64</v>
      </c>
      <c r="F99" s="2">
        <v>24.7</v>
      </c>
      <c r="G99" s="2">
        <v>0.761</v>
      </c>
      <c r="H99" s="2">
        <v>21</v>
      </c>
      <c r="I99">
        <v>0</v>
      </c>
    </row>
    <row r="100" spans="1:9">
      <c r="A100" s="2">
        <v>6</v>
      </c>
      <c r="B100" s="2">
        <v>144</v>
      </c>
      <c r="C100" s="2">
        <v>72</v>
      </c>
      <c r="D100" s="2">
        <v>27</v>
      </c>
      <c r="E100" s="2">
        <v>228</v>
      </c>
      <c r="F100" s="2">
        <v>33.9</v>
      </c>
      <c r="G100" s="2">
        <v>0.255</v>
      </c>
      <c r="H100" s="2">
        <v>40</v>
      </c>
      <c r="I100">
        <v>0</v>
      </c>
    </row>
    <row r="101" spans="1:9">
      <c r="A101" s="2">
        <v>2</v>
      </c>
      <c r="B101" s="2">
        <v>92</v>
      </c>
      <c r="C101" s="2">
        <v>62</v>
      </c>
      <c r="D101" s="2">
        <v>28</v>
      </c>
      <c r="E101" s="2">
        <v>0</v>
      </c>
      <c r="F101" s="2">
        <v>31.6</v>
      </c>
      <c r="G101" s="2">
        <v>0.13</v>
      </c>
      <c r="H101" s="2">
        <v>24</v>
      </c>
      <c r="I101">
        <v>0</v>
      </c>
    </row>
    <row r="102" spans="1:9">
      <c r="A102" s="2">
        <v>1</v>
      </c>
      <c r="B102" s="2">
        <v>71</v>
      </c>
      <c r="C102" s="2">
        <v>48</v>
      </c>
      <c r="D102" s="2">
        <v>18</v>
      </c>
      <c r="E102" s="2">
        <v>76</v>
      </c>
      <c r="F102" s="2">
        <v>20.4</v>
      </c>
      <c r="G102" s="2">
        <v>0.323</v>
      </c>
      <c r="H102" s="2">
        <v>22</v>
      </c>
      <c r="I102">
        <v>0</v>
      </c>
    </row>
    <row r="103" spans="1:9">
      <c r="A103" s="2">
        <v>6</v>
      </c>
      <c r="B103" s="2">
        <v>93</v>
      </c>
      <c r="C103" s="2">
        <v>50</v>
      </c>
      <c r="D103" s="2">
        <v>30</v>
      </c>
      <c r="E103" s="2">
        <v>64</v>
      </c>
      <c r="F103" s="2">
        <v>28.7</v>
      </c>
      <c r="G103" s="2">
        <v>0.356</v>
      </c>
      <c r="H103" s="2">
        <v>23</v>
      </c>
      <c r="I103">
        <v>0</v>
      </c>
    </row>
    <row r="104" spans="1:9">
      <c r="A104" s="2">
        <v>1</v>
      </c>
      <c r="B104" s="2">
        <v>122</v>
      </c>
      <c r="C104" s="2">
        <v>90</v>
      </c>
      <c r="D104" s="2">
        <v>51</v>
      </c>
      <c r="E104" s="2">
        <v>220</v>
      </c>
      <c r="F104" s="2">
        <v>49.7</v>
      </c>
      <c r="G104" s="2">
        <v>0.325</v>
      </c>
      <c r="H104" s="2">
        <v>31</v>
      </c>
      <c r="I104">
        <v>1</v>
      </c>
    </row>
    <row r="105" spans="1:9">
      <c r="A105" s="2">
        <v>1</v>
      </c>
      <c r="B105" s="2">
        <v>163</v>
      </c>
      <c r="C105" s="2">
        <v>72</v>
      </c>
      <c r="D105" s="2">
        <v>0</v>
      </c>
      <c r="E105" s="2">
        <v>0</v>
      </c>
      <c r="F105" s="2">
        <v>39</v>
      </c>
      <c r="G105" s="2">
        <v>1.222</v>
      </c>
      <c r="H105" s="2">
        <v>33</v>
      </c>
      <c r="I105">
        <v>1</v>
      </c>
    </row>
    <row r="106" spans="1:9">
      <c r="A106" s="2">
        <v>1</v>
      </c>
      <c r="B106" s="2">
        <v>151</v>
      </c>
      <c r="C106" s="2">
        <v>60</v>
      </c>
      <c r="D106" s="2">
        <v>0</v>
      </c>
      <c r="E106" s="2">
        <v>0</v>
      </c>
      <c r="F106" s="2">
        <v>26.1</v>
      </c>
      <c r="G106" s="2">
        <v>0.179</v>
      </c>
      <c r="H106" s="2">
        <v>22</v>
      </c>
      <c r="I106">
        <v>0</v>
      </c>
    </row>
    <row r="107" spans="1:9">
      <c r="A107" s="2">
        <v>0</v>
      </c>
      <c r="B107" s="2">
        <v>125</v>
      </c>
      <c r="C107" s="2">
        <v>96</v>
      </c>
      <c r="D107" s="2">
        <v>0</v>
      </c>
      <c r="E107" s="2">
        <v>0</v>
      </c>
      <c r="F107" s="2">
        <v>22.5</v>
      </c>
      <c r="G107" s="2">
        <v>0.262</v>
      </c>
      <c r="H107" s="2">
        <v>21</v>
      </c>
      <c r="I107">
        <v>0</v>
      </c>
    </row>
    <row r="108" spans="1:9">
      <c r="A108" s="2">
        <v>1</v>
      </c>
      <c r="B108" s="2">
        <v>81</v>
      </c>
      <c r="C108" s="2">
        <v>72</v>
      </c>
      <c r="D108" s="2">
        <v>18</v>
      </c>
      <c r="E108" s="2">
        <v>40</v>
      </c>
      <c r="F108" s="2">
        <v>26.6</v>
      </c>
      <c r="G108" s="2">
        <v>0.283</v>
      </c>
      <c r="H108" s="2">
        <v>24</v>
      </c>
      <c r="I108">
        <v>0</v>
      </c>
    </row>
    <row r="109" spans="1:9">
      <c r="A109" s="2">
        <v>2</v>
      </c>
      <c r="B109" s="2">
        <v>85</v>
      </c>
      <c r="C109" s="2">
        <v>65</v>
      </c>
      <c r="D109" s="2">
        <v>0</v>
      </c>
      <c r="E109" s="2">
        <v>0</v>
      </c>
      <c r="F109" s="2">
        <v>39.6</v>
      </c>
      <c r="G109" s="2">
        <v>0.93</v>
      </c>
      <c r="H109" s="2">
        <v>27</v>
      </c>
      <c r="I109">
        <v>0</v>
      </c>
    </row>
    <row r="110" spans="1:9">
      <c r="A110" s="2">
        <v>1</v>
      </c>
      <c r="B110" s="2">
        <v>126</v>
      </c>
      <c r="C110" s="2">
        <v>56</v>
      </c>
      <c r="D110" s="2">
        <v>29</v>
      </c>
      <c r="E110" s="2">
        <v>152</v>
      </c>
      <c r="F110" s="2">
        <v>28.7</v>
      </c>
      <c r="G110" s="2">
        <v>0.801</v>
      </c>
      <c r="H110" s="2">
        <v>21</v>
      </c>
      <c r="I110">
        <v>0</v>
      </c>
    </row>
    <row r="111" spans="1:9">
      <c r="A111" s="2">
        <v>1</v>
      </c>
      <c r="B111" s="2">
        <v>96</v>
      </c>
      <c r="C111" s="2">
        <v>122</v>
      </c>
      <c r="D111" s="2">
        <v>0</v>
      </c>
      <c r="E111" s="2">
        <v>0</v>
      </c>
      <c r="F111" s="2">
        <v>22.4</v>
      </c>
      <c r="G111" s="2">
        <v>0.207</v>
      </c>
      <c r="H111" s="2">
        <v>27</v>
      </c>
      <c r="I111">
        <v>0</v>
      </c>
    </row>
    <row r="112" spans="1:9">
      <c r="A112" s="2">
        <v>4</v>
      </c>
      <c r="B112" s="2">
        <v>144</v>
      </c>
      <c r="C112" s="2">
        <v>58</v>
      </c>
      <c r="D112" s="2">
        <v>28</v>
      </c>
      <c r="E112" s="2">
        <v>140</v>
      </c>
      <c r="F112" s="2">
        <v>29.5</v>
      </c>
      <c r="G112" s="2">
        <v>0.287</v>
      </c>
      <c r="H112" s="2">
        <v>37</v>
      </c>
      <c r="I112">
        <v>0</v>
      </c>
    </row>
    <row r="113" spans="1:9">
      <c r="A113" s="2">
        <v>3</v>
      </c>
      <c r="B113" s="2">
        <v>83</v>
      </c>
      <c r="C113" s="2">
        <v>58</v>
      </c>
      <c r="D113" s="2">
        <v>31</v>
      </c>
      <c r="E113" s="2">
        <v>18</v>
      </c>
      <c r="F113" s="2">
        <v>34.3</v>
      </c>
      <c r="G113" s="2">
        <v>0.336</v>
      </c>
      <c r="H113" s="2">
        <v>25</v>
      </c>
      <c r="I113">
        <v>0</v>
      </c>
    </row>
    <row r="114" spans="1:9">
      <c r="A114" s="2">
        <v>0</v>
      </c>
      <c r="B114" s="2">
        <v>95</v>
      </c>
      <c r="C114" s="2">
        <v>85</v>
      </c>
      <c r="D114" s="2">
        <v>25</v>
      </c>
      <c r="E114" s="2">
        <v>36</v>
      </c>
      <c r="F114" s="2">
        <v>37.4</v>
      </c>
      <c r="G114" s="2">
        <v>0.247</v>
      </c>
      <c r="H114" s="2">
        <v>24</v>
      </c>
      <c r="I114">
        <v>1</v>
      </c>
    </row>
    <row r="115" spans="1:9">
      <c r="A115" s="2">
        <v>3</v>
      </c>
      <c r="B115" s="2">
        <v>171</v>
      </c>
      <c r="C115" s="2">
        <v>72</v>
      </c>
      <c r="D115" s="2">
        <v>33</v>
      </c>
      <c r="E115" s="2">
        <v>135</v>
      </c>
      <c r="F115" s="2">
        <v>33.3</v>
      </c>
      <c r="G115" s="2">
        <v>0.199</v>
      </c>
      <c r="H115" s="2">
        <v>24</v>
      </c>
      <c r="I115">
        <v>1</v>
      </c>
    </row>
    <row r="116" spans="1:9">
      <c r="A116" s="2">
        <v>8</v>
      </c>
      <c r="B116" s="2">
        <v>155</v>
      </c>
      <c r="C116" s="2">
        <v>62</v>
      </c>
      <c r="D116" s="2">
        <v>26</v>
      </c>
      <c r="E116" s="2">
        <v>495</v>
      </c>
      <c r="F116" s="2">
        <v>34</v>
      </c>
      <c r="G116" s="2">
        <v>0.543</v>
      </c>
      <c r="H116" s="2">
        <v>46</v>
      </c>
      <c r="I116">
        <v>1</v>
      </c>
    </row>
    <row r="117" spans="1:9">
      <c r="A117" s="2">
        <v>1</v>
      </c>
      <c r="B117" s="2">
        <v>89</v>
      </c>
      <c r="C117" s="2">
        <v>76</v>
      </c>
      <c r="D117" s="2">
        <v>34</v>
      </c>
      <c r="E117" s="2">
        <v>37</v>
      </c>
      <c r="F117" s="2">
        <v>31.2</v>
      </c>
      <c r="G117" s="2">
        <v>0.192</v>
      </c>
      <c r="H117" s="2">
        <v>23</v>
      </c>
      <c r="I117">
        <v>0</v>
      </c>
    </row>
    <row r="118" spans="1:9">
      <c r="A118" s="2">
        <v>4</v>
      </c>
      <c r="B118" s="2">
        <v>76</v>
      </c>
      <c r="C118" s="2">
        <v>62</v>
      </c>
      <c r="D118" s="2">
        <v>0</v>
      </c>
      <c r="E118" s="2">
        <v>0</v>
      </c>
      <c r="F118" s="2">
        <v>34</v>
      </c>
      <c r="G118" s="2">
        <v>0.391</v>
      </c>
      <c r="H118" s="2">
        <v>25</v>
      </c>
      <c r="I118">
        <v>0</v>
      </c>
    </row>
    <row r="119" spans="1:9">
      <c r="A119" s="2">
        <v>7</v>
      </c>
      <c r="B119" s="2">
        <v>160</v>
      </c>
      <c r="C119" s="2">
        <v>54</v>
      </c>
      <c r="D119" s="2">
        <v>32</v>
      </c>
      <c r="E119" s="2">
        <v>175</v>
      </c>
      <c r="F119" s="2">
        <v>30.5</v>
      </c>
      <c r="G119" s="2">
        <v>0.588</v>
      </c>
      <c r="H119" s="2">
        <v>39</v>
      </c>
      <c r="I119">
        <v>1</v>
      </c>
    </row>
    <row r="120" spans="1:9">
      <c r="A120" s="2">
        <v>4</v>
      </c>
      <c r="B120" s="2">
        <v>146</v>
      </c>
      <c r="C120" s="2">
        <v>92</v>
      </c>
      <c r="D120" s="2">
        <v>0</v>
      </c>
      <c r="E120" s="2">
        <v>0</v>
      </c>
      <c r="F120" s="2">
        <v>31.2</v>
      </c>
      <c r="G120" s="2">
        <v>0.539</v>
      </c>
      <c r="H120" s="2">
        <v>61</v>
      </c>
      <c r="I120">
        <v>1</v>
      </c>
    </row>
    <row r="121" spans="1:9">
      <c r="A121" s="2">
        <v>5</v>
      </c>
      <c r="B121" s="2">
        <v>124</v>
      </c>
      <c r="C121" s="2">
        <v>74</v>
      </c>
      <c r="D121" s="2">
        <v>0</v>
      </c>
      <c r="E121" s="2">
        <v>0</v>
      </c>
      <c r="F121" s="2">
        <v>34</v>
      </c>
      <c r="G121" s="2">
        <v>0.22</v>
      </c>
      <c r="H121" s="2">
        <v>38</v>
      </c>
      <c r="I121">
        <v>1</v>
      </c>
    </row>
    <row r="122" spans="1:9">
      <c r="A122" s="2">
        <v>5</v>
      </c>
      <c r="B122" s="2">
        <v>78</v>
      </c>
      <c r="C122" s="2">
        <v>48</v>
      </c>
      <c r="D122" s="2">
        <v>0</v>
      </c>
      <c r="E122" s="2">
        <v>0</v>
      </c>
      <c r="F122" s="2">
        <v>33.7</v>
      </c>
      <c r="G122" s="2">
        <v>0.654</v>
      </c>
      <c r="H122" s="2">
        <v>25</v>
      </c>
      <c r="I122">
        <v>0</v>
      </c>
    </row>
    <row r="123" spans="1:9">
      <c r="A123" s="2">
        <v>4</v>
      </c>
      <c r="B123" s="2">
        <v>97</v>
      </c>
      <c r="C123" s="2">
        <v>60</v>
      </c>
      <c r="D123" s="2">
        <v>23</v>
      </c>
      <c r="E123" s="2">
        <v>0</v>
      </c>
      <c r="F123" s="2">
        <v>28.2</v>
      </c>
      <c r="G123" s="2">
        <v>0.443</v>
      </c>
      <c r="H123" s="2">
        <v>22</v>
      </c>
      <c r="I123">
        <v>0</v>
      </c>
    </row>
    <row r="124" spans="1:9">
      <c r="A124" s="2">
        <v>4</v>
      </c>
      <c r="B124" s="2">
        <v>99</v>
      </c>
      <c r="C124" s="2">
        <v>76</v>
      </c>
      <c r="D124" s="2">
        <v>15</v>
      </c>
      <c r="E124" s="2">
        <v>51</v>
      </c>
      <c r="F124" s="2">
        <v>23.2</v>
      </c>
      <c r="G124" s="2">
        <v>0.223</v>
      </c>
      <c r="H124" s="2">
        <v>21</v>
      </c>
      <c r="I124">
        <v>0</v>
      </c>
    </row>
    <row r="125" spans="1:9">
      <c r="A125" s="2">
        <v>0</v>
      </c>
      <c r="B125" s="2">
        <v>162</v>
      </c>
      <c r="C125" s="2">
        <v>76</v>
      </c>
      <c r="D125" s="2">
        <v>56</v>
      </c>
      <c r="E125" s="2">
        <v>100</v>
      </c>
      <c r="F125" s="2">
        <v>53.2</v>
      </c>
      <c r="G125" s="2">
        <v>0.759</v>
      </c>
      <c r="H125" s="2">
        <v>25</v>
      </c>
      <c r="I125">
        <v>1</v>
      </c>
    </row>
    <row r="126" spans="1:9">
      <c r="A126" s="2">
        <v>6</v>
      </c>
      <c r="B126" s="2">
        <v>111</v>
      </c>
      <c r="C126" s="2">
        <v>64</v>
      </c>
      <c r="D126" s="2">
        <v>39</v>
      </c>
      <c r="E126" s="2">
        <v>0</v>
      </c>
      <c r="F126" s="2">
        <v>34.2</v>
      </c>
      <c r="G126" s="2">
        <v>0.26</v>
      </c>
      <c r="H126" s="2">
        <v>24</v>
      </c>
      <c r="I126">
        <v>0</v>
      </c>
    </row>
    <row r="127" spans="1:9">
      <c r="A127" s="2">
        <v>2</v>
      </c>
      <c r="B127" s="2">
        <v>107</v>
      </c>
      <c r="C127" s="2">
        <v>74</v>
      </c>
      <c r="D127" s="2">
        <v>30</v>
      </c>
      <c r="E127" s="2">
        <v>100</v>
      </c>
      <c r="F127" s="2">
        <v>33.6</v>
      </c>
      <c r="G127" s="2">
        <v>0.404</v>
      </c>
      <c r="H127" s="2">
        <v>23</v>
      </c>
      <c r="I127">
        <v>0</v>
      </c>
    </row>
    <row r="128" spans="1:9">
      <c r="A128" s="2">
        <v>5</v>
      </c>
      <c r="B128" s="2">
        <v>132</v>
      </c>
      <c r="C128" s="2">
        <v>80</v>
      </c>
      <c r="D128" s="2">
        <v>0</v>
      </c>
      <c r="E128" s="2">
        <v>0</v>
      </c>
      <c r="F128" s="2">
        <v>26.8</v>
      </c>
      <c r="G128" s="2">
        <v>0.186</v>
      </c>
      <c r="H128" s="2">
        <v>69</v>
      </c>
      <c r="I128">
        <v>0</v>
      </c>
    </row>
    <row r="129" spans="1:9">
      <c r="A129" s="2">
        <v>0</v>
      </c>
      <c r="B129" s="2">
        <v>113</v>
      </c>
      <c r="C129" s="2">
        <v>76</v>
      </c>
      <c r="D129" s="2">
        <v>0</v>
      </c>
      <c r="E129" s="2">
        <v>0</v>
      </c>
      <c r="F129" s="2">
        <v>33.3</v>
      </c>
      <c r="G129" s="2">
        <v>0.278</v>
      </c>
      <c r="H129" s="2">
        <v>23</v>
      </c>
      <c r="I129">
        <v>1</v>
      </c>
    </row>
    <row r="130" spans="1:9">
      <c r="A130" s="2">
        <v>1</v>
      </c>
      <c r="B130" s="2">
        <v>88</v>
      </c>
      <c r="C130" s="2">
        <v>30</v>
      </c>
      <c r="D130" s="2">
        <v>42</v>
      </c>
      <c r="E130" s="2">
        <v>99</v>
      </c>
      <c r="F130" s="2">
        <v>55</v>
      </c>
      <c r="G130" s="2">
        <v>0.496</v>
      </c>
      <c r="H130" s="2">
        <v>26</v>
      </c>
      <c r="I130">
        <v>1</v>
      </c>
    </row>
    <row r="131" spans="1:9">
      <c r="A131" s="2">
        <v>3</v>
      </c>
      <c r="B131" s="2">
        <v>120</v>
      </c>
      <c r="C131" s="2">
        <v>70</v>
      </c>
      <c r="D131" s="2">
        <v>30</v>
      </c>
      <c r="E131" s="2">
        <v>135</v>
      </c>
      <c r="F131" s="2">
        <v>42.9</v>
      </c>
      <c r="G131" s="2">
        <v>0.452</v>
      </c>
      <c r="H131" s="2">
        <v>30</v>
      </c>
      <c r="I131">
        <v>0</v>
      </c>
    </row>
    <row r="132" spans="1:9">
      <c r="A132" s="2">
        <v>1</v>
      </c>
      <c r="B132" s="2">
        <v>118</v>
      </c>
      <c r="C132" s="2">
        <v>58</v>
      </c>
      <c r="D132" s="2">
        <v>36</v>
      </c>
      <c r="E132" s="2">
        <v>94</v>
      </c>
      <c r="F132" s="2">
        <v>33.3</v>
      </c>
      <c r="G132" s="2">
        <v>0.261</v>
      </c>
      <c r="H132" s="2">
        <v>23</v>
      </c>
      <c r="I132">
        <v>0</v>
      </c>
    </row>
    <row r="133" spans="1:9">
      <c r="A133" s="2">
        <v>1</v>
      </c>
      <c r="B133" s="2">
        <v>117</v>
      </c>
      <c r="C133" s="2">
        <v>88</v>
      </c>
      <c r="D133" s="2">
        <v>24</v>
      </c>
      <c r="E133" s="2">
        <v>145</v>
      </c>
      <c r="F133" s="2">
        <v>34.5</v>
      </c>
      <c r="G133" s="2">
        <v>0.403</v>
      </c>
      <c r="H133" s="2">
        <v>40</v>
      </c>
      <c r="I133">
        <v>1</v>
      </c>
    </row>
    <row r="134" spans="1:9">
      <c r="A134" s="2">
        <v>0</v>
      </c>
      <c r="B134" s="2">
        <v>105</v>
      </c>
      <c r="C134" s="2">
        <v>84</v>
      </c>
      <c r="D134" s="2">
        <v>0</v>
      </c>
      <c r="E134" s="2">
        <v>0</v>
      </c>
      <c r="F134" s="2">
        <v>27.9</v>
      </c>
      <c r="G134" s="2">
        <v>0.741</v>
      </c>
      <c r="H134" s="2">
        <v>62</v>
      </c>
      <c r="I134">
        <v>1</v>
      </c>
    </row>
    <row r="135" spans="1:9">
      <c r="A135" s="2">
        <v>4</v>
      </c>
      <c r="B135" s="2">
        <v>173</v>
      </c>
      <c r="C135" s="2">
        <v>70</v>
      </c>
      <c r="D135" s="2">
        <v>14</v>
      </c>
      <c r="E135" s="2">
        <v>168</v>
      </c>
      <c r="F135" s="2">
        <v>29.7</v>
      </c>
      <c r="G135" s="2">
        <v>0.361</v>
      </c>
      <c r="H135" s="2">
        <v>33</v>
      </c>
      <c r="I135">
        <v>1</v>
      </c>
    </row>
    <row r="136" spans="1:9">
      <c r="A136" s="2">
        <v>9</v>
      </c>
      <c r="B136" s="2">
        <v>122</v>
      </c>
      <c r="C136" s="2">
        <v>56</v>
      </c>
      <c r="D136" s="2">
        <v>0</v>
      </c>
      <c r="E136" s="2">
        <v>0</v>
      </c>
      <c r="F136" s="2">
        <v>33.3</v>
      </c>
      <c r="G136" s="2">
        <v>1.114</v>
      </c>
      <c r="H136" s="2">
        <v>33</v>
      </c>
      <c r="I136">
        <v>1</v>
      </c>
    </row>
    <row r="137" spans="1:9">
      <c r="A137" s="2">
        <v>3</v>
      </c>
      <c r="B137" s="2">
        <v>170</v>
      </c>
      <c r="C137" s="2">
        <v>64</v>
      </c>
      <c r="D137" s="2">
        <v>37</v>
      </c>
      <c r="E137" s="2">
        <v>225</v>
      </c>
      <c r="F137" s="2">
        <v>34.5</v>
      </c>
      <c r="G137" s="2">
        <v>0.356</v>
      </c>
      <c r="H137" s="2">
        <v>30</v>
      </c>
      <c r="I137">
        <v>1</v>
      </c>
    </row>
    <row r="138" spans="1:9">
      <c r="A138" s="2">
        <v>8</v>
      </c>
      <c r="B138" s="2">
        <v>84</v>
      </c>
      <c r="C138" s="2">
        <v>74</v>
      </c>
      <c r="D138" s="2">
        <v>31</v>
      </c>
      <c r="E138" s="2">
        <v>0</v>
      </c>
      <c r="F138" s="2">
        <v>38.3</v>
      </c>
      <c r="G138" s="2">
        <v>0.457</v>
      </c>
      <c r="H138" s="2">
        <v>39</v>
      </c>
      <c r="I138">
        <v>0</v>
      </c>
    </row>
    <row r="139" spans="1:9">
      <c r="A139" s="2">
        <v>2</v>
      </c>
      <c r="B139" s="2">
        <v>96</v>
      </c>
      <c r="C139" s="2">
        <v>68</v>
      </c>
      <c r="D139" s="2">
        <v>13</v>
      </c>
      <c r="E139" s="2">
        <v>49</v>
      </c>
      <c r="F139" s="2">
        <v>21.1</v>
      </c>
      <c r="G139" s="2">
        <v>0.647</v>
      </c>
      <c r="H139" s="2">
        <v>26</v>
      </c>
      <c r="I139">
        <v>0</v>
      </c>
    </row>
    <row r="140" spans="1:9">
      <c r="A140" s="2">
        <v>2</v>
      </c>
      <c r="B140" s="2">
        <v>125</v>
      </c>
      <c r="C140" s="2">
        <v>60</v>
      </c>
      <c r="D140" s="2">
        <v>20</v>
      </c>
      <c r="E140" s="2">
        <v>140</v>
      </c>
      <c r="F140" s="2">
        <v>33.8</v>
      </c>
      <c r="G140" s="2">
        <v>0.088</v>
      </c>
      <c r="H140" s="2">
        <v>31</v>
      </c>
      <c r="I140">
        <v>0</v>
      </c>
    </row>
    <row r="141" spans="1:9">
      <c r="A141" s="2">
        <v>0</v>
      </c>
      <c r="B141" s="2">
        <v>100</v>
      </c>
      <c r="C141" s="2">
        <v>70</v>
      </c>
      <c r="D141" s="2">
        <v>26</v>
      </c>
      <c r="E141" s="2">
        <v>50</v>
      </c>
      <c r="F141" s="2">
        <v>30.8</v>
      </c>
      <c r="G141" s="2">
        <v>0.597</v>
      </c>
      <c r="H141" s="2">
        <v>21</v>
      </c>
      <c r="I141">
        <v>0</v>
      </c>
    </row>
    <row r="142" spans="1:9">
      <c r="A142" s="2">
        <v>0</v>
      </c>
      <c r="B142" s="2">
        <v>93</v>
      </c>
      <c r="C142" s="2">
        <v>60</v>
      </c>
      <c r="D142" s="2">
        <v>25</v>
      </c>
      <c r="E142" s="2">
        <v>92</v>
      </c>
      <c r="F142" s="2">
        <v>28.7</v>
      </c>
      <c r="G142" s="2">
        <v>0.532</v>
      </c>
      <c r="H142" s="2">
        <v>22</v>
      </c>
      <c r="I142">
        <v>0</v>
      </c>
    </row>
    <row r="143" spans="1:9">
      <c r="A143" s="2">
        <v>0</v>
      </c>
      <c r="B143" s="2">
        <v>129</v>
      </c>
      <c r="C143" s="2">
        <v>80</v>
      </c>
      <c r="D143" s="2">
        <v>0</v>
      </c>
      <c r="E143" s="2">
        <v>0</v>
      </c>
      <c r="F143" s="2">
        <v>31.2</v>
      </c>
      <c r="G143" s="2">
        <v>0.703</v>
      </c>
      <c r="H143" s="2">
        <v>29</v>
      </c>
      <c r="I143">
        <v>0</v>
      </c>
    </row>
    <row r="144" spans="1:9">
      <c r="A144" s="2">
        <v>5</v>
      </c>
      <c r="B144" s="2">
        <v>105</v>
      </c>
      <c r="C144" s="2">
        <v>72</v>
      </c>
      <c r="D144" s="2">
        <v>29</v>
      </c>
      <c r="E144" s="2">
        <v>325</v>
      </c>
      <c r="F144" s="2">
        <v>36.9</v>
      </c>
      <c r="G144" s="2">
        <v>0.159</v>
      </c>
      <c r="H144" s="2">
        <v>28</v>
      </c>
      <c r="I144">
        <v>0</v>
      </c>
    </row>
    <row r="145" spans="1:9">
      <c r="A145" s="2">
        <v>3</v>
      </c>
      <c r="B145" s="2">
        <v>128</v>
      </c>
      <c r="C145" s="2">
        <v>78</v>
      </c>
      <c r="D145" s="2">
        <v>0</v>
      </c>
      <c r="E145" s="2">
        <v>0</v>
      </c>
      <c r="F145" s="2">
        <v>21.1</v>
      </c>
      <c r="G145" s="2">
        <v>0.268</v>
      </c>
      <c r="H145" s="2">
        <v>55</v>
      </c>
      <c r="I145">
        <v>0</v>
      </c>
    </row>
    <row r="146" spans="1:9">
      <c r="A146" s="2">
        <v>5</v>
      </c>
      <c r="B146" s="2">
        <v>106</v>
      </c>
      <c r="C146" s="2">
        <v>82</v>
      </c>
      <c r="D146" s="2">
        <v>30</v>
      </c>
      <c r="E146" s="2">
        <v>0</v>
      </c>
      <c r="F146" s="2">
        <v>39.5</v>
      </c>
      <c r="G146" s="2">
        <v>0.286</v>
      </c>
      <c r="H146" s="2">
        <v>38</v>
      </c>
      <c r="I146">
        <v>0</v>
      </c>
    </row>
    <row r="147" spans="1:9">
      <c r="A147" s="2">
        <v>2</v>
      </c>
      <c r="B147" s="2">
        <v>108</v>
      </c>
      <c r="C147" s="2">
        <v>52</v>
      </c>
      <c r="D147" s="2">
        <v>26</v>
      </c>
      <c r="E147" s="2">
        <v>63</v>
      </c>
      <c r="F147" s="2">
        <v>32.5</v>
      </c>
      <c r="G147" s="2">
        <v>0.318</v>
      </c>
      <c r="H147" s="2">
        <v>22</v>
      </c>
      <c r="I147">
        <v>0</v>
      </c>
    </row>
    <row r="148" spans="1:9">
      <c r="A148" s="2">
        <v>10</v>
      </c>
      <c r="B148" s="2">
        <v>108</v>
      </c>
      <c r="C148" s="2">
        <v>66</v>
      </c>
      <c r="D148" s="2">
        <v>0</v>
      </c>
      <c r="E148" s="2">
        <v>0</v>
      </c>
      <c r="F148" s="2">
        <v>32.4</v>
      </c>
      <c r="G148" s="2">
        <v>0.272</v>
      </c>
      <c r="H148" s="2">
        <v>42</v>
      </c>
      <c r="I148">
        <v>1</v>
      </c>
    </row>
    <row r="149" spans="1:9">
      <c r="A149" s="2">
        <v>4</v>
      </c>
      <c r="B149" s="2">
        <v>154</v>
      </c>
      <c r="C149" s="2">
        <v>62</v>
      </c>
      <c r="D149" s="2">
        <v>31</v>
      </c>
      <c r="E149" s="2">
        <v>284</v>
      </c>
      <c r="F149" s="2">
        <v>32.8</v>
      </c>
      <c r="G149" s="2">
        <v>0.237</v>
      </c>
      <c r="H149" s="2">
        <v>23</v>
      </c>
      <c r="I149">
        <v>0</v>
      </c>
    </row>
    <row r="150" spans="1:9">
      <c r="A150" s="2">
        <v>0</v>
      </c>
      <c r="B150" s="2">
        <v>102</v>
      </c>
      <c r="C150" s="2">
        <v>75</v>
      </c>
      <c r="D150" s="2">
        <v>23</v>
      </c>
      <c r="E150" s="2">
        <v>0</v>
      </c>
      <c r="F150" s="2">
        <v>0</v>
      </c>
      <c r="G150" s="2">
        <v>0.572</v>
      </c>
      <c r="H150" s="2">
        <v>21</v>
      </c>
      <c r="I150">
        <v>0</v>
      </c>
    </row>
    <row r="151" spans="1:9">
      <c r="A151" s="2">
        <v>9</v>
      </c>
      <c r="B151" s="2">
        <v>57</v>
      </c>
      <c r="C151" s="2">
        <v>80</v>
      </c>
      <c r="D151" s="2">
        <v>37</v>
      </c>
      <c r="E151" s="2">
        <v>0</v>
      </c>
      <c r="F151" s="2">
        <v>32.8</v>
      </c>
      <c r="G151" s="2">
        <v>0.096</v>
      </c>
      <c r="H151" s="2">
        <v>41</v>
      </c>
      <c r="I151">
        <v>0</v>
      </c>
    </row>
    <row r="152" spans="1:9">
      <c r="A152" s="2">
        <v>2</v>
      </c>
      <c r="B152" s="2">
        <v>106</v>
      </c>
      <c r="C152" s="2">
        <v>64</v>
      </c>
      <c r="D152" s="2">
        <v>35</v>
      </c>
      <c r="E152" s="2">
        <v>119</v>
      </c>
      <c r="F152" s="2">
        <v>30.5</v>
      </c>
      <c r="G152" s="2">
        <v>1.4</v>
      </c>
      <c r="H152" s="2">
        <v>34</v>
      </c>
      <c r="I152">
        <v>0</v>
      </c>
    </row>
    <row r="153" spans="1:9">
      <c r="A153" s="2">
        <v>5</v>
      </c>
      <c r="B153" s="2">
        <v>147</v>
      </c>
      <c r="C153" s="2">
        <v>78</v>
      </c>
      <c r="D153" s="2">
        <v>0</v>
      </c>
      <c r="E153" s="2">
        <v>0</v>
      </c>
      <c r="F153" s="2">
        <v>33.7</v>
      </c>
      <c r="G153" s="2">
        <v>0.218</v>
      </c>
      <c r="H153" s="2">
        <v>65</v>
      </c>
      <c r="I153">
        <v>0</v>
      </c>
    </row>
    <row r="154" spans="1:9">
      <c r="A154" s="2">
        <v>2</v>
      </c>
      <c r="B154" s="2">
        <v>90</v>
      </c>
      <c r="C154" s="2">
        <v>70</v>
      </c>
      <c r="D154" s="2">
        <v>17</v>
      </c>
      <c r="E154" s="2">
        <v>0</v>
      </c>
      <c r="F154" s="2">
        <v>27.3</v>
      </c>
      <c r="G154" s="2">
        <v>0.085</v>
      </c>
      <c r="H154" s="2">
        <v>22</v>
      </c>
      <c r="I154">
        <v>0</v>
      </c>
    </row>
    <row r="155" spans="1:9">
      <c r="A155" s="2">
        <v>1</v>
      </c>
      <c r="B155" s="2">
        <v>136</v>
      </c>
      <c r="C155" s="2">
        <v>74</v>
      </c>
      <c r="D155" s="2">
        <v>50</v>
      </c>
      <c r="E155" s="2">
        <v>204</v>
      </c>
      <c r="F155" s="2">
        <v>37.4</v>
      </c>
      <c r="G155" s="2">
        <v>0.399</v>
      </c>
      <c r="H155" s="2">
        <v>24</v>
      </c>
      <c r="I155">
        <v>0</v>
      </c>
    </row>
    <row r="156" spans="1:9">
      <c r="A156" s="2">
        <v>4</v>
      </c>
      <c r="B156" s="2">
        <v>114</v>
      </c>
      <c r="C156" s="2">
        <v>65</v>
      </c>
      <c r="D156" s="2">
        <v>0</v>
      </c>
      <c r="E156" s="2">
        <v>0</v>
      </c>
      <c r="F156" s="2">
        <v>21.9</v>
      </c>
      <c r="G156" s="2">
        <v>0.432</v>
      </c>
      <c r="H156" s="2">
        <v>37</v>
      </c>
      <c r="I156">
        <v>0</v>
      </c>
    </row>
    <row r="157" spans="1:9">
      <c r="A157" s="2">
        <v>9</v>
      </c>
      <c r="B157" s="2">
        <v>156</v>
      </c>
      <c r="C157" s="2">
        <v>86</v>
      </c>
      <c r="D157" s="2">
        <v>28</v>
      </c>
      <c r="E157" s="2">
        <v>155</v>
      </c>
      <c r="F157" s="2">
        <v>34.3</v>
      </c>
      <c r="G157" s="2">
        <v>1.189</v>
      </c>
      <c r="H157" s="2">
        <v>42</v>
      </c>
      <c r="I157">
        <v>1</v>
      </c>
    </row>
    <row r="158" spans="1:9">
      <c r="A158" s="2">
        <v>1</v>
      </c>
      <c r="B158" s="2">
        <v>153</v>
      </c>
      <c r="C158" s="2">
        <v>82</v>
      </c>
      <c r="D158" s="2">
        <v>42</v>
      </c>
      <c r="E158" s="2">
        <v>485</v>
      </c>
      <c r="F158" s="2">
        <v>40.6</v>
      </c>
      <c r="G158" s="2">
        <v>0.687</v>
      </c>
      <c r="H158" s="2">
        <v>23</v>
      </c>
      <c r="I158">
        <v>0</v>
      </c>
    </row>
    <row r="159" spans="1:9">
      <c r="A159" s="2">
        <v>8</v>
      </c>
      <c r="B159" s="2">
        <v>188</v>
      </c>
      <c r="C159" s="2">
        <v>78</v>
      </c>
      <c r="D159" s="2">
        <v>0</v>
      </c>
      <c r="E159" s="2">
        <v>0</v>
      </c>
      <c r="F159" s="2">
        <v>47.9</v>
      </c>
      <c r="G159" s="2">
        <v>0.137</v>
      </c>
      <c r="H159" s="2">
        <v>43</v>
      </c>
      <c r="I159">
        <v>1</v>
      </c>
    </row>
    <row r="160" spans="1:9">
      <c r="A160" s="2">
        <v>7</v>
      </c>
      <c r="B160" s="2">
        <v>152</v>
      </c>
      <c r="C160" s="2">
        <v>88</v>
      </c>
      <c r="D160" s="2">
        <v>44</v>
      </c>
      <c r="E160" s="2">
        <v>0</v>
      </c>
      <c r="F160" s="2">
        <v>50</v>
      </c>
      <c r="G160" s="2">
        <v>0.337</v>
      </c>
      <c r="H160" s="2">
        <v>36</v>
      </c>
      <c r="I160">
        <v>1</v>
      </c>
    </row>
    <row r="161" spans="1:9">
      <c r="A161" s="2">
        <v>2</v>
      </c>
      <c r="B161" s="2">
        <v>99</v>
      </c>
      <c r="C161" s="2">
        <v>52</v>
      </c>
      <c r="D161" s="2">
        <v>15</v>
      </c>
      <c r="E161" s="2">
        <v>94</v>
      </c>
      <c r="F161" s="2">
        <v>24.6</v>
      </c>
      <c r="G161" s="2">
        <v>0.637</v>
      </c>
      <c r="H161" s="2">
        <v>21</v>
      </c>
      <c r="I161">
        <v>0</v>
      </c>
    </row>
    <row r="162" spans="1:9">
      <c r="A162" s="2">
        <v>1</v>
      </c>
      <c r="B162" s="2">
        <v>109</v>
      </c>
      <c r="C162" s="2">
        <v>56</v>
      </c>
      <c r="D162" s="2">
        <v>21</v>
      </c>
      <c r="E162" s="2">
        <v>135</v>
      </c>
      <c r="F162" s="2">
        <v>25.2</v>
      </c>
      <c r="G162" s="2">
        <v>0.833</v>
      </c>
      <c r="H162" s="2">
        <v>23</v>
      </c>
      <c r="I162">
        <v>0</v>
      </c>
    </row>
    <row r="163" spans="1:9">
      <c r="A163" s="2">
        <v>2</v>
      </c>
      <c r="B163" s="2">
        <v>88</v>
      </c>
      <c r="C163" s="2">
        <v>74</v>
      </c>
      <c r="D163" s="2">
        <v>19</v>
      </c>
      <c r="E163" s="2">
        <v>53</v>
      </c>
      <c r="F163" s="2">
        <v>29</v>
      </c>
      <c r="G163" s="2">
        <v>0.229</v>
      </c>
      <c r="H163" s="2">
        <v>22</v>
      </c>
      <c r="I163">
        <v>0</v>
      </c>
    </row>
    <row r="164" spans="1:9">
      <c r="A164" s="2">
        <v>17</v>
      </c>
      <c r="B164" s="2">
        <v>163</v>
      </c>
      <c r="C164" s="2">
        <v>72</v>
      </c>
      <c r="D164" s="2">
        <v>41</v>
      </c>
      <c r="E164" s="2">
        <v>114</v>
      </c>
      <c r="F164" s="2">
        <v>40.9</v>
      </c>
      <c r="G164" s="2">
        <v>0.817</v>
      </c>
      <c r="H164" s="2">
        <v>47</v>
      </c>
      <c r="I164">
        <v>1</v>
      </c>
    </row>
    <row r="165" spans="1:9">
      <c r="A165" s="2">
        <v>4</v>
      </c>
      <c r="B165" s="2">
        <v>151</v>
      </c>
      <c r="C165" s="2">
        <v>90</v>
      </c>
      <c r="D165" s="2">
        <v>38</v>
      </c>
      <c r="E165" s="2">
        <v>0</v>
      </c>
      <c r="F165" s="2">
        <v>29.7</v>
      </c>
      <c r="G165" s="2">
        <v>0.294</v>
      </c>
      <c r="H165" s="2">
        <v>36</v>
      </c>
      <c r="I165">
        <v>0</v>
      </c>
    </row>
    <row r="166" spans="1:9">
      <c r="A166" s="2">
        <v>7</v>
      </c>
      <c r="B166" s="2">
        <v>102</v>
      </c>
      <c r="C166" s="2">
        <v>74</v>
      </c>
      <c r="D166" s="2">
        <v>40</v>
      </c>
      <c r="E166" s="2">
        <v>105</v>
      </c>
      <c r="F166" s="2">
        <v>37.2</v>
      </c>
      <c r="G166" s="2">
        <v>0.204</v>
      </c>
      <c r="H166" s="2">
        <v>45</v>
      </c>
      <c r="I166">
        <v>0</v>
      </c>
    </row>
    <row r="167" spans="1:9">
      <c r="A167" s="2">
        <v>0</v>
      </c>
      <c r="B167" s="2">
        <v>114</v>
      </c>
      <c r="C167" s="2">
        <v>80</v>
      </c>
      <c r="D167" s="2">
        <v>34</v>
      </c>
      <c r="E167" s="2">
        <v>285</v>
      </c>
      <c r="F167" s="2">
        <v>44.2</v>
      </c>
      <c r="G167" s="2">
        <v>0.167</v>
      </c>
      <c r="H167" s="2">
        <v>27</v>
      </c>
      <c r="I167">
        <v>0</v>
      </c>
    </row>
    <row r="168" spans="1:9">
      <c r="A168" s="2">
        <v>2</v>
      </c>
      <c r="B168" s="2">
        <v>100</v>
      </c>
      <c r="C168" s="2">
        <v>64</v>
      </c>
      <c r="D168" s="2">
        <v>23</v>
      </c>
      <c r="E168" s="2">
        <v>0</v>
      </c>
      <c r="F168" s="2">
        <v>29.7</v>
      </c>
      <c r="G168" s="2">
        <v>0.368</v>
      </c>
      <c r="H168" s="2">
        <v>21</v>
      </c>
      <c r="I168">
        <v>0</v>
      </c>
    </row>
    <row r="169" spans="1:9">
      <c r="A169" s="2">
        <v>0</v>
      </c>
      <c r="B169" s="2">
        <v>131</v>
      </c>
      <c r="C169" s="2">
        <v>88</v>
      </c>
      <c r="D169" s="2">
        <v>0</v>
      </c>
      <c r="E169" s="2">
        <v>0</v>
      </c>
      <c r="F169" s="2">
        <v>31.6</v>
      </c>
      <c r="G169" s="2">
        <v>0.743</v>
      </c>
      <c r="H169" s="2">
        <v>32</v>
      </c>
      <c r="I169">
        <v>1</v>
      </c>
    </row>
    <row r="170" spans="1:9">
      <c r="A170" s="2">
        <v>6</v>
      </c>
      <c r="B170" s="2">
        <v>104</v>
      </c>
      <c r="C170" s="2">
        <v>74</v>
      </c>
      <c r="D170" s="2">
        <v>18</v>
      </c>
      <c r="E170" s="2">
        <v>156</v>
      </c>
      <c r="F170" s="2">
        <v>29.9</v>
      </c>
      <c r="G170" s="2">
        <v>0.722</v>
      </c>
      <c r="H170" s="2">
        <v>41</v>
      </c>
      <c r="I170">
        <v>1</v>
      </c>
    </row>
    <row r="171" spans="1:9">
      <c r="A171" s="2">
        <v>3</v>
      </c>
      <c r="B171" s="2">
        <v>148</v>
      </c>
      <c r="C171" s="2">
        <v>66</v>
      </c>
      <c r="D171" s="2">
        <v>25</v>
      </c>
      <c r="E171" s="2">
        <v>0</v>
      </c>
      <c r="F171" s="2">
        <v>32.5</v>
      </c>
      <c r="G171" s="2">
        <v>0.256</v>
      </c>
      <c r="H171" s="2">
        <v>22</v>
      </c>
      <c r="I171">
        <v>0</v>
      </c>
    </row>
    <row r="172" spans="1:9">
      <c r="A172" s="2">
        <v>4</v>
      </c>
      <c r="B172" s="2">
        <v>120</v>
      </c>
      <c r="C172" s="2">
        <v>68</v>
      </c>
      <c r="D172" s="2">
        <v>0</v>
      </c>
      <c r="E172" s="2">
        <v>0</v>
      </c>
      <c r="F172" s="2">
        <v>29.6</v>
      </c>
      <c r="G172" s="2">
        <v>0.709</v>
      </c>
      <c r="H172" s="2">
        <v>34</v>
      </c>
      <c r="I172">
        <v>0</v>
      </c>
    </row>
    <row r="173" spans="1:9">
      <c r="A173" s="2">
        <v>4</v>
      </c>
      <c r="B173" s="2">
        <v>110</v>
      </c>
      <c r="C173" s="2">
        <v>66</v>
      </c>
      <c r="D173" s="2">
        <v>0</v>
      </c>
      <c r="E173" s="2">
        <v>0</v>
      </c>
      <c r="F173" s="2">
        <v>31.9</v>
      </c>
      <c r="G173" s="2">
        <v>0.471</v>
      </c>
      <c r="H173" s="2">
        <v>29</v>
      </c>
      <c r="I173">
        <v>0</v>
      </c>
    </row>
    <row r="174" spans="1:9">
      <c r="A174" s="2">
        <v>3</v>
      </c>
      <c r="B174" s="2">
        <v>111</v>
      </c>
      <c r="C174" s="2">
        <v>90</v>
      </c>
      <c r="D174" s="2">
        <v>12</v>
      </c>
      <c r="E174" s="2">
        <v>78</v>
      </c>
      <c r="F174" s="2">
        <v>28.4</v>
      </c>
      <c r="G174" s="2">
        <v>0.495</v>
      </c>
      <c r="H174" s="2">
        <v>29</v>
      </c>
      <c r="I174">
        <v>0</v>
      </c>
    </row>
    <row r="175" spans="1:9">
      <c r="A175" s="2">
        <v>6</v>
      </c>
      <c r="B175" s="2">
        <v>102</v>
      </c>
      <c r="C175" s="2">
        <v>82</v>
      </c>
      <c r="D175" s="2">
        <v>0</v>
      </c>
      <c r="E175" s="2">
        <v>0</v>
      </c>
      <c r="F175" s="2">
        <v>30.8</v>
      </c>
      <c r="G175" s="2">
        <v>0.18</v>
      </c>
      <c r="H175" s="2">
        <v>36</v>
      </c>
      <c r="I175">
        <v>1</v>
      </c>
    </row>
    <row r="176" spans="1:9">
      <c r="A176" s="2">
        <v>6</v>
      </c>
      <c r="B176" s="2">
        <v>134</v>
      </c>
      <c r="C176" s="2">
        <v>70</v>
      </c>
      <c r="D176" s="2">
        <v>23</v>
      </c>
      <c r="E176" s="2">
        <v>130</v>
      </c>
      <c r="F176" s="2">
        <v>35.4</v>
      </c>
      <c r="G176" s="2">
        <v>0.542</v>
      </c>
      <c r="H176" s="2">
        <v>29</v>
      </c>
      <c r="I176">
        <v>1</v>
      </c>
    </row>
    <row r="177" spans="1:9">
      <c r="A177" s="2">
        <v>2</v>
      </c>
      <c r="B177" s="2">
        <v>87</v>
      </c>
      <c r="C177" s="2">
        <v>0</v>
      </c>
      <c r="D177" s="2">
        <v>23</v>
      </c>
      <c r="E177" s="2">
        <v>0</v>
      </c>
      <c r="F177" s="2">
        <v>28.9</v>
      </c>
      <c r="G177" s="2">
        <v>0.773</v>
      </c>
      <c r="H177" s="2">
        <v>25</v>
      </c>
      <c r="I177">
        <v>0</v>
      </c>
    </row>
    <row r="178" spans="1:9">
      <c r="A178" s="2">
        <v>1</v>
      </c>
      <c r="B178" s="2">
        <v>79</v>
      </c>
      <c r="C178" s="2">
        <v>60</v>
      </c>
      <c r="D178" s="2">
        <v>42</v>
      </c>
      <c r="E178" s="2">
        <v>48</v>
      </c>
      <c r="F178" s="2">
        <v>43.5</v>
      </c>
      <c r="G178" s="2">
        <v>0.678</v>
      </c>
      <c r="H178" s="2">
        <v>23</v>
      </c>
      <c r="I178">
        <v>0</v>
      </c>
    </row>
    <row r="179" spans="1:9">
      <c r="A179" s="2">
        <v>2</v>
      </c>
      <c r="B179" s="2">
        <v>75</v>
      </c>
      <c r="C179" s="2">
        <v>64</v>
      </c>
      <c r="D179" s="2">
        <v>24</v>
      </c>
      <c r="E179" s="2">
        <v>55</v>
      </c>
      <c r="F179" s="2">
        <v>29.7</v>
      </c>
      <c r="G179" s="2">
        <v>0.37</v>
      </c>
      <c r="H179" s="2">
        <v>33</v>
      </c>
      <c r="I179">
        <v>0</v>
      </c>
    </row>
    <row r="180" spans="1:9">
      <c r="A180" s="2">
        <v>8</v>
      </c>
      <c r="B180" s="2">
        <v>179</v>
      </c>
      <c r="C180" s="2">
        <v>72</v>
      </c>
      <c r="D180" s="2">
        <v>42</v>
      </c>
      <c r="E180" s="2">
        <v>130</v>
      </c>
      <c r="F180" s="2">
        <v>32.7</v>
      </c>
      <c r="G180" s="2">
        <v>0.719</v>
      </c>
      <c r="H180" s="2">
        <v>36</v>
      </c>
      <c r="I180">
        <v>1</v>
      </c>
    </row>
    <row r="181" spans="1:9">
      <c r="A181" s="2">
        <v>6</v>
      </c>
      <c r="B181" s="2">
        <v>85</v>
      </c>
      <c r="C181" s="2">
        <v>78</v>
      </c>
      <c r="D181" s="2">
        <v>0</v>
      </c>
      <c r="E181" s="2">
        <v>0</v>
      </c>
      <c r="F181" s="2">
        <v>31.2</v>
      </c>
      <c r="G181" s="2">
        <v>0.382</v>
      </c>
      <c r="H181" s="2">
        <v>42</v>
      </c>
      <c r="I181">
        <v>0</v>
      </c>
    </row>
    <row r="182" spans="1:9">
      <c r="A182" s="2">
        <v>0</v>
      </c>
      <c r="B182" s="2">
        <v>129</v>
      </c>
      <c r="C182" s="2">
        <v>110</v>
      </c>
      <c r="D182" s="2">
        <v>46</v>
      </c>
      <c r="E182" s="2">
        <v>130</v>
      </c>
      <c r="F182" s="2">
        <v>67.1</v>
      </c>
      <c r="G182" s="2">
        <v>0.319</v>
      </c>
      <c r="H182" s="2">
        <v>26</v>
      </c>
      <c r="I182">
        <v>1</v>
      </c>
    </row>
    <row r="183" spans="1:9">
      <c r="A183" s="2">
        <v>5</v>
      </c>
      <c r="B183" s="2">
        <v>143</v>
      </c>
      <c r="C183" s="2">
        <v>78</v>
      </c>
      <c r="D183" s="2">
        <v>0</v>
      </c>
      <c r="E183" s="2">
        <v>0</v>
      </c>
      <c r="F183" s="2">
        <v>45</v>
      </c>
      <c r="G183" s="2">
        <v>0.19</v>
      </c>
      <c r="H183" s="2">
        <v>47</v>
      </c>
      <c r="I183">
        <v>0</v>
      </c>
    </row>
    <row r="184" spans="1:9">
      <c r="A184" s="2">
        <v>5</v>
      </c>
      <c r="B184" s="2">
        <v>130</v>
      </c>
      <c r="C184" s="2">
        <v>82</v>
      </c>
      <c r="D184" s="2">
        <v>0</v>
      </c>
      <c r="E184" s="2">
        <v>0</v>
      </c>
      <c r="F184" s="2">
        <v>39.1</v>
      </c>
      <c r="G184" s="2">
        <v>0.956</v>
      </c>
      <c r="H184" s="2">
        <v>37</v>
      </c>
      <c r="I184">
        <v>1</v>
      </c>
    </row>
    <row r="185" spans="1:9">
      <c r="A185" s="2">
        <v>6</v>
      </c>
      <c r="B185" s="2">
        <v>87</v>
      </c>
      <c r="C185" s="2">
        <v>80</v>
      </c>
      <c r="D185" s="2">
        <v>0</v>
      </c>
      <c r="E185" s="2">
        <v>0</v>
      </c>
      <c r="F185" s="2">
        <v>23.2</v>
      </c>
      <c r="G185" s="2">
        <v>0.084</v>
      </c>
      <c r="H185" s="2">
        <v>32</v>
      </c>
      <c r="I185">
        <v>0</v>
      </c>
    </row>
    <row r="186" spans="1:9">
      <c r="A186" s="2">
        <v>0</v>
      </c>
      <c r="B186" s="2">
        <v>119</v>
      </c>
      <c r="C186" s="2">
        <v>64</v>
      </c>
      <c r="D186" s="2">
        <v>18</v>
      </c>
      <c r="E186" s="2">
        <v>92</v>
      </c>
      <c r="F186" s="2">
        <v>34.9</v>
      </c>
      <c r="G186" s="2">
        <v>0.725</v>
      </c>
      <c r="H186" s="2">
        <v>23</v>
      </c>
      <c r="I186">
        <v>0</v>
      </c>
    </row>
    <row r="187" spans="1:9">
      <c r="A187" s="2">
        <v>1</v>
      </c>
      <c r="B187" s="2">
        <v>0</v>
      </c>
      <c r="C187" s="2">
        <v>74</v>
      </c>
      <c r="D187" s="2">
        <v>20</v>
      </c>
      <c r="E187" s="2">
        <v>23</v>
      </c>
      <c r="F187" s="2">
        <v>27.7</v>
      </c>
      <c r="G187" s="2">
        <v>0.299</v>
      </c>
      <c r="H187" s="2">
        <v>21</v>
      </c>
      <c r="I187">
        <v>0</v>
      </c>
    </row>
    <row r="188" spans="1:9">
      <c r="A188" s="2">
        <v>5</v>
      </c>
      <c r="B188" s="2">
        <v>73</v>
      </c>
      <c r="C188" s="2">
        <v>60</v>
      </c>
      <c r="D188" s="2">
        <v>0</v>
      </c>
      <c r="E188" s="2">
        <v>0</v>
      </c>
      <c r="F188" s="2">
        <v>26.8</v>
      </c>
      <c r="G188" s="2">
        <v>0.268</v>
      </c>
      <c r="H188" s="2">
        <v>27</v>
      </c>
      <c r="I188">
        <v>0</v>
      </c>
    </row>
    <row r="189" spans="1:9">
      <c r="A189" s="2">
        <v>4</v>
      </c>
      <c r="B189" s="2">
        <v>141</v>
      </c>
      <c r="C189" s="2">
        <v>74</v>
      </c>
      <c r="D189" s="2">
        <v>0</v>
      </c>
      <c r="E189" s="2">
        <v>0</v>
      </c>
      <c r="F189" s="2">
        <v>27.6</v>
      </c>
      <c r="G189" s="2">
        <v>0.244</v>
      </c>
      <c r="H189" s="2">
        <v>40</v>
      </c>
      <c r="I189">
        <v>0</v>
      </c>
    </row>
    <row r="190" spans="1:9">
      <c r="A190" s="2">
        <v>7</v>
      </c>
      <c r="B190" s="2">
        <v>194</v>
      </c>
      <c r="C190" s="2">
        <v>68</v>
      </c>
      <c r="D190" s="2">
        <v>28</v>
      </c>
      <c r="E190" s="2">
        <v>0</v>
      </c>
      <c r="F190" s="2">
        <v>35.9</v>
      </c>
      <c r="G190" s="2">
        <v>0.745</v>
      </c>
      <c r="H190" s="2">
        <v>41</v>
      </c>
      <c r="I190">
        <v>1</v>
      </c>
    </row>
    <row r="191" spans="1:9">
      <c r="A191" s="2">
        <v>8</v>
      </c>
      <c r="B191" s="2">
        <v>181</v>
      </c>
      <c r="C191" s="2">
        <v>68</v>
      </c>
      <c r="D191" s="2">
        <v>36</v>
      </c>
      <c r="E191" s="2">
        <v>495</v>
      </c>
      <c r="F191" s="2">
        <v>30.1</v>
      </c>
      <c r="G191" s="2">
        <v>0.615</v>
      </c>
      <c r="H191" s="2">
        <v>60</v>
      </c>
      <c r="I191">
        <v>1</v>
      </c>
    </row>
    <row r="192" spans="1:9">
      <c r="A192" s="2">
        <v>1</v>
      </c>
      <c r="B192" s="2">
        <v>128</v>
      </c>
      <c r="C192" s="2">
        <v>98</v>
      </c>
      <c r="D192" s="2">
        <v>41</v>
      </c>
      <c r="E192" s="2">
        <v>58</v>
      </c>
      <c r="F192" s="2">
        <v>32</v>
      </c>
      <c r="G192" s="2">
        <v>1.321</v>
      </c>
      <c r="H192" s="2">
        <v>33</v>
      </c>
      <c r="I192">
        <v>1</v>
      </c>
    </row>
    <row r="193" spans="1:9">
      <c r="A193" s="2">
        <v>8</v>
      </c>
      <c r="B193" s="2">
        <v>109</v>
      </c>
      <c r="C193" s="2">
        <v>76</v>
      </c>
      <c r="D193" s="2">
        <v>39</v>
      </c>
      <c r="E193" s="2">
        <v>114</v>
      </c>
      <c r="F193" s="2">
        <v>27.9</v>
      </c>
      <c r="G193" s="2">
        <v>0.64</v>
      </c>
      <c r="H193" s="2">
        <v>31</v>
      </c>
      <c r="I193">
        <v>1</v>
      </c>
    </row>
    <row r="194" spans="1:9">
      <c r="A194" s="2">
        <v>5</v>
      </c>
      <c r="B194" s="2">
        <v>139</v>
      </c>
      <c r="C194" s="2">
        <v>80</v>
      </c>
      <c r="D194" s="2">
        <v>35</v>
      </c>
      <c r="E194" s="2">
        <v>160</v>
      </c>
      <c r="F194" s="2">
        <v>31.6</v>
      </c>
      <c r="G194" s="2">
        <v>0.361</v>
      </c>
      <c r="H194" s="2">
        <v>25</v>
      </c>
      <c r="I194">
        <v>1</v>
      </c>
    </row>
    <row r="195" spans="1:9">
      <c r="A195" s="2">
        <v>3</v>
      </c>
      <c r="B195" s="2">
        <v>111</v>
      </c>
      <c r="C195" s="2">
        <v>62</v>
      </c>
      <c r="D195" s="2">
        <v>0</v>
      </c>
      <c r="E195" s="2">
        <v>0</v>
      </c>
      <c r="F195" s="2">
        <v>22.6</v>
      </c>
      <c r="G195" s="2">
        <v>0.142</v>
      </c>
      <c r="H195" s="2">
        <v>21</v>
      </c>
      <c r="I195">
        <v>0</v>
      </c>
    </row>
    <row r="196" spans="1:9">
      <c r="A196" s="2">
        <v>9</v>
      </c>
      <c r="B196" s="2">
        <v>123</v>
      </c>
      <c r="C196" s="2">
        <v>70</v>
      </c>
      <c r="D196" s="2">
        <v>44</v>
      </c>
      <c r="E196" s="2">
        <v>94</v>
      </c>
      <c r="F196" s="2">
        <v>33.1</v>
      </c>
      <c r="G196" s="2">
        <v>0.374</v>
      </c>
      <c r="H196" s="2">
        <v>40</v>
      </c>
      <c r="I196">
        <v>0</v>
      </c>
    </row>
    <row r="197" spans="1:9">
      <c r="A197" s="2">
        <v>7</v>
      </c>
      <c r="B197" s="2">
        <v>159</v>
      </c>
      <c r="C197" s="2">
        <v>66</v>
      </c>
      <c r="D197" s="2">
        <v>0</v>
      </c>
      <c r="E197" s="2">
        <v>0</v>
      </c>
      <c r="F197" s="2">
        <v>30.4</v>
      </c>
      <c r="G197" s="2">
        <v>0.383</v>
      </c>
      <c r="H197" s="2">
        <v>36</v>
      </c>
      <c r="I197">
        <v>1</v>
      </c>
    </row>
    <row r="198" spans="1:9">
      <c r="A198" s="2">
        <v>11</v>
      </c>
      <c r="B198" s="2">
        <v>135</v>
      </c>
      <c r="C198" s="2">
        <v>0</v>
      </c>
      <c r="D198" s="2">
        <v>0</v>
      </c>
      <c r="E198" s="2">
        <v>0</v>
      </c>
      <c r="F198" s="2">
        <v>52.3</v>
      </c>
      <c r="G198" s="2">
        <v>0.578</v>
      </c>
      <c r="H198" s="2">
        <v>40</v>
      </c>
      <c r="I198">
        <v>1</v>
      </c>
    </row>
    <row r="199" spans="1:9">
      <c r="A199" s="2">
        <v>8</v>
      </c>
      <c r="B199" s="2">
        <v>85</v>
      </c>
      <c r="C199" s="2">
        <v>55</v>
      </c>
      <c r="D199" s="2">
        <v>20</v>
      </c>
      <c r="E199" s="2">
        <v>0</v>
      </c>
      <c r="F199" s="2">
        <v>24.4</v>
      </c>
      <c r="G199" s="2">
        <v>0.136</v>
      </c>
      <c r="H199" s="2">
        <v>42</v>
      </c>
      <c r="I199">
        <v>0</v>
      </c>
    </row>
    <row r="200" spans="1:9">
      <c r="A200" s="2">
        <v>5</v>
      </c>
      <c r="B200" s="2">
        <v>158</v>
      </c>
      <c r="C200" s="2">
        <v>84</v>
      </c>
      <c r="D200" s="2">
        <v>41</v>
      </c>
      <c r="E200" s="2">
        <v>210</v>
      </c>
      <c r="F200" s="2">
        <v>39.4</v>
      </c>
      <c r="G200" s="2">
        <v>0.395</v>
      </c>
      <c r="H200" s="2">
        <v>29</v>
      </c>
      <c r="I200">
        <v>1</v>
      </c>
    </row>
    <row r="201" spans="1:9">
      <c r="A201" s="2">
        <v>1</v>
      </c>
      <c r="B201" s="2">
        <v>105</v>
      </c>
      <c r="C201" s="2">
        <v>58</v>
      </c>
      <c r="D201" s="2">
        <v>0</v>
      </c>
      <c r="E201" s="2">
        <v>0</v>
      </c>
      <c r="F201" s="2">
        <v>24.3</v>
      </c>
      <c r="G201" s="2">
        <v>0.187</v>
      </c>
      <c r="H201" s="2">
        <v>21</v>
      </c>
      <c r="I201">
        <v>0</v>
      </c>
    </row>
    <row r="202" spans="1:9">
      <c r="A202" s="2">
        <v>3</v>
      </c>
      <c r="B202" s="2">
        <v>107</v>
      </c>
      <c r="C202" s="2">
        <v>62</v>
      </c>
      <c r="D202" s="2">
        <v>13</v>
      </c>
      <c r="E202" s="2">
        <v>48</v>
      </c>
      <c r="F202" s="2">
        <v>22.9</v>
      </c>
      <c r="G202" s="2">
        <v>0.678</v>
      </c>
      <c r="H202" s="2">
        <v>23</v>
      </c>
      <c r="I202">
        <v>1</v>
      </c>
    </row>
    <row r="203" spans="1:9">
      <c r="A203" s="2">
        <v>4</v>
      </c>
      <c r="B203" s="2">
        <v>109</v>
      </c>
      <c r="C203" s="2">
        <v>64</v>
      </c>
      <c r="D203" s="2">
        <v>44</v>
      </c>
      <c r="E203" s="2">
        <v>99</v>
      </c>
      <c r="F203" s="2">
        <v>34.8</v>
      </c>
      <c r="G203" s="2">
        <v>0.905</v>
      </c>
      <c r="H203" s="2">
        <v>26</v>
      </c>
      <c r="I203">
        <v>1</v>
      </c>
    </row>
    <row r="204" spans="1:9">
      <c r="A204" s="2">
        <v>4</v>
      </c>
      <c r="B204" s="2">
        <v>148</v>
      </c>
      <c r="C204" s="2">
        <v>60</v>
      </c>
      <c r="D204" s="2">
        <v>27</v>
      </c>
      <c r="E204" s="2">
        <v>318</v>
      </c>
      <c r="F204" s="2">
        <v>30.9</v>
      </c>
      <c r="G204" s="2">
        <v>0.15</v>
      </c>
      <c r="H204" s="2">
        <v>29</v>
      </c>
      <c r="I204">
        <v>1</v>
      </c>
    </row>
    <row r="205" spans="1:9">
      <c r="A205" s="2">
        <v>0</v>
      </c>
      <c r="B205" s="2">
        <v>113</v>
      </c>
      <c r="C205" s="2">
        <v>80</v>
      </c>
      <c r="D205" s="2">
        <v>16</v>
      </c>
      <c r="E205" s="2">
        <v>0</v>
      </c>
      <c r="F205" s="2">
        <v>31</v>
      </c>
      <c r="G205" s="2">
        <v>0.874</v>
      </c>
      <c r="H205" s="2">
        <v>21</v>
      </c>
      <c r="I205">
        <v>0</v>
      </c>
    </row>
    <row r="206" spans="1:9">
      <c r="A206" s="2">
        <v>1</v>
      </c>
      <c r="B206" s="2">
        <v>138</v>
      </c>
      <c r="C206" s="2">
        <v>82</v>
      </c>
      <c r="D206" s="2">
        <v>0</v>
      </c>
      <c r="E206" s="2">
        <v>0</v>
      </c>
      <c r="F206" s="2">
        <v>40.1</v>
      </c>
      <c r="G206" s="2">
        <v>0.236</v>
      </c>
      <c r="H206" s="2">
        <v>28</v>
      </c>
      <c r="I206">
        <v>0</v>
      </c>
    </row>
    <row r="207" spans="1:9">
      <c r="A207" s="2">
        <v>0</v>
      </c>
      <c r="B207" s="2">
        <v>108</v>
      </c>
      <c r="C207" s="2">
        <v>68</v>
      </c>
      <c r="D207" s="2">
        <v>20</v>
      </c>
      <c r="E207" s="2">
        <v>0</v>
      </c>
      <c r="F207" s="2">
        <v>27.3</v>
      </c>
      <c r="G207" s="2">
        <v>0.787</v>
      </c>
      <c r="H207" s="2">
        <v>32</v>
      </c>
      <c r="I207">
        <v>0</v>
      </c>
    </row>
    <row r="208" spans="1:9">
      <c r="A208" s="2">
        <v>2</v>
      </c>
      <c r="B208" s="2">
        <v>99</v>
      </c>
      <c r="C208" s="2">
        <v>70</v>
      </c>
      <c r="D208" s="2">
        <v>16</v>
      </c>
      <c r="E208" s="2">
        <v>44</v>
      </c>
      <c r="F208" s="2">
        <v>20.4</v>
      </c>
      <c r="G208" s="2">
        <v>0.235</v>
      </c>
      <c r="H208" s="2">
        <v>27</v>
      </c>
      <c r="I208">
        <v>0</v>
      </c>
    </row>
    <row r="209" spans="1:9">
      <c r="A209" s="2">
        <v>6</v>
      </c>
      <c r="B209" s="2">
        <v>103</v>
      </c>
      <c r="C209" s="2">
        <v>72</v>
      </c>
      <c r="D209" s="2">
        <v>32</v>
      </c>
      <c r="E209" s="2">
        <v>190</v>
      </c>
      <c r="F209" s="2">
        <v>37.7</v>
      </c>
      <c r="G209" s="2">
        <v>0.324</v>
      </c>
      <c r="H209" s="2">
        <v>55</v>
      </c>
      <c r="I209">
        <v>0</v>
      </c>
    </row>
    <row r="210" spans="1:9">
      <c r="A210" s="2">
        <v>5</v>
      </c>
      <c r="B210" s="2">
        <v>111</v>
      </c>
      <c r="C210" s="2">
        <v>72</v>
      </c>
      <c r="D210" s="2">
        <v>28</v>
      </c>
      <c r="E210" s="2">
        <v>0</v>
      </c>
      <c r="F210" s="2">
        <v>23.9</v>
      </c>
      <c r="G210" s="2">
        <v>0.407</v>
      </c>
      <c r="H210" s="2">
        <v>27</v>
      </c>
      <c r="I210">
        <v>0</v>
      </c>
    </row>
    <row r="211" spans="1:9">
      <c r="A211" s="2">
        <v>8</v>
      </c>
      <c r="B211" s="2">
        <v>196</v>
      </c>
      <c r="C211" s="2">
        <v>76</v>
      </c>
      <c r="D211" s="2">
        <v>29</v>
      </c>
      <c r="E211" s="2">
        <v>280</v>
      </c>
      <c r="F211" s="2">
        <v>37.5</v>
      </c>
      <c r="G211" s="2">
        <v>0.605</v>
      </c>
      <c r="H211" s="2">
        <v>57</v>
      </c>
      <c r="I211">
        <v>1</v>
      </c>
    </row>
    <row r="212" spans="1:9">
      <c r="A212" s="2">
        <v>5</v>
      </c>
      <c r="B212" s="2">
        <v>162</v>
      </c>
      <c r="C212" s="2">
        <v>104</v>
      </c>
      <c r="D212" s="2">
        <v>0</v>
      </c>
      <c r="E212" s="2">
        <v>0</v>
      </c>
      <c r="F212" s="2">
        <v>37.7</v>
      </c>
      <c r="G212" s="2">
        <v>0.151</v>
      </c>
      <c r="H212" s="2">
        <v>52</v>
      </c>
      <c r="I212">
        <v>1</v>
      </c>
    </row>
    <row r="213" spans="1:9">
      <c r="A213" s="2">
        <v>1</v>
      </c>
      <c r="B213" s="2">
        <v>96</v>
      </c>
      <c r="C213" s="2">
        <v>64</v>
      </c>
      <c r="D213" s="2">
        <v>27</v>
      </c>
      <c r="E213" s="2">
        <v>87</v>
      </c>
      <c r="F213" s="2">
        <v>33.2</v>
      </c>
      <c r="G213" s="2">
        <v>0.289</v>
      </c>
      <c r="H213" s="2">
        <v>21</v>
      </c>
      <c r="I213">
        <v>0</v>
      </c>
    </row>
    <row r="214" spans="1:9">
      <c r="A214" s="2">
        <v>7</v>
      </c>
      <c r="B214" s="2">
        <v>184</v>
      </c>
      <c r="C214" s="2">
        <v>84</v>
      </c>
      <c r="D214" s="2">
        <v>33</v>
      </c>
      <c r="E214" s="2">
        <v>0</v>
      </c>
      <c r="F214" s="2">
        <v>35.5</v>
      </c>
      <c r="G214" s="2">
        <v>0.355</v>
      </c>
      <c r="H214" s="2">
        <v>41</v>
      </c>
      <c r="I214">
        <v>1</v>
      </c>
    </row>
    <row r="215" spans="1:9">
      <c r="A215" s="2">
        <v>2</v>
      </c>
      <c r="B215" s="2">
        <v>81</v>
      </c>
      <c r="C215" s="2">
        <v>60</v>
      </c>
      <c r="D215" s="2">
        <v>22</v>
      </c>
      <c r="E215" s="2">
        <v>0</v>
      </c>
      <c r="F215" s="2">
        <v>27.7</v>
      </c>
      <c r="G215" s="2">
        <v>0.29</v>
      </c>
      <c r="H215" s="2">
        <v>25</v>
      </c>
      <c r="I215">
        <v>0</v>
      </c>
    </row>
    <row r="216" spans="1:9">
      <c r="A216" s="2">
        <v>0</v>
      </c>
      <c r="B216" s="2">
        <v>147</v>
      </c>
      <c r="C216" s="2">
        <v>85</v>
      </c>
      <c r="D216" s="2">
        <v>54</v>
      </c>
      <c r="E216" s="2">
        <v>0</v>
      </c>
      <c r="F216" s="2">
        <v>42.8</v>
      </c>
      <c r="G216" s="2">
        <v>0.375</v>
      </c>
      <c r="H216" s="2">
        <v>24</v>
      </c>
      <c r="I216">
        <v>0</v>
      </c>
    </row>
    <row r="217" spans="1:9">
      <c r="A217" s="2">
        <v>7</v>
      </c>
      <c r="B217" s="2">
        <v>179</v>
      </c>
      <c r="C217" s="2">
        <v>95</v>
      </c>
      <c r="D217" s="2">
        <v>31</v>
      </c>
      <c r="E217" s="2">
        <v>0</v>
      </c>
      <c r="F217" s="2">
        <v>34.2</v>
      </c>
      <c r="G217" s="2">
        <v>0.164</v>
      </c>
      <c r="H217" s="2">
        <v>60</v>
      </c>
      <c r="I217">
        <v>0</v>
      </c>
    </row>
    <row r="218" spans="1:9">
      <c r="A218" s="2">
        <v>0</v>
      </c>
      <c r="B218" s="2">
        <v>140</v>
      </c>
      <c r="C218" s="2">
        <v>65</v>
      </c>
      <c r="D218" s="2">
        <v>26</v>
      </c>
      <c r="E218" s="2">
        <v>130</v>
      </c>
      <c r="F218" s="2">
        <v>42.6</v>
      </c>
      <c r="G218" s="2">
        <v>0.431</v>
      </c>
      <c r="H218" s="2">
        <v>24</v>
      </c>
      <c r="I218">
        <v>1</v>
      </c>
    </row>
    <row r="219" spans="1:9">
      <c r="A219" s="2">
        <v>9</v>
      </c>
      <c r="B219" s="2">
        <v>112</v>
      </c>
      <c r="C219" s="2">
        <v>82</v>
      </c>
      <c r="D219" s="2">
        <v>32</v>
      </c>
      <c r="E219" s="2">
        <v>175</v>
      </c>
      <c r="F219" s="2">
        <v>34.2</v>
      </c>
      <c r="G219" s="2">
        <v>0.26</v>
      </c>
      <c r="H219" s="2">
        <v>36</v>
      </c>
      <c r="I219">
        <v>1</v>
      </c>
    </row>
    <row r="220" spans="1:9">
      <c r="A220" s="2">
        <v>12</v>
      </c>
      <c r="B220" s="2">
        <v>151</v>
      </c>
      <c r="C220" s="2">
        <v>70</v>
      </c>
      <c r="D220" s="2">
        <v>40</v>
      </c>
      <c r="E220" s="2">
        <v>271</v>
      </c>
      <c r="F220" s="2">
        <v>41.8</v>
      </c>
      <c r="G220" s="2">
        <v>0.742</v>
      </c>
      <c r="H220" s="2">
        <v>38</v>
      </c>
      <c r="I220">
        <v>1</v>
      </c>
    </row>
    <row r="221" spans="1:9">
      <c r="A221" s="2">
        <v>5</v>
      </c>
      <c r="B221" s="2">
        <v>109</v>
      </c>
      <c r="C221" s="2">
        <v>62</v>
      </c>
      <c r="D221" s="2">
        <v>41</v>
      </c>
      <c r="E221" s="2">
        <v>129</v>
      </c>
      <c r="F221" s="2">
        <v>35.8</v>
      </c>
      <c r="G221" s="2">
        <v>0.514</v>
      </c>
      <c r="H221" s="2">
        <v>25</v>
      </c>
      <c r="I221">
        <v>1</v>
      </c>
    </row>
    <row r="222" spans="1:9">
      <c r="A222" s="2">
        <v>6</v>
      </c>
      <c r="B222" s="2">
        <v>125</v>
      </c>
      <c r="C222" s="2">
        <v>68</v>
      </c>
      <c r="D222" s="2">
        <v>30</v>
      </c>
      <c r="E222" s="2">
        <v>120</v>
      </c>
      <c r="F222" s="2">
        <v>30</v>
      </c>
      <c r="G222" s="2">
        <v>0.464</v>
      </c>
      <c r="H222" s="2">
        <v>32</v>
      </c>
      <c r="I222">
        <v>0</v>
      </c>
    </row>
    <row r="223" spans="1:9">
      <c r="A223" s="2">
        <v>5</v>
      </c>
      <c r="B223" s="2">
        <v>85</v>
      </c>
      <c r="C223" s="2">
        <v>74</v>
      </c>
      <c r="D223" s="2">
        <v>22</v>
      </c>
      <c r="E223" s="2">
        <v>0</v>
      </c>
      <c r="F223" s="2">
        <v>29</v>
      </c>
      <c r="G223" s="2">
        <v>1.224</v>
      </c>
      <c r="H223" s="2">
        <v>32</v>
      </c>
      <c r="I223">
        <v>1</v>
      </c>
    </row>
    <row r="224" spans="1:9">
      <c r="A224" s="2">
        <v>5</v>
      </c>
      <c r="B224" s="2">
        <v>112</v>
      </c>
      <c r="C224" s="2">
        <v>66</v>
      </c>
      <c r="D224" s="2">
        <v>0</v>
      </c>
      <c r="E224" s="2">
        <v>0</v>
      </c>
      <c r="F224" s="2">
        <v>37.8</v>
      </c>
      <c r="G224" s="2">
        <v>0.261</v>
      </c>
      <c r="H224" s="2">
        <v>41</v>
      </c>
      <c r="I224">
        <v>1</v>
      </c>
    </row>
    <row r="225" spans="1:9">
      <c r="A225" s="2">
        <v>0</v>
      </c>
      <c r="B225" s="2">
        <v>177</v>
      </c>
      <c r="C225" s="2">
        <v>60</v>
      </c>
      <c r="D225" s="2">
        <v>29</v>
      </c>
      <c r="E225" s="2">
        <v>478</v>
      </c>
      <c r="F225" s="2">
        <v>34.6</v>
      </c>
      <c r="G225" s="2">
        <v>1.072</v>
      </c>
      <c r="H225" s="2">
        <v>21</v>
      </c>
      <c r="I225">
        <v>1</v>
      </c>
    </row>
    <row r="226" spans="1:9">
      <c r="A226" s="2">
        <v>2</v>
      </c>
      <c r="B226" s="2">
        <v>158</v>
      </c>
      <c r="C226" s="2">
        <v>90</v>
      </c>
      <c r="D226" s="2">
        <v>0</v>
      </c>
      <c r="E226" s="2">
        <v>0</v>
      </c>
      <c r="F226" s="2">
        <v>31.6</v>
      </c>
      <c r="G226" s="2">
        <v>0.805</v>
      </c>
      <c r="H226" s="2">
        <v>66</v>
      </c>
      <c r="I226">
        <v>1</v>
      </c>
    </row>
    <row r="227" spans="1:9">
      <c r="A227" s="2">
        <v>7</v>
      </c>
      <c r="B227" s="2">
        <v>119</v>
      </c>
      <c r="C227" s="2">
        <v>0</v>
      </c>
      <c r="D227" s="2">
        <v>0</v>
      </c>
      <c r="E227" s="2">
        <v>0</v>
      </c>
      <c r="F227" s="2">
        <v>25.2</v>
      </c>
      <c r="G227" s="2">
        <v>0.209</v>
      </c>
      <c r="H227" s="2">
        <v>37</v>
      </c>
      <c r="I227">
        <v>0</v>
      </c>
    </row>
    <row r="228" spans="1:9">
      <c r="A228" s="2">
        <v>7</v>
      </c>
      <c r="B228" s="2">
        <v>142</v>
      </c>
      <c r="C228" s="2">
        <v>60</v>
      </c>
      <c r="D228" s="2">
        <v>33</v>
      </c>
      <c r="E228" s="2">
        <v>190</v>
      </c>
      <c r="F228" s="2">
        <v>28.8</v>
      </c>
      <c r="G228" s="2">
        <v>0.687</v>
      </c>
      <c r="H228" s="2">
        <v>61</v>
      </c>
      <c r="I228">
        <v>0</v>
      </c>
    </row>
    <row r="229" spans="1:9">
      <c r="A229" s="2">
        <v>1</v>
      </c>
      <c r="B229" s="2">
        <v>100</v>
      </c>
      <c r="C229" s="2">
        <v>66</v>
      </c>
      <c r="D229" s="2">
        <v>15</v>
      </c>
      <c r="E229" s="2">
        <v>56</v>
      </c>
      <c r="F229" s="2">
        <v>23.6</v>
      </c>
      <c r="G229" s="2">
        <v>0.666</v>
      </c>
      <c r="H229" s="2">
        <v>26</v>
      </c>
      <c r="I229">
        <v>0</v>
      </c>
    </row>
    <row r="230" spans="1:9">
      <c r="A230" s="2">
        <v>1</v>
      </c>
      <c r="B230" s="2">
        <v>87</v>
      </c>
      <c r="C230" s="2">
        <v>78</v>
      </c>
      <c r="D230" s="2">
        <v>27</v>
      </c>
      <c r="E230" s="2">
        <v>32</v>
      </c>
      <c r="F230" s="2">
        <v>34.6</v>
      </c>
      <c r="G230" s="2">
        <v>0.101</v>
      </c>
      <c r="H230" s="2">
        <v>22</v>
      </c>
      <c r="I230">
        <v>0</v>
      </c>
    </row>
    <row r="231" spans="1:9">
      <c r="A231" s="2">
        <v>0</v>
      </c>
      <c r="B231" s="2">
        <v>101</v>
      </c>
      <c r="C231" s="2">
        <v>76</v>
      </c>
      <c r="D231" s="2">
        <v>0</v>
      </c>
      <c r="E231" s="2">
        <v>0</v>
      </c>
      <c r="F231" s="2">
        <v>35.7</v>
      </c>
      <c r="G231" s="2">
        <v>0.198</v>
      </c>
      <c r="H231" s="2">
        <v>26</v>
      </c>
      <c r="I231">
        <v>0</v>
      </c>
    </row>
    <row r="232" spans="1:9">
      <c r="A232" s="2">
        <v>3</v>
      </c>
      <c r="B232" s="2">
        <v>162</v>
      </c>
      <c r="C232" s="2">
        <v>52</v>
      </c>
      <c r="D232" s="2">
        <v>38</v>
      </c>
      <c r="E232" s="2">
        <v>0</v>
      </c>
      <c r="F232" s="2">
        <v>37.2</v>
      </c>
      <c r="G232" s="2">
        <v>0.652</v>
      </c>
      <c r="H232" s="2">
        <v>24</v>
      </c>
      <c r="I232">
        <v>1</v>
      </c>
    </row>
    <row r="233" spans="1:9">
      <c r="A233" s="2">
        <v>4</v>
      </c>
      <c r="B233" s="2">
        <v>197</v>
      </c>
      <c r="C233" s="2">
        <v>70</v>
      </c>
      <c r="D233" s="2">
        <v>39</v>
      </c>
      <c r="E233" s="2">
        <v>744</v>
      </c>
      <c r="F233" s="2">
        <v>36.7</v>
      </c>
      <c r="G233" s="2">
        <v>2.329</v>
      </c>
      <c r="H233" s="2">
        <v>31</v>
      </c>
      <c r="I233">
        <v>0</v>
      </c>
    </row>
    <row r="234" spans="1:9">
      <c r="A234" s="2">
        <v>0</v>
      </c>
      <c r="B234" s="2">
        <v>117</v>
      </c>
      <c r="C234" s="2">
        <v>80</v>
      </c>
      <c r="D234" s="2">
        <v>31</v>
      </c>
      <c r="E234" s="2">
        <v>53</v>
      </c>
      <c r="F234" s="2">
        <v>45.2</v>
      </c>
      <c r="G234" s="2">
        <v>0.089</v>
      </c>
      <c r="H234" s="2">
        <v>24</v>
      </c>
      <c r="I234">
        <v>0</v>
      </c>
    </row>
    <row r="235" spans="1:9">
      <c r="A235" s="2">
        <v>4</v>
      </c>
      <c r="B235" s="2">
        <v>142</v>
      </c>
      <c r="C235" s="2">
        <v>86</v>
      </c>
      <c r="D235" s="2">
        <v>0</v>
      </c>
      <c r="E235" s="2">
        <v>0</v>
      </c>
      <c r="F235" s="2">
        <v>44</v>
      </c>
      <c r="G235" s="2">
        <v>0.645</v>
      </c>
      <c r="H235" s="2">
        <v>22</v>
      </c>
      <c r="I235">
        <v>1</v>
      </c>
    </row>
    <row r="236" spans="1:9">
      <c r="A236" s="2">
        <v>6</v>
      </c>
      <c r="B236" s="2">
        <v>134</v>
      </c>
      <c r="C236" s="2">
        <v>80</v>
      </c>
      <c r="D236" s="2">
        <v>37</v>
      </c>
      <c r="E236" s="2">
        <v>370</v>
      </c>
      <c r="F236" s="2">
        <v>46.2</v>
      </c>
      <c r="G236" s="2">
        <v>0.238</v>
      </c>
      <c r="H236" s="2">
        <v>46</v>
      </c>
      <c r="I236">
        <v>1</v>
      </c>
    </row>
    <row r="237" spans="1:9">
      <c r="A237" s="2">
        <v>1</v>
      </c>
      <c r="B237" s="2">
        <v>79</v>
      </c>
      <c r="C237" s="2">
        <v>80</v>
      </c>
      <c r="D237" s="2">
        <v>25</v>
      </c>
      <c r="E237" s="2">
        <v>37</v>
      </c>
      <c r="F237" s="2">
        <v>25.4</v>
      </c>
      <c r="G237" s="2">
        <v>0.583</v>
      </c>
      <c r="H237" s="2">
        <v>22</v>
      </c>
      <c r="I237">
        <v>0</v>
      </c>
    </row>
    <row r="238" spans="1:9">
      <c r="A238" s="2">
        <v>4</v>
      </c>
      <c r="B238" s="2">
        <v>122</v>
      </c>
      <c r="C238" s="2">
        <v>68</v>
      </c>
      <c r="D238" s="2">
        <v>0</v>
      </c>
      <c r="E238" s="2">
        <v>0</v>
      </c>
      <c r="F238" s="2">
        <v>35</v>
      </c>
      <c r="G238" s="2">
        <v>0.394</v>
      </c>
      <c r="H238" s="2">
        <v>29</v>
      </c>
      <c r="I238">
        <v>0</v>
      </c>
    </row>
    <row r="239" spans="1:9">
      <c r="A239" s="2">
        <v>3</v>
      </c>
      <c r="B239" s="2">
        <v>74</v>
      </c>
      <c r="C239" s="2">
        <v>68</v>
      </c>
      <c r="D239" s="2">
        <v>28</v>
      </c>
      <c r="E239" s="2">
        <v>45</v>
      </c>
      <c r="F239" s="2">
        <v>29.7</v>
      </c>
      <c r="G239" s="2">
        <v>0.293</v>
      </c>
      <c r="H239" s="2">
        <v>23</v>
      </c>
      <c r="I239">
        <v>0</v>
      </c>
    </row>
    <row r="240" spans="1:9">
      <c r="A240" s="2">
        <v>4</v>
      </c>
      <c r="B240" s="2">
        <v>171</v>
      </c>
      <c r="C240" s="2">
        <v>72</v>
      </c>
      <c r="D240" s="2">
        <v>0</v>
      </c>
      <c r="E240" s="2">
        <v>0</v>
      </c>
      <c r="F240" s="2">
        <v>43.6</v>
      </c>
      <c r="G240" s="2">
        <v>0.479</v>
      </c>
      <c r="H240" s="2">
        <v>26</v>
      </c>
      <c r="I240">
        <v>1</v>
      </c>
    </row>
    <row r="241" spans="1:9">
      <c r="A241" s="2">
        <v>7</v>
      </c>
      <c r="B241" s="2">
        <v>181</v>
      </c>
      <c r="C241" s="2">
        <v>84</v>
      </c>
      <c r="D241" s="2">
        <v>21</v>
      </c>
      <c r="E241" s="2">
        <v>192</v>
      </c>
      <c r="F241" s="2">
        <v>35.9</v>
      </c>
      <c r="G241" s="2">
        <v>0.586</v>
      </c>
      <c r="H241" s="2">
        <v>51</v>
      </c>
      <c r="I241">
        <v>1</v>
      </c>
    </row>
    <row r="242" spans="1:9">
      <c r="A242" s="2">
        <v>0</v>
      </c>
      <c r="B242" s="2">
        <v>179</v>
      </c>
      <c r="C242" s="2">
        <v>90</v>
      </c>
      <c r="D242" s="2">
        <v>27</v>
      </c>
      <c r="E242" s="2">
        <v>0</v>
      </c>
      <c r="F242" s="2">
        <v>44.1</v>
      </c>
      <c r="G242" s="2">
        <v>0.686</v>
      </c>
      <c r="H242" s="2">
        <v>23</v>
      </c>
      <c r="I242">
        <v>1</v>
      </c>
    </row>
    <row r="243" spans="1:9">
      <c r="A243" s="2">
        <v>9</v>
      </c>
      <c r="B243" s="2">
        <v>164</v>
      </c>
      <c r="C243" s="2">
        <v>84</v>
      </c>
      <c r="D243" s="2">
        <v>21</v>
      </c>
      <c r="E243" s="2">
        <v>0</v>
      </c>
      <c r="F243" s="2">
        <v>30.8</v>
      </c>
      <c r="G243" s="2">
        <v>0.831</v>
      </c>
      <c r="H243" s="2">
        <v>32</v>
      </c>
      <c r="I243">
        <v>1</v>
      </c>
    </row>
    <row r="244" spans="1:9">
      <c r="A244" s="2">
        <v>0</v>
      </c>
      <c r="B244" s="2">
        <v>104</v>
      </c>
      <c r="C244" s="2">
        <v>76</v>
      </c>
      <c r="D244" s="2">
        <v>0</v>
      </c>
      <c r="E244" s="2">
        <v>0</v>
      </c>
      <c r="F244" s="2">
        <v>18.4</v>
      </c>
      <c r="G244" s="2">
        <v>0.582</v>
      </c>
      <c r="H244" s="2">
        <v>27</v>
      </c>
      <c r="I244">
        <v>0</v>
      </c>
    </row>
    <row r="245" spans="1:9">
      <c r="A245" s="2">
        <v>1</v>
      </c>
      <c r="B245" s="2">
        <v>91</v>
      </c>
      <c r="C245" s="2">
        <v>64</v>
      </c>
      <c r="D245" s="2">
        <v>24</v>
      </c>
      <c r="E245" s="2">
        <v>0</v>
      </c>
      <c r="F245" s="2">
        <v>29.2</v>
      </c>
      <c r="G245" s="2">
        <v>0.192</v>
      </c>
      <c r="H245" s="2">
        <v>21</v>
      </c>
      <c r="I245">
        <v>0</v>
      </c>
    </row>
    <row r="246" spans="1:9">
      <c r="A246" s="2">
        <v>4</v>
      </c>
      <c r="B246" s="2">
        <v>91</v>
      </c>
      <c r="C246" s="2">
        <v>70</v>
      </c>
      <c r="D246" s="2">
        <v>32</v>
      </c>
      <c r="E246" s="2">
        <v>88</v>
      </c>
      <c r="F246" s="2">
        <v>33.1</v>
      </c>
      <c r="G246" s="2">
        <v>0.446</v>
      </c>
      <c r="H246" s="2">
        <v>22</v>
      </c>
      <c r="I246">
        <v>0</v>
      </c>
    </row>
    <row r="247" spans="1:9">
      <c r="A247" s="2">
        <v>3</v>
      </c>
      <c r="B247" s="2">
        <v>139</v>
      </c>
      <c r="C247" s="2">
        <v>54</v>
      </c>
      <c r="D247" s="2">
        <v>0</v>
      </c>
      <c r="E247" s="2">
        <v>0</v>
      </c>
      <c r="F247" s="2">
        <v>25.6</v>
      </c>
      <c r="G247" s="2">
        <v>0.402</v>
      </c>
      <c r="H247" s="2">
        <v>22</v>
      </c>
      <c r="I247">
        <v>1</v>
      </c>
    </row>
    <row r="248" spans="1:9">
      <c r="A248" s="2">
        <v>6</v>
      </c>
      <c r="B248" s="2">
        <v>119</v>
      </c>
      <c r="C248" s="2">
        <v>50</v>
      </c>
      <c r="D248" s="2">
        <v>22</v>
      </c>
      <c r="E248" s="2">
        <v>176</v>
      </c>
      <c r="F248" s="2">
        <v>27.1</v>
      </c>
      <c r="G248" s="2">
        <v>1.318</v>
      </c>
      <c r="H248" s="2">
        <v>33</v>
      </c>
      <c r="I248">
        <v>1</v>
      </c>
    </row>
    <row r="249" spans="1:9">
      <c r="A249" s="2">
        <v>2</v>
      </c>
      <c r="B249" s="2">
        <v>146</v>
      </c>
      <c r="C249" s="2">
        <v>76</v>
      </c>
      <c r="D249" s="2">
        <v>35</v>
      </c>
      <c r="E249" s="2">
        <v>194</v>
      </c>
      <c r="F249" s="2">
        <v>38.2</v>
      </c>
      <c r="G249" s="2">
        <v>0.329</v>
      </c>
      <c r="H249" s="2">
        <v>29</v>
      </c>
      <c r="I249">
        <v>0</v>
      </c>
    </row>
    <row r="250" spans="1:9">
      <c r="A250" s="2">
        <v>9</v>
      </c>
      <c r="B250" s="2">
        <v>184</v>
      </c>
      <c r="C250" s="2">
        <v>85</v>
      </c>
      <c r="D250" s="2">
        <v>15</v>
      </c>
      <c r="E250" s="2">
        <v>0</v>
      </c>
      <c r="F250" s="2">
        <v>30</v>
      </c>
      <c r="G250" s="2">
        <v>1.213</v>
      </c>
      <c r="H250" s="2">
        <v>49</v>
      </c>
      <c r="I250">
        <v>1</v>
      </c>
    </row>
    <row r="251" spans="1:9">
      <c r="A251" s="2">
        <v>10</v>
      </c>
      <c r="B251" s="2">
        <v>122</v>
      </c>
      <c r="C251" s="2">
        <v>68</v>
      </c>
      <c r="D251" s="2">
        <v>0</v>
      </c>
      <c r="E251" s="2">
        <v>0</v>
      </c>
      <c r="F251" s="2">
        <v>31.2</v>
      </c>
      <c r="G251" s="2">
        <v>0.258</v>
      </c>
      <c r="H251" s="2">
        <v>41</v>
      </c>
      <c r="I251">
        <v>0</v>
      </c>
    </row>
    <row r="252" spans="1:9">
      <c r="A252" s="2">
        <v>0</v>
      </c>
      <c r="B252" s="2">
        <v>165</v>
      </c>
      <c r="C252" s="2">
        <v>90</v>
      </c>
      <c r="D252" s="2">
        <v>33</v>
      </c>
      <c r="E252" s="2">
        <v>680</v>
      </c>
      <c r="F252" s="2">
        <v>52.3</v>
      </c>
      <c r="G252" s="2">
        <v>0.427</v>
      </c>
      <c r="H252" s="2">
        <v>23</v>
      </c>
      <c r="I252">
        <v>0</v>
      </c>
    </row>
    <row r="253" spans="1:9">
      <c r="A253" s="2">
        <v>9</v>
      </c>
      <c r="B253" s="2">
        <v>124</v>
      </c>
      <c r="C253" s="2">
        <v>70</v>
      </c>
      <c r="D253" s="2">
        <v>33</v>
      </c>
      <c r="E253" s="2">
        <v>402</v>
      </c>
      <c r="F253" s="2">
        <v>35.4</v>
      </c>
      <c r="G253" s="2">
        <v>0.282</v>
      </c>
      <c r="H253" s="2">
        <v>34</v>
      </c>
      <c r="I253">
        <v>0</v>
      </c>
    </row>
    <row r="254" spans="1:9">
      <c r="A254" s="2">
        <v>1</v>
      </c>
      <c r="B254" s="2">
        <v>111</v>
      </c>
      <c r="C254" s="2">
        <v>86</v>
      </c>
      <c r="D254" s="2">
        <v>19</v>
      </c>
      <c r="E254" s="2">
        <v>0</v>
      </c>
      <c r="F254" s="2">
        <v>30.1</v>
      </c>
      <c r="G254" s="2">
        <v>0.143</v>
      </c>
      <c r="H254" s="2">
        <v>23</v>
      </c>
      <c r="I254">
        <v>0</v>
      </c>
    </row>
    <row r="255" spans="1:9">
      <c r="A255" s="2">
        <v>9</v>
      </c>
      <c r="B255" s="2">
        <v>106</v>
      </c>
      <c r="C255" s="2">
        <v>52</v>
      </c>
      <c r="D255" s="2">
        <v>0</v>
      </c>
      <c r="E255" s="2">
        <v>0</v>
      </c>
      <c r="F255" s="2">
        <v>31.2</v>
      </c>
      <c r="G255" s="2">
        <v>0.38</v>
      </c>
      <c r="H255" s="2">
        <v>42</v>
      </c>
      <c r="I255">
        <v>0</v>
      </c>
    </row>
    <row r="256" spans="1:9">
      <c r="A256" s="2">
        <v>2</v>
      </c>
      <c r="B256" s="2">
        <v>129</v>
      </c>
      <c r="C256" s="2">
        <v>84</v>
      </c>
      <c r="D256" s="2">
        <v>0</v>
      </c>
      <c r="E256" s="2">
        <v>0</v>
      </c>
      <c r="F256" s="2">
        <v>28</v>
      </c>
      <c r="G256" s="2">
        <v>0.284</v>
      </c>
      <c r="H256" s="2">
        <v>27</v>
      </c>
      <c r="I256">
        <v>0</v>
      </c>
    </row>
    <row r="257" spans="1:9">
      <c r="A257" s="2">
        <v>2</v>
      </c>
      <c r="B257" s="2">
        <v>90</v>
      </c>
      <c r="C257" s="2">
        <v>80</v>
      </c>
      <c r="D257" s="2">
        <v>14</v>
      </c>
      <c r="E257" s="2">
        <v>55</v>
      </c>
      <c r="F257" s="2">
        <v>24.4</v>
      </c>
      <c r="G257" s="2">
        <v>0.249</v>
      </c>
      <c r="H257" s="2">
        <v>24</v>
      </c>
      <c r="I257">
        <v>0</v>
      </c>
    </row>
    <row r="258" spans="1:9">
      <c r="A258" s="2">
        <v>0</v>
      </c>
      <c r="B258" s="2">
        <v>86</v>
      </c>
      <c r="C258" s="2">
        <v>68</v>
      </c>
      <c r="D258" s="2">
        <v>32</v>
      </c>
      <c r="E258" s="2">
        <v>0</v>
      </c>
      <c r="F258" s="2">
        <v>35.8</v>
      </c>
      <c r="G258" s="2">
        <v>0.238</v>
      </c>
      <c r="H258" s="2">
        <v>25</v>
      </c>
      <c r="I258">
        <v>0</v>
      </c>
    </row>
    <row r="259" spans="1:9">
      <c r="A259" s="2">
        <v>12</v>
      </c>
      <c r="B259" s="2">
        <v>92</v>
      </c>
      <c r="C259" s="2">
        <v>62</v>
      </c>
      <c r="D259" s="2">
        <v>7</v>
      </c>
      <c r="E259" s="2">
        <v>258</v>
      </c>
      <c r="F259" s="2">
        <v>27.6</v>
      </c>
      <c r="G259" s="2">
        <v>0.926</v>
      </c>
      <c r="H259" s="2">
        <v>44</v>
      </c>
      <c r="I259">
        <v>1</v>
      </c>
    </row>
    <row r="260" spans="1:9">
      <c r="A260" s="2">
        <v>1</v>
      </c>
      <c r="B260" s="2">
        <v>113</v>
      </c>
      <c r="C260" s="2">
        <v>64</v>
      </c>
      <c r="D260" s="2">
        <v>35</v>
      </c>
      <c r="E260" s="2">
        <v>0</v>
      </c>
      <c r="F260" s="2">
        <v>33.6</v>
      </c>
      <c r="G260" s="2">
        <v>0.543</v>
      </c>
      <c r="H260" s="2">
        <v>21</v>
      </c>
      <c r="I260">
        <v>1</v>
      </c>
    </row>
    <row r="261" spans="1:9">
      <c r="A261" s="2">
        <v>3</v>
      </c>
      <c r="B261" s="2">
        <v>111</v>
      </c>
      <c r="C261" s="2">
        <v>56</v>
      </c>
      <c r="D261" s="2">
        <v>39</v>
      </c>
      <c r="E261" s="2">
        <v>0</v>
      </c>
      <c r="F261" s="2">
        <v>30.1</v>
      </c>
      <c r="G261" s="2">
        <v>0.557</v>
      </c>
      <c r="H261" s="2">
        <v>30</v>
      </c>
      <c r="I261">
        <v>0</v>
      </c>
    </row>
    <row r="262" spans="1:9">
      <c r="A262" s="2">
        <v>2</v>
      </c>
      <c r="B262" s="2">
        <v>114</v>
      </c>
      <c r="C262" s="2">
        <v>68</v>
      </c>
      <c r="D262" s="2">
        <v>22</v>
      </c>
      <c r="E262" s="2">
        <v>0</v>
      </c>
      <c r="F262" s="2">
        <v>28.7</v>
      </c>
      <c r="G262" s="2">
        <v>0.092</v>
      </c>
      <c r="H262" s="2">
        <v>25</v>
      </c>
      <c r="I262">
        <v>0</v>
      </c>
    </row>
    <row r="263" spans="1:9">
      <c r="A263" s="2">
        <v>1</v>
      </c>
      <c r="B263" s="2">
        <v>193</v>
      </c>
      <c r="C263" s="2">
        <v>50</v>
      </c>
      <c r="D263" s="2">
        <v>16</v>
      </c>
      <c r="E263" s="2">
        <v>375</v>
      </c>
      <c r="F263" s="2">
        <v>25.9</v>
      </c>
      <c r="G263" s="2">
        <v>0.655</v>
      </c>
      <c r="H263" s="2">
        <v>24</v>
      </c>
      <c r="I263">
        <v>0</v>
      </c>
    </row>
    <row r="264" spans="1:9">
      <c r="A264" s="2">
        <v>11</v>
      </c>
      <c r="B264" s="2">
        <v>155</v>
      </c>
      <c r="C264" s="2">
        <v>76</v>
      </c>
      <c r="D264" s="2">
        <v>28</v>
      </c>
      <c r="E264" s="2">
        <v>150</v>
      </c>
      <c r="F264" s="2">
        <v>33.3</v>
      </c>
      <c r="G264" s="2">
        <v>1.353</v>
      </c>
      <c r="H264" s="2">
        <v>51</v>
      </c>
      <c r="I264">
        <v>1</v>
      </c>
    </row>
    <row r="265" spans="1:9">
      <c r="A265" s="2">
        <v>3</v>
      </c>
      <c r="B265" s="2">
        <v>191</v>
      </c>
      <c r="C265" s="2">
        <v>68</v>
      </c>
      <c r="D265" s="2">
        <v>15</v>
      </c>
      <c r="E265" s="2">
        <v>130</v>
      </c>
      <c r="F265" s="2">
        <v>30.9</v>
      </c>
      <c r="G265" s="2">
        <v>0.299</v>
      </c>
      <c r="H265" s="2">
        <v>34</v>
      </c>
      <c r="I265">
        <v>0</v>
      </c>
    </row>
    <row r="266" spans="1:9">
      <c r="A266" s="2">
        <v>3</v>
      </c>
      <c r="B266" s="2">
        <v>141</v>
      </c>
      <c r="C266" s="2">
        <v>0</v>
      </c>
      <c r="D266" s="2">
        <v>0</v>
      </c>
      <c r="E266" s="2">
        <v>0</v>
      </c>
      <c r="F266" s="2">
        <v>30</v>
      </c>
      <c r="G266" s="2">
        <v>0.761</v>
      </c>
      <c r="H266" s="2">
        <v>27</v>
      </c>
      <c r="I266">
        <v>1</v>
      </c>
    </row>
    <row r="267" spans="1:9">
      <c r="A267" s="2">
        <v>4</v>
      </c>
      <c r="B267" s="2">
        <v>95</v>
      </c>
      <c r="C267" s="2">
        <v>70</v>
      </c>
      <c r="D267" s="2">
        <v>32</v>
      </c>
      <c r="E267" s="2">
        <v>0</v>
      </c>
      <c r="F267" s="2">
        <v>32.1</v>
      </c>
      <c r="G267" s="2">
        <v>0.612</v>
      </c>
      <c r="H267" s="2">
        <v>24</v>
      </c>
      <c r="I267">
        <v>0</v>
      </c>
    </row>
    <row r="268" spans="1:9">
      <c r="A268" s="2">
        <v>3</v>
      </c>
      <c r="B268" s="2">
        <v>142</v>
      </c>
      <c r="C268" s="2">
        <v>80</v>
      </c>
      <c r="D268" s="2">
        <v>15</v>
      </c>
      <c r="E268" s="2">
        <v>0</v>
      </c>
      <c r="F268" s="2">
        <v>32.4</v>
      </c>
      <c r="G268" s="2">
        <v>0.2</v>
      </c>
      <c r="H268" s="2">
        <v>63</v>
      </c>
      <c r="I268">
        <v>0</v>
      </c>
    </row>
    <row r="269" spans="1:9">
      <c r="A269" s="2">
        <v>4</v>
      </c>
      <c r="B269" s="2">
        <v>123</v>
      </c>
      <c r="C269" s="2">
        <v>62</v>
      </c>
      <c r="D269" s="2">
        <v>0</v>
      </c>
      <c r="E269" s="2">
        <v>0</v>
      </c>
      <c r="F269" s="2">
        <v>32</v>
      </c>
      <c r="G269" s="2">
        <v>0.226</v>
      </c>
      <c r="H269" s="2">
        <v>35</v>
      </c>
      <c r="I269">
        <v>1</v>
      </c>
    </row>
    <row r="270" spans="1:9">
      <c r="A270" s="2">
        <v>5</v>
      </c>
      <c r="B270" s="2">
        <v>96</v>
      </c>
      <c r="C270" s="2">
        <v>74</v>
      </c>
      <c r="D270" s="2">
        <v>18</v>
      </c>
      <c r="E270" s="2">
        <v>67</v>
      </c>
      <c r="F270" s="2">
        <v>33.6</v>
      </c>
      <c r="G270" s="2">
        <v>0.997</v>
      </c>
      <c r="H270" s="2">
        <v>43</v>
      </c>
      <c r="I270">
        <v>0</v>
      </c>
    </row>
    <row r="271" spans="1:9">
      <c r="A271" s="2">
        <v>0</v>
      </c>
      <c r="B271" s="2">
        <v>138</v>
      </c>
      <c r="C271" s="2">
        <v>0</v>
      </c>
      <c r="D271" s="2">
        <v>0</v>
      </c>
      <c r="E271" s="2">
        <v>0</v>
      </c>
      <c r="F271" s="2">
        <v>36.3</v>
      </c>
      <c r="G271" s="2">
        <v>0.933</v>
      </c>
      <c r="H271" s="2">
        <v>25</v>
      </c>
      <c r="I271">
        <v>1</v>
      </c>
    </row>
    <row r="272" spans="1:9">
      <c r="A272" s="2">
        <v>2</v>
      </c>
      <c r="B272" s="2">
        <v>128</v>
      </c>
      <c r="C272" s="2">
        <v>64</v>
      </c>
      <c r="D272" s="2">
        <v>42</v>
      </c>
      <c r="E272" s="2">
        <v>0</v>
      </c>
      <c r="F272" s="2">
        <v>40</v>
      </c>
      <c r="G272" s="2">
        <v>1.101</v>
      </c>
      <c r="H272" s="2">
        <v>24</v>
      </c>
      <c r="I272">
        <v>0</v>
      </c>
    </row>
    <row r="273" spans="1:9">
      <c r="A273" s="2">
        <v>0</v>
      </c>
      <c r="B273" s="2">
        <v>102</v>
      </c>
      <c r="C273" s="2">
        <v>52</v>
      </c>
      <c r="D273" s="2">
        <v>0</v>
      </c>
      <c r="E273" s="2">
        <v>0</v>
      </c>
      <c r="F273" s="2">
        <v>25.1</v>
      </c>
      <c r="G273" s="2">
        <v>0.078</v>
      </c>
      <c r="H273" s="2">
        <v>21</v>
      </c>
      <c r="I273">
        <v>0</v>
      </c>
    </row>
    <row r="274" spans="1:9">
      <c r="A274" s="2">
        <v>2</v>
      </c>
      <c r="B274" s="2">
        <v>146</v>
      </c>
      <c r="C274" s="2">
        <v>0</v>
      </c>
      <c r="D274" s="2">
        <v>0</v>
      </c>
      <c r="E274" s="2">
        <v>0</v>
      </c>
      <c r="F274" s="2">
        <v>27.5</v>
      </c>
      <c r="G274" s="2">
        <v>0.24</v>
      </c>
      <c r="H274" s="2">
        <v>28</v>
      </c>
      <c r="I274">
        <v>1</v>
      </c>
    </row>
    <row r="275" spans="1:9">
      <c r="A275" s="2">
        <v>10</v>
      </c>
      <c r="B275" s="2">
        <v>101</v>
      </c>
      <c r="C275" s="2">
        <v>86</v>
      </c>
      <c r="D275" s="2">
        <v>37</v>
      </c>
      <c r="E275" s="2">
        <v>0</v>
      </c>
      <c r="F275" s="2">
        <v>45.6</v>
      </c>
      <c r="G275" s="2">
        <v>1.136</v>
      </c>
      <c r="H275" s="2">
        <v>38</v>
      </c>
      <c r="I275">
        <v>1</v>
      </c>
    </row>
    <row r="276" spans="1:9">
      <c r="A276" s="2">
        <v>2</v>
      </c>
      <c r="B276" s="2">
        <v>108</v>
      </c>
      <c r="C276" s="2">
        <v>62</v>
      </c>
      <c r="D276" s="2">
        <v>32</v>
      </c>
      <c r="E276" s="2">
        <v>56</v>
      </c>
      <c r="F276" s="2">
        <v>25.2</v>
      </c>
      <c r="G276" s="2">
        <v>0.128</v>
      </c>
      <c r="H276" s="2">
        <v>21</v>
      </c>
      <c r="I276">
        <v>0</v>
      </c>
    </row>
    <row r="277" spans="1:9">
      <c r="A277" s="2">
        <v>3</v>
      </c>
      <c r="B277" s="2">
        <v>122</v>
      </c>
      <c r="C277" s="2">
        <v>78</v>
      </c>
      <c r="D277" s="2">
        <v>0</v>
      </c>
      <c r="E277" s="2">
        <v>0</v>
      </c>
      <c r="F277" s="2">
        <v>23</v>
      </c>
      <c r="G277" s="2">
        <v>0.254</v>
      </c>
      <c r="H277" s="2">
        <v>40</v>
      </c>
      <c r="I277">
        <v>0</v>
      </c>
    </row>
    <row r="278" spans="1:9">
      <c r="A278" s="2">
        <v>1</v>
      </c>
      <c r="B278" s="2">
        <v>71</v>
      </c>
      <c r="C278" s="2">
        <v>78</v>
      </c>
      <c r="D278" s="2">
        <v>50</v>
      </c>
      <c r="E278" s="2">
        <v>45</v>
      </c>
      <c r="F278" s="2">
        <v>33.2</v>
      </c>
      <c r="G278" s="2">
        <v>0.422</v>
      </c>
      <c r="H278" s="2">
        <v>21</v>
      </c>
      <c r="I278">
        <v>0</v>
      </c>
    </row>
    <row r="279" spans="1:9">
      <c r="A279" s="2">
        <v>13</v>
      </c>
      <c r="B279" s="2">
        <v>106</v>
      </c>
      <c r="C279" s="2">
        <v>70</v>
      </c>
      <c r="D279" s="2">
        <v>0</v>
      </c>
      <c r="E279" s="2">
        <v>0</v>
      </c>
      <c r="F279" s="2">
        <v>34.2</v>
      </c>
      <c r="G279" s="2">
        <v>0.251</v>
      </c>
      <c r="H279" s="2">
        <v>52</v>
      </c>
      <c r="I279">
        <v>0</v>
      </c>
    </row>
    <row r="280" spans="1:9">
      <c r="A280" s="2">
        <v>2</v>
      </c>
      <c r="B280" s="2">
        <v>100</v>
      </c>
      <c r="C280" s="2">
        <v>70</v>
      </c>
      <c r="D280" s="2">
        <v>52</v>
      </c>
      <c r="E280" s="2">
        <v>57</v>
      </c>
      <c r="F280" s="2">
        <v>40.5</v>
      </c>
      <c r="G280" s="2">
        <v>0.677</v>
      </c>
      <c r="H280" s="2">
        <v>25</v>
      </c>
      <c r="I280">
        <v>0</v>
      </c>
    </row>
    <row r="281" spans="1:9">
      <c r="A281" s="2">
        <v>7</v>
      </c>
      <c r="B281" s="2">
        <v>106</v>
      </c>
      <c r="C281" s="2">
        <v>60</v>
      </c>
      <c r="D281" s="2">
        <v>24</v>
      </c>
      <c r="E281" s="2">
        <v>0</v>
      </c>
      <c r="F281" s="2">
        <v>26.5</v>
      </c>
      <c r="G281" s="2">
        <v>0.296</v>
      </c>
      <c r="H281" s="2">
        <v>29</v>
      </c>
      <c r="I281">
        <v>1</v>
      </c>
    </row>
    <row r="282" spans="1:9">
      <c r="A282" s="2">
        <v>0</v>
      </c>
      <c r="B282" s="2">
        <v>104</v>
      </c>
      <c r="C282" s="2">
        <v>64</v>
      </c>
      <c r="D282" s="2">
        <v>23</v>
      </c>
      <c r="E282" s="2">
        <v>116</v>
      </c>
      <c r="F282" s="2">
        <v>27.8</v>
      </c>
      <c r="G282" s="2">
        <v>0.454</v>
      </c>
      <c r="H282" s="2">
        <v>23</v>
      </c>
      <c r="I282">
        <v>0</v>
      </c>
    </row>
    <row r="283" spans="1:9">
      <c r="A283" s="2">
        <v>5</v>
      </c>
      <c r="B283" s="2">
        <v>114</v>
      </c>
      <c r="C283" s="2">
        <v>74</v>
      </c>
      <c r="D283" s="2">
        <v>0</v>
      </c>
      <c r="E283" s="2">
        <v>0</v>
      </c>
      <c r="F283" s="2">
        <v>24.9</v>
      </c>
      <c r="G283" s="2">
        <v>0.744</v>
      </c>
      <c r="H283" s="2">
        <v>57</v>
      </c>
      <c r="I283">
        <v>0</v>
      </c>
    </row>
    <row r="284" spans="1:9">
      <c r="A284" s="2">
        <v>2</v>
      </c>
      <c r="B284" s="2">
        <v>108</v>
      </c>
      <c r="C284" s="2">
        <v>62</v>
      </c>
      <c r="D284" s="2">
        <v>10</v>
      </c>
      <c r="E284" s="2">
        <v>278</v>
      </c>
      <c r="F284" s="2">
        <v>25.3</v>
      </c>
      <c r="G284" s="2">
        <v>0.881</v>
      </c>
      <c r="H284" s="2">
        <v>22</v>
      </c>
      <c r="I284">
        <v>0</v>
      </c>
    </row>
    <row r="285" spans="1:9">
      <c r="A285" s="2">
        <v>0</v>
      </c>
      <c r="B285" s="2">
        <v>146</v>
      </c>
      <c r="C285" s="2">
        <v>70</v>
      </c>
      <c r="D285" s="2">
        <v>0</v>
      </c>
      <c r="E285" s="2">
        <v>0</v>
      </c>
      <c r="F285" s="2">
        <v>37.9</v>
      </c>
      <c r="G285" s="2">
        <v>0.334</v>
      </c>
      <c r="H285" s="2">
        <v>28</v>
      </c>
      <c r="I285">
        <v>1</v>
      </c>
    </row>
    <row r="286" spans="1:9">
      <c r="A286" s="2">
        <v>10</v>
      </c>
      <c r="B286" s="2">
        <v>129</v>
      </c>
      <c r="C286" s="2">
        <v>76</v>
      </c>
      <c r="D286" s="2">
        <v>28</v>
      </c>
      <c r="E286" s="2">
        <v>122</v>
      </c>
      <c r="F286" s="2">
        <v>35.9</v>
      </c>
      <c r="G286" s="2">
        <v>0.28</v>
      </c>
      <c r="H286" s="2">
        <v>39</v>
      </c>
      <c r="I286">
        <v>0</v>
      </c>
    </row>
    <row r="287" spans="1:9">
      <c r="A287" s="2">
        <v>7</v>
      </c>
      <c r="B287" s="2">
        <v>133</v>
      </c>
      <c r="C287" s="2">
        <v>88</v>
      </c>
      <c r="D287" s="2">
        <v>15</v>
      </c>
      <c r="E287" s="2">
        <v>155</v>
      </c>
      <c r="F287" s="2">
        <v>32.4</v>
      </c>
      <c r="G287" s="2">
        <v>0.262</v>
      </c>
      <c r="H287" s="2">
        <v>37</v>
      </c>
      <c r="I287">
        <v>0</v>
      </c>
    </row>
    <row r="288" spans="1:9">
      <c r="A288" s="2">
        <v>7</v>
      </c>
      <c r="B288" s="2">
        <v>161</v>
      </c>
      <c r="C288" s="2">
        <v>86</v>
      </c>
      <c r="D288" s="2">
        <v>0</v>
      </c>
      <c r="E288" s="2">
        <v>0</v>
      </c>
      <c r="F288" s="2">
        <v>30.4</v>
      </c>
      <c r="G288" s="2">
        <v>0.165</v>
      </c>
      <c r="H288" s="2">
        <v>47</v>
      </c>
      <c r="I288">
        <v>1</v>
      </c>
    </row>
    <row r="289" spans="1:9">
      <c r="A289" s="2">
        <v>2</v>
      </c>
      <c r="B289" s="2">
        <v>108</v>
      </c>
      <c r="C289" s="2">
        <v>80</v>
      </c>
      <c r="D289" s="2">
        <v>0</v>
      </c>
      <c r="E289" s="2">
        <v>0</v>
      </c>
      <c r="F289" s="2">
        <v>27</v>
      </c>
      <c r="G289" s="2">
        <v>0.259</v>
      </c>
      <c r="H289" s="2">
        <v>52</v>
      </c>
      <c r="I289">
        <v>1</v>
      </c>
    </row>
    <row r="290" spans="1:9">
      <c r="A290" s="2">
        <v>7</v>
      </c>
      <c r="B290" s="2">
        <v>136</v>
      </c>
      <c r="C290" s="2">
        <v>74</v>
      </c>
      <c r="D290" s="2">
        <v>26</v>
      </c>
      <c r="E290" s="2">
        <v>135</v>
      </c>
      <c r="F290" s="2">
        <v>26</v>
      </c>
      <c r="G290" s="2">
        <v>0.647</v>
      </c>
      <c r="H290" s="2">
        <v>51</v>
      </c>
      <c r="I290">
        <v>0</v>
      </c>
    </row>
    <row r="291" spans="1:9">
      <c r="A291" s="2">
        <v>5</v>
      </c>
      <c r="B291" s="2">
        <v>155</v>
      </c>
      <c r="C291" s="2">
        <v>84</v>
      </c>
      <c r="D291" s="2">
        <v>44</v>
      </c>
      <c r="E291" s="2">
        <v>545</v>
      </c>
      <c r="F291" s="2">
        <v>38.7</v>
      </c>
      <c r="G291" s="2">
        <v>0.619</v>
      </c>
      <c r="H291" s="2">
        <v>34</v>
      </c>
      <c r="I291">
        <v>0</v>
      </c>
    </row>
    <row r="292" spans="1:9">
      <c r="A292" s="2">
        <v>1</v>
      </c>
      <c r="B292" s="2">
        <v>119</v>
      </c>
      <c r="C292" s="2">
        <v>86</v>
      </c>
      <c r="D292" s="2">
        <v>39</v>
      </c>
      <c r="E292" s="2">
        <v>220</v>
      </c>
      <c r="F292" s="2">
        <v>45.6</v>
      </c>
      <c r="G292" s="2">
        <v>0.808</v>
      </c>
      <c r="H292" s="2">
        <v>29</v>
      </c>
      <c r="I292">
        <v>1</v>
      </c>
    </row>
    <row r="293" spans="1:9">
      <c r="A293" s="2">
        <v>4</v>
      </c>
      <c r="B293" s="2">
        <v>96</v>
      </c>
      <c r="C293" s="2">
        <v>56</v>
      </c>
      <c r="D293" s="2">
        <v>17</v>
      </c>
      <c r="E293" s="2">
        <v>49</v>
      </c>
      <c r="F293" s="2">
        <v>20.8</v>
      </c>
      <c r="G293" s="2">
        <v>0.34</v>
      </c>
      <c r="H293" s="2">
        <v>26</v>
      </c>
      <c r="I293">
        <v>0</v>
      </c>
    </row>
    <row r="294" spans="1:9">
      <c r="A294" s="2">
        <v>5</v>
      </c>
      <c r="B294" s="2">
        <v>108</v>
      </c>
      <c r="C294" s="2">
        <v>72</v>
      </c>
      <c r="D294" s="2">
        <v>43</v>
      </c>
      <c r="E294" s="2">
        <v>75</v>
      </c>
      <c r="F294" s="2">
        <v>36.1</v>
      </c>
      <c r="G294" s="2">
        <v>0.263</v>
      </c>
      <c r="H294" s="2">
        <v>33</v>
      </c>
      <c r="I294">
        <v>0</v>
      </c>
    </row>
    <row r="295" spans="1:9">
      <c r="A295" s="2">
        <v>0</v>
      </c>
      <c r="B295" s="2">
        <v>78</v>
      </c>
      <c r="C295" s="2">
        <v>88</v>
      </c>
      <c r="D295" s="2">
        <v>29</v>
      </c>
      <c r="E295" s="2">
        <v>40</v>
      </c>
      <c r="F295" s="2">
        <v>36.9</v>
      </c>
      <c r="G295" s="2">
        <v>0.434</v>
      </c>
      <c r="H295" s="2">
        <v>21</v>
      </c>
      <c r="I295">
        <v>0</v>
      </c>
    </row>
    <row r="296" spans="1:9">
      <c r="A296" s="2">
        <v>0</v>
      </c>
      <c r="B296" s="2">
        <v>107</v>
      </c>
      <c r="C296" s="2">
        <v>62</v>
      </c>
      <c r="D296" s="2">
        <v>30</v>
      </c>
      <c r="E296" s="2">
        <v>74</v>
      </c>
      <c r="F296" s="2">
        <v>36.6</v>
      </c>
      <c r="G296" s="2">
        <v>0.757</v>
      </c>
      <c r="H296" s="2">
        <v>25</v>
      </c>
      <c r="I296">
        <v>1</v>
      </c>
    </row>
    <row r="297" spans="1:9">
      <c r="A297" s="2">
        <v>2</v>
      </c>
      <c r="B297" s="2">
        <v>128</v>
      </c>
      <c r="C297" s="2">
        <v>78</v>
      </c>
      <c r="D297" s="2">
        <v>37</v>
      </c>
      <c r="E297" s="2">
        <v>182</v>
      </c>
      <c r="F297" s="2">
        <v>43.3</v>
      </c>
      <c r="G297" s="2">
        <v>1.224</v>
      </c>
      <c r="H297" s="2">
        <v>31</v>
      </c>
      <c r="I297">
        <v>1</v>
      </c>
    </row>
    <row r="298" spans="1:9">
      <c r="A298" s="2">
        <v>1</v>
      </c>
      <c r="B298" s="2">
        <v>128</v>
      </c>
      <c r="C298" s="2">
        <v>48</v>
      </c>
      <c r="D298" s="2">
        <v>45</v>
      </c>
      <c r="E298" s="2">
        <v>194</v>
      </c>
      <c r="F298" s="2">
        <v>40.5</v>
      </c>
      <c r="G298" s="2">
        <v>0.613</v>
      </c>
      <c r="H298" s="2">
        <v>24</v>
      </c>
      <c r="I298">
        <v>1</v>
      </c>
    </row>
    <row r="299" spans="1:9">
      <c r="A299" s="2">
        <v>0</v>
      </c>
      <c r="B299" s="2">
        <v>161</v>
      </c>
      <c r="C299" s="2">
        <v>50</v>
      </c>
      <c r="D299" s="2">
        <v>0</v>
      </c>
      <c r="E299" s="2">
        <v>0</v>
      </c>
      <c r="F299" s="2">
        <v>21.9</v>
      </c>
      <c r="G299" s="2">
        <v>0.254</v>
      </c>
      <c r="H299" s="2">
        <v>65</v>
      </c>
      <c r="I299">
        <v>0</v>
      </c>
    </row>
    <row r="300" spans="1:9">
      <c r="A300" s="2">
        <v>6</v>
      </c>
      <c r="B300" s="2">
        <v>151</v>
      </c>
      <c r="C300" s="2">
        <v>62</v>
      </c>
      <c r="D300" s="2">
        <v>31</v>
      </c>
      <c r="E300" s="2">
        <v>120</v>
      </c>
      <c r="F300" s="2">
        <v>35.5</v>
      </c>
      <c r="G300" s="2">
        <v>0.692</v>
      </c>
      <c r="H300" s="2">
        <v>28</v>
      </c>
      <c r="I300">
        <v>0</v>
      </c>
    </row>
    <row r="301" spans="1:9">
      <c r="A301" s="2">
        <v>2</v>
      </c>
      <c r="B301" s="2">
        <v>146</v>
      </c>
      <c r="C301" s="2">
        <v>70</v>
      </c>
      <c r="D301" s="2">
        <v>38</v>
      </c>
      <c r="E301" s="2">
        <v>360</v>
      </c>
      <c r="F301" s="2">
        <v>28</v>
      </c>
      <c r="G301" s="2">
        <v>0.337</v>
      </c>
      <c r="H301" s="2">
        <v>29</v>
      </c>
      <c r="I301">
        <v>1</v>
      </c>
    </row>
    <row r="302" spans="1:9">
      <c r="A302" s="2">
        <v>0</v>
      </c>
      <c r="B302" s="2">
        <v>126</v>
      </c>
      <c r="C302" s="2">
        <v>84</v>
      </c>
      <c r="D302" s="2">
        <v>29</v>
      </c>
      <c r="E302" s="2">
        <v>215</v>
      </c>
      <c r="F302" s="2">
        <v>30.7</v>
      </c>
      <c r="G302" s="2">
        <v>0.52</v>
      </c>
      <c r="H302" s="2">
        <v>24</v>
      </c>
      <c r="I302">
        <v>0</v>
      </c>
    </row>
    <row r="303" spans="1:9">
      <c r="A303" s="2">
        <v>14</v>
      </c>
      <c r="B303" s="2">
        <v>100</v>
      </c>
      <c r="C303" s="2">
        <v>78</v>
      </c>
      <c r="D303" s="2">
        <v>25</v>
      </c>
      <c r="E303" s="2">
        <v>184</v>
      </c>
      <c r="F303" s="2">
        <v>36.6</v>
      </c>
      <c r="G303" s="2">
        <v>0.412</v>
      </c>
      <c r="H303" s="2">
        <v>46</v>
      </c>
      <c r="I303">
        <v>1</v>
      </c>
    </row>
    <row r="304" spans="1:9">
      <c r="A304" s="2">
        <v>8</v>
      </c>
      <c r="B304" s="2">
        <v>112</v>
      </c>
      <c r="C304" s="2">
        <v>72</v>
      </c>
      <c r="D304" s="2">
        <v>0</v>
      </c>
      <c r="E304" s="2">
        <v>0</v>
      </c>
      <c r="F304" s="2">
        <v>23.6</v>
      </c>
      <c r="G304" s="2">
        <v>0.84</v>
      </c>
      <c r="H304" s="2">
        <v>58</v>
      </c>
      <c r="I304">
        <v>0</v>
      </c>
    </row>
    <row r="305" spans="1:9">
      <c r="A305" s="2">
        <v>0</v>
      </c>
      <c r="B305" s="2">
        <v>167</v>
      </c>
      <c r="C305" s="2">
        <v>0</v>
      </c>
      <c r="D305" s="2">
        <v>0</v>
      </c>
      <c r="E305" s="2">
        <v>0</v>
      </c>
      <c r="F305" s="2">
        <v>32.3</v>
      </c>
      <c r="G305" s="2">
        <v>0.839</v>
      </c>
      <c r="H305" s="2">
        <v>30</v>
      </c>
      <c r="I305">
        <v>1</v>
      </c>
    </row>
    <row r="306" spans="1:9">
      <c r="A306" s="2">
        <v>2</v>
      </c>
      <c r="B306" s="2">
        <v>144</v>
      </c>
      <c r="C306" s="2">
        <v>58</v>
      </c>
      <c r="D306" s="2">
        <v>33</v>
      </c>
      <c r="E306" s="2">
        <v>135</v>
      </c>
      <c r="F306" s="2">
        <v>31.6</v>
      </c>
      <c r="G306" s="2">
        <v>0.422</v>
      </c>
      <c r="H306" s="2">
        <v>25</v>
      </c>
      <c r="I306">
        <v>1</v>
      </c>
    </row>
    <row r="307" spans="1:9">
      <c r="A307" s="2">
        <v>5</v>
      </c>
      <c r="B307" s="2">
        <v>77</v>
      </c>
      <c r="C307" s="2">
        <v>82</v>
      </c>
      <c r="D307" s="2">
        <v>41</v>
      </c>
      <c r="E307" s="2">
        <v>42</v>
      </c>
      <c r="F307" s="2">
        <v>35.8</v>
      </c>
      <c r="G307" s="2">
        <v>0.156</v>
      </c>
      <c r="H307" s="2">
        <v>35</v>
      </c>
      <c r="I307">
        <v>0</v>
      </c>
    </row>
    <row r="308" spans="1:9">
      <c r="A308" s="2">
        <v>5</v>
      </c>
      <c r="B308" s="2">
        <v>115</v>
      </c>
      <c r="C308" s="2">
        <v>98</v>
      </c>
      <c r="D308" s="2">
        <v>0</v>
      </c>
      <c r="E308" s="2">
        <v>0</v>
      </c>
      <c r="F308" s="2">
        <v>52.9</v>
      </c>
      <c r="G308" s="2">
        <v>0.209</v>
      </c>
      <c r="H308" s="2">
        <v>28</v>
      </c>
      <c r="I308">
        <v>1</v>
      </c>
    </row>
    <row r="309" spans="1:9">
      <c r="A309" s="2">
        <v>3</v>
      </c>
      <c r="B309" s="2">
        <v>150</v>
      </c>
      <c r="C309" s="2">
        <v>76</v>
      </c>
      <c r="D309" s="2">
        <v>0</v>
      </c>
      <c r="E309" s="2">
        <v>0</v>
      </c>
      <c r="F309" s="2">
        <v>21</v>
      </c>
      <c r="G309" s="2">
        <v>0.207</v>
      </c>
      <c r="H309" s="2">
        <v>37</v>
      </c>
      <c r="I309">
        <v>0</v>
      </c>
    </row>
    <row r="310" spans="1:9">
      <c r="A310" s="2">
        <v>2</v>
      </c>
      <c r="B310" s="2">
        <v>120</v>
      </c>
      <c r="C310" s="2">
        <v>76</v>
      </c>
      <c r="D310" s="2">
        <v>37</v>
      </c>
      <c r="E310" s="2">
        <v>105</v>
      </c>
      <c r="F310" s="2">
        <v>39.7</v>
      </c>
      <c r="G310" s="2">
        <v>0.215</v>
      </c>
      <c r="H310" s="2">
        <v>29</v>
      </c>
      <c r="I310">
        <v>0</v>
      </c>
    </row>
    <row r="311" spans="1:9">
      <c r="A311" s="2">
        <v>10</v>
      </c>
      <c r="B311" s="2">
        <v>161</v>
      </c>
      <c r="C311" s="2">
        <v>68</v>
      </c>
      <c r="D311" s="2">
        <v>23</v>
      </c>
      <c r="E311" s="2">
        <v>132</v>
      </c>
      <c r="F311" s="2">
        <v>25.5</v>
      </c>
      <c r="G311" s="2">
        <v>0.326</v>
      </c>
      <c r="H311" s="2">
        <v>47</v>
      </c>
      <c r="I311">
        <v>1</v>
      </c>
    </row>
    <row r="312" spans="1:9">
      <c r="A312" s="2">
        <v>0</v>
      </c>
      <c r="B312" s="2">
        <v>137</v>
      </c>
      <c r="C312" s="2">
        <v>68</v>
      </c>
      <c r="D312" s="2">
        <v>14</v>
      </c>
      <c r="E312" s="2">
        <v>148</v>
      </c>
      <c r="F312" s="2">
        <v>24.8</v>
      </c>
      <c r="G312" s="2">
        <v>0.143</v>
      </c>
      <c r="H312" s="2">
        <v>21</v>
      </c>
      <c r="I312">
        <v>0</v>
      </c>
    </row>
    <row r="313" spans="1:9">
      <c r="A313" s="2">
        <v>0</v>
      </c>
      <c r="B313" s="2">
        <v>128</v>
      </c>
      <c r="C313" s="2">
        <v>68</v>
      </c>
      <c r="D313" s="2">
        <v>19</v>
      </c>
      <c r="E313" s="2">
        <v>180</v>
      </c>
      <c r="F313" s="2">
        <v>30.5</v>
      </c>
      <c r="G313" s="2">
        <v>1.391</v>
      </c>
      <c r="H313" s="2">
        <v>25</v>
      </c>
      <c r="I313">
        <v>1</v>
      </c>
    </row>
    <row r="314" spans="1:9">
      <c r="A314" s="2">
        <v>2</v>
      </c>
      <c r="B314" s="2">
        <v>124</v>
      </c>
      <c r="C314" s="2">
        <v>68</v>
      </c>
      <c r="D314" s="2">
        <v>28</v>
      </c>
      <c r="E314" s="2">
        <v>205</v>
      </c>
      <c r="F314" s="2">
        <v>32.9</v>
      </c>
      <c r="G314" s="2">
        <v>0.875</v>
      </c>
      <c r="H314" s="2">
        <v>30</v>
      </c>
      <c r="I314">
        <v>1</v>
      </c>
    </row>
    <row r="315" spans="1:9">
      <c r="A315" s="2">
        <v>6</v>
      </c>
      <c r="B315" s="2">
        <v>80</v>
      </c>
      <c r="C315" s="2">
        <v>66</v>
      </c>
      <c r="D315" s="2">
        <v>30</v>
      </c>
      <c r="E315" s="2">
        <v>0</v>
      </c>
      <c r="F315" s="2">
        <v>26.2</v>
      </c>
      <c r="G315" s="2">
        <v>0.313</v>
      </c>
      <c r="H315" s="2">
        <v>41</v>
      </c>
      <c r="I315">
        <v>0</v>
      </c>
    </row>
    <row r="316" spans="1:9">
      <c r="A316" s="2">
        <v>0</v>
      </c>
      <c r="B316" s="2">
        <v>106</v>
      </c>
      <c r="C316" s="2">
        <v>70</v>
      </c>
      <c r="D316" s="2">
        <v>37</v>
      </c>
      <c r="E316" s="2">
        <v>148</v>
      </c>
      <c r="F316" s="2">
        <v>39.4</v>
      </c>
      <c r="G316" s="2">
        <v>0.605</v>
      </c>
      <c r="H316" s="2">
        <v>22</v>
      </c>
      <c r="I316">
        <v>0</v>
      </c>
    </row>
    <row r="317" spans="1:9">
      <c r="A317" s="2">
        <v>2</v>
      </c>
      <c r="B317" s="2">
        <v>155</v>
      </c>
      <c r="C317" s="2">
        <v>74</v>
      </c>
      <c r="D317" s="2">
        <v>17</v>
      </c>
      <c r="E317" s="2">
        <v>96</v>
      </c>
      <c r="F317" s="2">
        <v>26.6</v>
      </c>
      <c r="G317" s="2">
        <v>0.433</v>
      </c>
      <c r="H317" s="2">
        <v>27</v>
      </c>
      <c r="I317">
        <v>1</v>
      </c>
    </row>
    <row r="318" spans="1:9">
      <c r="A318" s="2">
        <v>3</v>
      </c>
      <c r="B318" s="2">
        <v>113</v>
      </c>
      <c r="C318" s="2">
        <v>50</v>
      </c>
      <c r="D318" s="2">
        <v>10</v>
      </c>
      <c r="E318" s="2">
        <v>85</v>
      </c>
      <c r="F318" s="2">
        <v>29.5</v>
      </c>
      <c r="G318" s="2">
        <v>0.626</v>
      </c>
      <c r="H318" s="2">
        <v>25</v>
      </c>
      <c r="I318">
        <v>0</v>
      </c>
    </row>
    <row r="319" spans="1:9">
      <c r="A319" s="2">
        <v>7</v>
      </c>
      <c r="B319" s="2">
        <v>109</v>
      </c>
      <c r="C319" s="2">
        <v>80</v>
      </c>
      <c r="D319" s="2">
        <v>31</v>
      </c>
      <c r="E319" s="2">
        <v>0</v>
      </c>
      <c r="F319" s="2">
        <v>35.9</v>
      </c>
      <c r="G319" s="2">
        <v>1.127</v>
      </c>
      <c r="H319" s="2">
        <v>43</v>
      </c>
      <c r="I319">
        <v>1</v>
      </c>
    </row>
    <row r="320" spans="1:9">
      <c r="A320" s="2">
        <v>2</v>
      </c>
      <c r="B320" s="2">
        <v>112</v>
      </c>
      <c r="C320" s="2">
        <v>68</v>
      </c>
      <c r="D320" s="2">
        <v>22</v>
      </c>
      <c r="E320" s="2">
        <v>94</v>
      </c>
      <c r="F320" s="2">
        <v>34.1</v>
      </c>
      <c r="G320" s="2">
        <v>0.315</v>
      </c>
      <c r="H320" s="2">
        <v>26</v>
      </c>
      <c r="I320">
        <v>0</v>
      </c>
    </row>
    <row r="321" spans="1:9">
      <c r="A321" s="2">
        <v>3</v>
      </c>
      <c r="B321" s="2">
        <v>99</v>
      </c>
      <c r="C321" s="2">
        <v>80</v>
      </c>
      <c r="D321" s="2">
        <v>11</v>
      </c>
      <c r="E321" s="2">
        <v>64</v>
      </c>
      <c r="F321" s="2">
        <v>19.3</v>
      </c>
      <c r="G321" s="2">
        <v>0.284</v>
      </c>
      <c r="H321" s="2">
        <v>30</v>
      </c>
      <c r="I321">
        <v>0</v>
      </c>
    </row>
    <row r="322" spans="1:9">
      <c r="A322" s="2">
        <v>3</v>
      </c>
      <c r="B322" s="2">
        <v>182</v>
      </c>
      <c r="C322" s="2">
        <v>74</v>
      </c>
      <c r="D322" s="2">
        <v>0</v>
      </c>
      <c r="E322" s="2">
        <v>0</v>
      </c>
      <c r="F322" s="2">
        <v>30.5</v>
      </c>
      <c r="G322" s="2">
        <v>0.345</v>
      </c>
      <c r="H322" s="2">
        <v>29</v>
      </c>
      <c r="I322">
        <v>1</v>
      </c>
    </row>
    <row r="323" spans="1:9">
      <c r="A323" s="2">
        <v>3</v>
      </c>
      <c r="B323" s="2">
        <v>115</v>
      </c>
      <c r="C323" s="2">
        <v>66</v>
      </c>
      <c r="D323" s="2">
        <v>39</v>
      </c>
      <c r="E323" s="2">
        <v>140</v>
      </c>
      <c r="F323" s="2">
        <v>38.1</v>
      </c>
      <c r="G323" s="2">
        <v>0.15</v>
      </c>
      <c r="H323" s="2">
        <v>28</v>
      </c>
      <c r="I323">
        <v>0</v>
      </c>
    </row>
    <row r="324" spans="1:9">
      <c r="A324" s="2">
        <v>6</v>
      </c>
      <c r="B324" s="2">
        <v>194</v>
      </c>
      <c r="C324" s="2">
        <v>78</v>
      </c>
      <c r="D324" s="2">
        <v>0</v>
      </c>
      <c r="E324" s="2">
        <v>0</v>
      </c>
      <c r="F324" s="2">
        <v>23.5</v>
      </c>
      <c r="G324" s="2">
        <v>0.129</v>
      </c>
      <c r="H324" s="2">
        <v>59</v>
      </c>
      <c r="I324">
        <v>1</v>
      </c>
    </row>
    <row r="325" spans="1:9">
      <c r="A325" s="2">
        <v>4</v>
      </c>
      <c r="B325" s="2">
        <v>129</v>
      </c>
      <c r="C325" s="2">
        <v>60</v>
      </c>
      <c r="D325" s="2">
        <v>12</v>
      </c>
      <c r="E325" s="2">
        <v>231</v>
      </c>
      <c r="F325" s="2">
        <v>27.5</v>
      </c>
      <c r="G325" s="2">
        <v>0.527</v>
      </c>
      <c r="H325" s="2">
        <v>31</v>
      </c>
      <c r="I325">
        <v>0</v>
      </c>
    </row>
    <row r="326" spans="1:9">
      <c r="A326" s="2">
        <v>3</v>
      </c>
      <c r="B326" s="2">
        <v>112</v>
      </c>
      <c r="C326" s="2">
        <v>74</v>
      </c>
      <c r="D326" s="2">
        <v>30</v>
      </c>
      <c r="E326" s="2">
        <v>0</v>
      </c>
      <c r="F326" s="2">
        <v>31.6</v>
      </c>
      <c r="G326" s="2">
        <v>0.197</v>
      </c>
      <c r="H326" s="2">
        <v>25</v>
      </c>
      <c r="I326">
        <v>1</v>
      </c>
    </row>
    <row r="327" spans="1:9">
      <c r="A327" s="2">
        <v>0</v>
      </c>
      <c r="B327" s="2">
        <v>124</v>
      </c>
      <c r="C327" s="2">
        <v>70</v>
      </c>
      <c r="D327" s="2">
        <v>20</v>
      </c>
      <c r="E327" s="2">
        <v>0</v>
      </c>
      <c r="F327" s="2">
        <v>27.4</v>
      </c>
      <c r="G327" s="2">
        <v>0.254</v>
      </c>
      <c r="H327" s="2">
        <v>36</v>
      </c>
      <c r="I327">
        <v>1</v>
      </c>
    </row>
    <row r="328" spans="1:9">
      <c r="A328" s="2">
        <v>13</v>
      </c>
      <c r="B328" s="2">
        <v>152</v>
      </c>
      <c r="C328" s="2">
        <v>90</v>
      </c>
      <c r="D328" s="2">
        <v>33</v>
      </c>
      <c r="E328" s="2">
        <v>29</v>
      </c>
      <c r="F328" s="2">
        <v>26.8</v>
      </c>
      <c r="G328" s="2">
        <v>0.731</v>
      </c>
      <c r="H328" s="2">
        <v>43</v>
      </c>
      <c r="I328">
        <v>1</v>
      </c>
    </row>
    <row r="329" spans="1:9">
      <c r="A329" s="2">
        <v>2</v>
      </c>
      <c r="B329" s="2">
        <v>112</v>
      </c>
      <c r="C329" s="2">
        <v>75</v>
      </c>
      <c r="D329" s="2">
        <v>32</v>
      </c>
      <c r="E329" s="2">
        <v>0</v>
      </c>
      <c r="F329" s="2">
        <v>35.7</v>
      </c>
      <c r="G329" s="2">
        <v>0.148</v>
      </c>
      <c r="H329" s="2">
        <v>21</v>
      </c>
      <c r="I329">
        <v>0</v>
      </c>
    </row>
    <row r="330" spans="1:9">
      <c r="A330" s="2">
        <v>1</v>
      </c>
      <c r="B330" s="2">
        <v>157</v>
      </c>
      <c r="C330" s="2">
        <v>72</v>
      </c>
      <c r="D330" s="2">
        <v>21</v>
      </c>
      <c r="E330" s="2">
        <v>168</v>
      </c>
      <c r="F330" s="2">
        <v>25.6</v>
      </c>
      <c r="G330" s="2">
        <v>0.123</v>
      </c>
      <c r="H330" s="2">
        <v>24</v>
      </c>
      <c r="I330">
        <v>0</v>
      </c>
    </row>
    <row r="331" spans="1:9">
      <c r="A331" s="2">
        <v>1</v>
      </c>
      <c r="B331" s="2">
        <v>122</v>
      </c>
      <c r="C331" s="2">
        <v>64</v>
      </c>
      <c r="D331" s="2">
        <v>32</v>
      </c>
      <c r="E331" s="2">
        <v>156</v>
      </c>
      <c r="F331" s="2">
        <v>35.1</v>
      </c>
      <c r="G331" s="2">
        <v>0.692</v>
      </c>
      <c r="H331" s="2">
        <v>30</v>
      </c>
      <c r="I331">
        <v>1</v>
      </c>
    </row>
    <row r="332" spans="1:9">
      <c r="A332" s="2">
        <v>10</v>
      </c>
      <c r="B332" s="2">
        <v>179</v>
      </c>
      <c r="C332" s="2">
        <v>70</v>
      </c>
      <c r="D332" s="2">
        <v>0</v>
      </c>
      <c r="E332" s="2">
        <v>0</v>
      </c>
      <c r="F332" s="2">
        <v>35.1</v>
      </c>
      <c r="G332" s="2">
        <v>0.2</v>
      </c>
      <c r="H332" s="2">
        <v>37</v>
      </c>
      <c r="I332">
        <v>0</v>
      </c>
    </row>
    <row r="333" spans="1:9">
      <c r="A333" s="2">
        <v>2</v>
      </c>
      <c r="B333" s="2">
        <v>102</v>
      </c>
      <c r="C333" s="2">
        <v>86</v>
      </c>
      <c r="D333" s="2">
        <v>36</v>
      </c>
      <c r="E333" s="2">
        <v>120</v>
      </c>
      <c r="F333" s="2">
        <v>45.5</v>
      </c>
      <c r="G333" s="2">
        <v>0.127</v>
      </c>
      <c r="H333" s="2">
        <v>23</v>
      </c>
      <c r="I333">
        <v>1</v>
      </c>
    </row>
    <row r="334" spans="1:9">
      <c r="A334" s="2">
        <v>6</v>
      </c>
      <c r="B334" s="2">
        <v>105</v>
      </c>
      <c r="C334" s="2">
        <v>70</v>
      </c>
      <c r="D334" s="2">
        <v>32</v>
      </c>
      <c r="E334" s="2">
        <v>68</v>
      </c>
      <c r="F334" s="2">
        <v>30.8</v>
      </c>
      <c r="G334" s="2">
        <v>0.122</v>
      </c>
      <c r="H334" s="2">
        <v>37</v>
      </c>
      <c r="I334">
        <v>0</v>
      </c>
    </row>
    <row r="335" spans="1:9">
      <c r="A335" s="2">
        <v>8</v>
      </c>
      <c r="B335" s="2">
        <v>118</v>
      </c>
      <c r="C335" s="2">
        <v>72</v>
      </c>
      <c r="D335" s="2">
        <v>19</v>
      </c>
      <c r="E335" s="2">
        <v>0</v>
      </c>
      <c r="F335" s="2">
        <v>23.1</v>
      </c>
      <c r="G335" s="2">
        <v>1.476</v>
      </c>
      <c r="H335" s="2">
        <v>46</v>
      </c>
      <c r="I335">
        <v>0</v>
      </c>
    </row>
    <row r="336" spans="1:9">
      <c r="A336" s="2">
        <v>2</v>
      </c>
      <c r="B336" s="2">
        <v>87</v>
      </c>
      <c r="C336" s="2">
        <v>58</v>
      </c>
      <c r="D336" s="2">
        <v>16</v>
      </c>
      <c r="E336" s="2">
        <v>52</v>
      </c>
      <c r="F336" s="2">
        <v>32.7</v>
      </c>
      <c r="G336" s="2">
        <v>0.166</v>
      </c>
      <c r="H336" s="2">
        <v>25</v>
      </c>
      <c r="I336">
        <v>0</v>
      </c>
    </row>
    <row r="337" spans="1:9">
      <c r="A337" s="2">
        <v>1</v>
      </c>
      <c r="B337" s="2">
        <v>180</v>
      </c>
      <c r="C337" s="2">
        <v>0</v>
      </c>
      <c r="D337" s="2">
        <v>0</v>
      </c>
      <c r="E337" s="2">
        <v>0</v>
      </c>
      <c r="F337" s="2">
        <v>43.3</v>
      </c>
      <c r="G337" s="2">
        <v>0.282</v>
      </c>
      <c r="H337" s="2">
        <v>41</v>
      </c>
      <c r="I337">
        <v>1</v>
      </c>
    </row>
    <row r="338" spans="1:9">
      <c r="A338" s="2">
        <v>12</v>
      </c>
      <c r="B338" s="2">
        <v>106</v>
      </c>
      <c r="C338" s="2">
        <v>80</v>
      </c>
      <c r="D338" s="2">
        <v>0</v>
      </c>
      <c r="E338" s="2">
        <v>0</v>
      </c>
      <c r="F338" s="2">
        <v>23.6</v>
      </c>
      <c r="G338" s="2">
        <v>0.137</v>
      </c>
      <c r="H338" s="2">
        <v>44</v>
      </c>
      <c r="I338">
        <v>0</v>
      </c>
    </row>
    <row r="339" spans="1:9">
      <c r="A339" s="2">
        <v>1</v>
      </c>
      <c r="B339" s="2">
        <v>95</v>
      </c>
      <c r="C339" s="2">
        <v>60</v>
      </c>
      <c r="D339" s="2">
        <v>18</v>
      </c>
      <c r="E339" s="2">
        <v>58</v>
      </c>
      <c r="F339" s="2">
        <v>23.9</v>
      </c>
      <c r="G339" s="2">
        <v>0.26</v>
      </c>
      <c r="H339" s="2">
        <v>22</v>
      </c>
      <c r="I339">
        <v>0</v>
      </c>
    </row>
    <row r="340" spans="1:9">
      <c r="A340" s="2">
        <v>0</v>
      </c>
      <c r="B340" s="2">
        <v>165</v>
      </c>
      <c r="C340" s="2">
        <v>76</v>
      </c>
      <c r="D340" s="2">
        <v>43</v>
      </c>
      <c r="E340" s="2">
        <v>255</v>
      </c>
      <c r="F340" s="2">
        <v>47.9</v>
      </c>
      <c r="G340" s="2">
        <v>0.259</v>
      </c>
      <c r="H340" s="2">
        <v>26</v>
      </c>
      <c r="I340">
        <v>0</v>
      </c>
    </row>
    <row r="341" spans="1:9">
      <c r="A341" s="2">
        <v>0</v>
      </c>
      <c r="B341" s="2">
        <v>117</v>
      </c>
      <c r="C341" s="2">
        <v>0</v>
      </c>
      <c r="D341" s="2">
        <v>0</v>
      </c>
      <c r="E341" s="2">
        <v>0</v>
      </c>
      <c r="F341" s="2">
        <v>33.8</v>
      </c>
      <c r="G341" s="2">
        <v>0.932</v>
      </c>
      <c r="H341" s="2">
        <v>44</v>
      </c>
      <c r="I341">
        <v>0</v>
      </c>
    </row>
    <row r="342" spans="1:9">
      <c r="A342" s="2">
        <v>5</v>
      </c>
      <c r="B342" s="2">
        <v>115</v>
      </c>
      <c r="C342" s="2">
        <v>76</v>
      </c>
      <c r="D342" s="2">
        <v>0</v>
      </c>
      <c r="E342" s="2">
        <v>0</v>
      </c>
      <c r="F342" s="2">
        <v>31.2</v>
      </c>
      <c r="G342" s="2">
        <v>0.343</v>
      </c>
      <c r="H342" s="2">
        <v>44</v>
      </c>
      <c r="I342">
        <v>1</v>
      </c>
    </row>
    <row r="343" spans="1:9">
      <c r="A343" s="2">
        <v>9</v>
      </c>
      <c r="B343" s="2">
        <v>152</v>
      </c>
      <c r="C343" s="2">
        <v>78</v>
      </c>
      <c r="D343" s="2">
        <v>34</v>
      </c>
      <c r="E343" s="2">
        <v>171</v>
      </c>
      <c r="F343" s="2">
        <v>34.2</v>
      </c>
      <c r="G343" s="2">
        <v>0.893</v>
      </c>
      <c r="H343" s="2">
        <v>33</v>
      </c>
      <c r="I343">
        <v>1</v>
      </c>
    </row>
    <row r="344" spans="1:9">
      <c r="A344" s="2">
        <v>7</v>
      </c>
      <c r="B344" s="2">
        <v>178</v>
      </c>
      <c r="C344" s="2">
        <v>84</v>
      </c>
      <c r="D344" s="2">
        <v>0</v>
      </c>
      <c r="E344" s="2">
        <v>0</v>
      </c>
      <c r="F344" s="2">
        <v>39.9</v>
      </c>
      <c r="G344" s="2">
        <v>0.331</v>
      </c>
      <c r="H344" s="2">
        <v>41</v>
      </c>
      <c r="I344">
        <v>1</v>
      </c>
    </row>
    <row r="345" spans="1:9">
      <c r="A345" s="2">
        <v>1</v>
      </c>
      <c r="B345" s="2">
        <v>130</v>
      </c>
      <c r="C345" s="2">
        <v>70</v>
      </c>
      <c r="D345" s="2">
        <v>13</v>
      </c>
      <c r="E345" s="2">
        <v>105</v>
      </c>
      <c r="F345" s="2">
        <v>25.9</v>
      </c>
      <c r="G345" s="2">
        <v>0.472</v>
      </c>
      <c r="H345" s="2">
        <v>22</v>
      </c>
      <c r="I345">
        <v>0</v>
      </c>
    </row>
    <row r="346" spans="1:9">
      <c r="A346" s="2">
        <v>1</v>
      </c>
      <c r="B346" s="2">
        <v>95</v>
      </c>
      <c r="C346" s="2">
        <v>74</v>
      </c>
      <c r="D346" s="2">
        <v>21</v>
      </c>
      <c r="E346" s="2">
        <v>73</v>
      </c>
      <c r="F346" s="2">
        <v>25.9</v>
      </c>
      <c r="G346" s="2">
        <v>0.673</v>
      </c>
      <c r="H346" s="2">
        <v>36</v>
      </c>
      <c r="I346">
        <v>0</v>
      </c>
    </row>
    <row r="347" spans="1:9">
      <c r="A347" s="2">
        <v>1</v>
      </c>
      <c r="B347" s="2">
        <v>0</v>
      </c>
      <c r="C347" s="2">
        <v>68</v>
      </c>
      <c r="D347" s="2">
        <v>35</v>
      </c>
      <c r="E347" s="2">
        <v>0</v>
      </c>
      <c r="F347" s="2">
        <v>32</v>
      </c>
      <c r="G347" s="2">
        <v>0.389</v>
      </c>
      <c r="H347" s="2">
        <v>22</v>
      </c>
      <c r="I347">
        <v>0</v>
      </c>
    </row>
    <row r="348" spans="1:9">
      <c r="A348" s="2">
        <v>5</v>
      </c>
      <c r="B348" s="2">
        <v>122</v>
      </c>
      <c r="C348" s="2">
        <v>86</v>
      </c>
      <c r="D348" s="2">
        <v>0</v>
      </c>
      <c r="E348" s="2">
        <v>0</v>
      </c>
      <c r="F348" s="2">
        <v>34.7</v>
      </c>
      <c r="G348" s="2">
        <v>0.29</v>
      </c>
      <c r="H348" s="2">
        <v>33</v>
      </c>
      <c r="I348">
        <v>0</v>
      </c>
    </row>
    <row r="349" spans="1:9">
      <c r="A349" s="2">
        <v>8</v>
      </c>
      <c r="B349" s="2">
        <v>95</v>
      </c>
      <c r="C349" s="2">
        <v>72</v>
      </c>
      <c r="D349" s="2">
        <v>0</v>
      </c>
      <c r="E349" s="2">
        <v>0</v>
      </c>
      <c r="F349" s="2">
        <v>36.8</v>
      </c>
      <c r="G349" s="2">
        <v>0.485</v>
      </c>
      <c r="H349" s="2">
        <v>57</v>
      </c>
      <c r="I349">
        <v>0</v>
      </c>
    </row>
    <row r="350" spans="1:9">
      <c r="A350" s="2">
        <v>8</v>
      </c>
      <c r="B350" s="2">
        <v>126</v>
      </c>
      <c r="C350" s="2">
        <v>88</v>
      </c>
      <c r="D350" s="2">
        <v>36</v>
      </c>
      <c r="E350" s="2">
        <v>108</v>
      </c>
      <c r="F350" s="2">
        <v>38.5</v>
      </c>
      <c r="G350" s="2">
        <v>0.349</v>
      </c>
      <c r="H350" s="2">
        <v>49</v>
      </c>
      <c r="I350">
        <v>0</v>
      </c>
    </row>
    <row r="351" spans="1:9">
      <c r="A351" s="2">
        <v>1</v>
      </c>
      <c r="B351" s="2">
        <v>139</v>
      </c>
      <c r="C351" s="2">
        <v>46</v>
      </c>
      <c r="D351" s="2">
        <v>19</v>
      </c>
      <c r="E351" s="2">
        <v>83</v>
      </c>
      <c r="F351" s="2">
        <v>28.7</v>
      </c>
      <c r="G351" s="2">
        <v>0.654</v>
      </c>
      <c r="H351" s="2">
        <v>22</v>
      </c>
      <c r="I351">
        <v>0</v>
      </c>
    </row>
    <row r="352" spans="1:9">
      <c r="A352" s="2">
        <v>3</v>
      </c>
      <c r="B352" s="2">
        <v>116</v>
      </c>
      <c r="C352" s="2">
        <v>0</v>
      </c>
      <c r="D352" s="2">
        <v>0</v>
      </c>
      <c r="E352" s="2">
        <v>0</v>
      </c>
      <c r="F352" s="2">
        <v>23.5</v>
      </c>
      <c r="G352" s="2">
        <v>0.187</v>
      </c>
      <c r="H352" s="2">
        <v>23</v>
      </c>
      <c r="I352">
        <v>0</v>
      </c>
    </row>
    <row r="353" spans="1:9">
      <c r="A353" s="2">
        <v>3</v>
      </c>
      <c r="B353" s="2">
        <v>99</v>
      </c>
      <c r="C353" s="2">
        <v>62</v>
      </c>
      <c r="D353" s="2">
        <v>19</v>
      </c>
      <c r="E353" s="2">
        <v>74</v>
      </c>
      <c r="F353" s="2">
        <v>21.8</v>
      </c>
      <c r="G353" s="2">
        <v>0.279</v>
      </c>
      <c r="H353" s="2">
        <v>26</v>
      </c>
      <c r="I353">
        <v>0</v>
      </c>
    </row>
    <row r="354" spans="1:9">
      <c r="A354" s="2">
        <v>5</v>
      </c>
      <c r="B354" s="2">
        <v>0</v>
      </c>
      <c r="C354" s="2">
        <v>80</v>
      </c>
      <c r="D354" s="2">
        <v>32</v>
      </c>
      <c r="E354" s="2">
        <v>0</v>
      </c>
      <c r="F354" s="2">
        <v>41</v>
      </c>
      <c r="G354" s="2">
        <v>0.346</v>
      </c>
      <c r="H354" s="2">
        <v>37</v>
      </c>
      <c r="I354">
        <v>1</v>
      </c>
    </row>
    <row r="355" spans="1:9">
      <c r="A355" s="2">
        <v>4</v>
      </c>
      <c r="B355" s="2">
        <v>92</v>
      </c>
      <c r="C355" s="2">
        <v>80</v>
      </c>
      <c r="D355" s="2">
        <v>0</v>
      </c>
      <c r="E355" s="2">
        <v>0</v>
      </c>
      <c r="F355" s="2">
        <v>42.2</v>
      </c>
      <c r="G355" s="2">
        <v>0.237</v>
      </c>
      <c r="H355" s="2">
        <v>29</v>
      </c>
      <c r="I355">
        <v>0</v>
      </c>
    </row>
    <row r="356" spans="1:9">
      <c r="A356" s="2">
        <v>4</v>
      </c>
      <c r="B356" s="2">
        <v>137</v>
      </c>
      <c r="C356" s="2">
        <v>84</v>
      </c>
      <c r="D356" s="2">
        <v>0</v>
      </c>
      <c r="E356" s="2">
        <v>0</v>
      </c>
      <c r="F356" s="2">
        <v>31.2</v>
      </c>
      <c r="G356" s="2">
        <v>0.252</v>
      </c>
      <c r="H356" s="2">
        <v>30</v>
      </c>
      <c r="I356">
        <v>0</v>
      </c>
    </row>
    <row r="357" spans="1:9">
      <c r="A357" s="2">
        <v>3</v>
      </c>
      <c r="B357" s="2">
        <v>61</v>
      </c>
      <c r="C357" s="2">
        <v>82</v>
      </c>
      <c r="D357" s="2">
        <v>28</v>
      </c>
      <c r="E357" s="2">
        <v>0</v>
      </c>
      <c r="F357" s="2">
        <v>34.4</v>
      </c>
      <c r="G357" s="2">
        <v>0.243</v>
      </c>
      <c r="H357" s="2">
        <v>46</v>
      </c>
      <c r="I357">
        <v>0</v>
      </c>
    </row>
    <row r="358" spans="1:9">
      <c r="A358" s="2">
        <v>1</v>
      </c>
      <c r="B358" s="2">
        <v>90</v>
      </c>
      <c r="C358" s="2">
        <v>62</v>
      </c>
      <c r="D358" s="2">
        <v>12</v>
      </c>
      <c r="E358" s="2">
        <v>43</v>
      </c>
      <c r="F358" s="2">
        <v>27.2</v>
      </c>
      <c r="G358" s="2">
        <v>0.58</v>
      </c>
      <c r="H358" s="2">
        <v>24</v>
      </c>
      <c r="I358">
        <v>0</v>
      </c>
    </row>
    <row r="359" spans="1:9">
      <c r="A359" s="2">
        <v>3</v>
      </c>
      <c r="B359" s="2">
        <v>90</v>
      </c>
      <c r="C359" s="2">
        <v>78</v>
      </c>
      <c r="D359" s="2">
        <v>0</v>
      </c>
      <c r="E359" s="2">
        <v>0</v>
      </c>
      <c r="F359" s="2">
        <v>42.7</v>
      </c>
      <c r="G359" s="2">
        <v>0.559</v>
      </c>
      <c r="H359" s="2">
        <v>21</v>
      </c>
      <c r="I359">
        <v>0</v>
      </c>
    </row>
    <row r="360" spans="1:9">
      <c r="A360" s="2">
        <v>9</v>
      </c>
      <c r="B360" s="2">
        <v>165</v>
      </c>
      <c r="C360" s="2">
        <v>88</v>
      </c>
      <c r="D360" s="2">
        <v>0</v>
      </c>
      <c r="E360" s="2">
        <v>0</v>
      </c>
      <c r="F360" s="2">
        <v>30.4</v>
      </c>
      <c r="G360" s="2">
        <v>0.302</v>
      </c>
      <c r="H360" s="2">
        <v>49</v>
      </c>
      <c r="I360">
        <v>1</v>
      </c>
    </row>
    <row r="361" spans="1:9">
      <c r="A361" s="2">
        <v>1</v>
      </c>
      <c r="B361" s="2">
        <v>125</v>
      </c>
      <c r="C361" s="2">
        <v>50</v>
      </c>
      <c r="D361" s="2">
        <v>40</v>
      </c>
      <c r="E361" s="2">
        <v>167</v>
      </c>
      <c r="F361" s="2">
        <v>33.3</v>
      </c>
      <c r="G361" s="2">
        <v>0.962</v>
      </c>
      <c r="H361" s="2">
        <v>28</v>
      </c>
      <c r="I361">
        <v>1</v>
      </c>
    </row>
    <row r="362" spans="1:9">
      <c r="A362" s="2">
        <v>13</v>
      </c>
      <c r="B362" s="2">
        <v>129</v>
      </c>
      <c r="C362" s="2">
        <v>0</v>
      </c>
      <c r="D362" s="2">
        <v>30</v>
      </c>
      <c r="E362" s="2">
        <v>0</v>
      </c>
      <c r="F362" s="2">
        <v>39.9</v>
      </c>
      <c r="G362" s="2">
        <v>0.569</v>
      </c>
      <c r="H362" s="2">
        <v>44</v>
      </c>
      <c r="I362">
        <v>1</v>
      </c>
    </row>
    <row r="363" spans="1:9">
      <c r="A363" s="2">
        <v>12</v>
      </c>
      <c r="B363" s="2">
        <v>88</v>
      </c>
      <c r="C363" s="2">
        <v>74</v>
      </c>
      <c r="D363" s="2">
        <v>40</v>
      </c>
      <c r="E363" s="2">
        <v>54</v>
      </c>
      <c r="F363" s="2">
        <v>35.3</v>
      </c>
      <c r="G363" s="2">
        <v>0.378</v>
      </c>
      <c r="H363" s="2">
        <v>48</v>
      </c>
      <c r="I363">
        <v>0</v>
      </c>
    </row>
    <row r="364" spans="1:9">
      <c r="A364" s="2">
        <v>1</v>
      </c>
      <c r="B364" s="2">
        <v>196</v>
      </c>
      <c r="C364" s="2">
        <v>76</v>
      </c>
      <c r="D364" s="2">
        <v>36</v>
      </c>
      <c r="E364" s="2">
        <v>249</v>
      </c>
      <c r="F364" s="2">
        <v>36.5</v>
      </c>
      <c r="G364" s="2">
        <v>0.875</v>
      </c>
      <c r="H364" s="2">
        <v>29</v>
      </c>
      <c r="I364">
        <v>1</v>
      </c>
    </row>
    <row r="365" spans="1:9">
      <c r="A365" s="2">
        <v>5</v>
      </c>
      <c r="B365" s="2">
        <v>189</v>
      </c>
      <c r="C365" s="2">
        <v>64</v>
      </c>
      <c r="D365" s="2">
        <v>33</v>
      </c>
      <c r="E365" s="2">
        <v>325</v>
      </c>
      <c r="F365" s="2">
        <v>31.2</v>
      </c>
      <c r="G365" s="2">
        <v>0.583</v>
      </c>
      <c r="H365" s="2">
        <v>29</v>
      </c>
      <c r="I365">
        <v>1</v>
      </c>
    </row>
    <row r="366" spans="1:9">
      <c r="A366" s="2">
        <v>5</v>
      </c>
      <c r="B366" s="2">
        <v>158</v>
      </c>
      <c r="C366" s="2">
        <v>70</v>
      </c>
      <c r="D366" s="2">
        <v>0</v>
      </c>
      <c r="E366" s="2">
        <v>0</v>
      </c>
      <c r="F366" s="2">
        <v>29.8</v>
      </c>
      <c r="G366" s="2">
        <v>0.207</v>
      </c>
      <c r="H366" s="2">
        <v>63</v>
      </c>
      <c r="I366">
        <v>0</v>
      </c>
    </row>
    <row r="367" spans="1:9">
      <c r="A367" s="2">
        <v>5</v>
      </c>
      <c r="B367" s="2">
        <v>103</v>
      </c>
      <c r="C367" s="2">
        <v>108</v>
      </c>
      <c r="D367" s="2">
        <v>37</v>
      </c>
      <c r="E367" s="2">
        <v>0</v>
      </c>
      <c r="F367" s="2">
        <v>39.2</v>
      </c>
      <c r="G367" s="2">
        <v>0.305</v>
      </c>
      <c r="H367" s="2">
        <v>65</v>
      </c>
      <c r="I367">
        <v>0</v>
      </c>
    </row>
    <row r="368" spans="1:9">
      <c r="A368" s="2">
        <v>4</v>
      </c>
      <c r="B368" s="2">
        <v>146</v>
      </c>
      <c r="C368" s="2">
        <v>78</v>
      </c>
      <c r="D368" s="2">
        <v>0</v>
      </c>
      <c r="E368" s="2">
        <v>0</v>
      </c>
      <c r="F368" s="2">
        <v>38.5</v>
      </c>
      <c r="G368" s="2">
        <v>0.52</v>
      </c>
      <c r="H368" s="2">
        <v>67</v>
      </c>
      <c r="I368">
        <v>1</v>
      </c>
    </row>
    <row r="369" spans="1:9">
      <c r="A369" s="2">
        <v>4</v>
      </c>
      <c r="B369" s="2">
        <v>147</v>
      </c>
      <c r="C369" s="2">
        <v>74</v>
      </c>
      <c r="D369" s="2">
        <v>25</v>
      </c>
      <c r="E369" s="2">
        <v>293</v>
      </c>
      <c r="F369" s="2">
        <v>34.9</v>
      </c>
      <c r="G369" s="2">
        <v>0.385</v>
      </c>
      <c r="H369" s="2">
        <v>30</v>
      </c>
      <c r="I369">
        <v>0</v>
      </c>
    </row>
    <row r="370" spans="1:9">
      <c r="A370" s="2">
        <v>5</v>
      </c>
      <c r="B370" s="2">
        <v>99</v>
      </c>
      <c r="C370" s="2">
        <v>54</v>
      </c>
      <c r="D370" s="2">
        <v>28</v>
      </c>
      <c r="E370" s="2">
        <v>83</v>
      </c>
      <c r="F370" s="2">
        <v>34</v>
      </c>
      <c r="G370" s="2">
        <v>0.499</v>
      </c>
      <c r="H370" s="2">
        <v>30</v>
      </c>
      <c r="I370">
        <v>0</v>
      </c>
    </row>
    <row r="371" spans="1:9">
      <c r="A371" s="2">
        <v>6</v>
      </c>
      <c r="B371" s="2">
        <v>124</v>
      </c>
      <c r="C371" s="2">
        <v>72</v>
      </c>
      <c r="D371" s="2">
        <v>0</v>
      </c>
      <c r="E371" s="2">
        <v>0</v>
      </c>
      <c r="F371" s="2">
        <v>27.6</v>
      </c>
      <c r="G371" s="2">
        <v>0.368</v>
      </c>
      <c r="H371" s="2">
        <v>29</v>
      </c>
      <c r="I371">
        <v>1</v>
      </c>
    </row>
    <row r="372" spans="1:9">
      <c r="A372" s="2">
        <v>0</v>
      </c>
      <c r="B372" s="2">
        <v>101</v>
      </c>
      <c r="C372" s="2">
        <v>64</v>
      </c>
      <c r="D372" s="2">
        <v>17</v>
      </c>
      <c r="E372" s="2">
        <v>0</v>
      </c>
      <c r="F372" s="2">
        <v>21</v>
      </c>
      <c r="G372" s="2">
        <v>0.252</v>
      </c>
      <c r="H372" s="2">
        <v>21</v>
      </c>
      <c r="I372">
        <v>0</v>
      </c>
    </row>
    <row r="373" spans="1:9">
      <c r="A373" s="2">
        <v>3</v>
      </c>
      <c r="B373" s="2">
        <v>81</v>
      </c>
      <c r="C373" s="2">
        <v>86</v>
      </c>
      <c r="D373" s="2">
        <v>16</v>
      </c>
      <c r="E373" s="2">
        <v>66</v>
      </c>
      <c r="F373" s="2">
        <v>27.5</v>
      </c>
      <c r="G373" s="2">
        <v>0.306</v>
      </c>
      <c r="H373" s="2">
        <v>22</v>
      </c>
      <c r="I373">
        <v>0</v>
      </c>
    </row>
    <row r="374" spans="1:9">
      <c r="A374" s="2">
        <v>1</v>
      </c>
      <c r="B374" s="2">
        <v>133</v>
      </c>
      <c r="C374" s="2">
        <v>102</v>
      </c>
      <c r="D374" s="2">
        <v>28</v>
      </c>
      <c r="E374" s="2">
        <v>140</v>
      </c>
      <c r="F374" s="2">
        <v>32.8</v>
      </c>
      <c r="G374" s="2">
        <v>0.234</v>
      </c>
      <c r="H374" s="2">
        <v>45</v>
      </c>
      <c r="I374">
        <v>1</v>
      </c>
    </row>
    <row r="375" spans="1:9">
      <c r="A375" s="2">
        <v>3</v>
      </c>
      <c r="B375" s="2">
        <v>173</v>
      </c>
      <c r="C375" s="2">
        <v>82</v>
      </c>
      <c r="D375" s="2">
        <v>48</v>
      </c>
      <c r="E375" s="2">
        <v>465</v>
      </c>
      <c r="F375" s="2">
        <v>38.4</v>
      </c>
      <c r="G375" s="2">
        <v>2.137</v>
      </c>
      <c r="H375" s="2">
        <v>25</v>
      </c>
      <c r="I375">
        <v>1</v>
      </c>
    </row>
    <row r="376" spans="1:9">
      <c r="A376" s="2">
        <v>0</v>
      </c>
      <c r="B376" s="2">
        <v>118</v>
      </c>
      <c r="C376" s="2">
        <v>64</v>
      </c>
      <c r="D376" s="2">
        <v>23</v>
      </c>
      <c r="E376" s="2">
        <v>89</v>
      </c>
      <c r="F376" s="2">
        <v>0</v>
      </c>
      <c r="G376" s="2">
        <v>1.731</v>
      </c>
      <c r="H376" s="2">
        <v>21</v>
      </c>
      <c r="I376">
        <v>0</v>
      </c>
    </row>
    <row r="377" spans="1:9">
      <c r="A377" s="2">
        <v>0</v>
      </c>
      <c r="B377" s="2">
        <v>84</v>
      </c>
      <c r="C377" s="2">
        <v>64</v>
      </c>
      <c r="D377" s="2">
        <v>22</v>
      </c>
      <c r="E377" s="2">
        <v>66</v>
      </c>
      <c r="F377" s="2">
        <v>35.8</v>
      </c>
      <c r="G377" s="2">
        <v>0.545</v>
      </c>
      <c r="H377" s="2">
        <v>21</v>
      </c>
      <c r="I377">
        <v>0</v>
      </c>
    </row>
    <row r="378" spans="1:9">
      <c r="A378" s="2">
        <v>2</v>
      </c>
      <c r="B378" s="2">
        <v>105</v>
      </c>
      <c r="C378" s="2">
        <v>58</v>
      </c>
      <c r="D378" s="2">
        <v>40</v>
      </c>
      <c r="E378" s="2">
        <v>94</v>
      </c>
      <c r="F378" s="2">
        <v>34.9</v>
      </c>
      <c r="G378" s="2">
        <v>0.225</v>
      </c>
      <c r="H378" s="2">
        <v>25</v>
      </c>
      <c r="I378">
        <v>0</v>
      </c>
    </row>
    <row r="379" spans="1:9">
      <c r="A379" s="2">
        <v>2</v>
      </c>
      <c r="B379" s="2">
        <v>122</v>
      </c>
      <c r="C379" s="2">
        <v>52</v>
      </c>
      <c r="D379" s="2">
        <v>43</v>
      </c>
      <c r="E379" s="2">
        <v>158</v>
      </c>
      <c r="F379" s="2">
        <v>36.2</v>
      </c>
      <c r="G379" s="2">
        <v>0.816</v>
      </c>
      <c r="H379" s="2">
        <v>28</v>
      </c>
      <c r="I379">
        <v>0</v>
      </c>
    </row>
    <row r="380" spans="1:9">
      <c r="A380" s="2">
        <v>12</v>
      </c>
      <c r="B380" s="2">
        <v>140</v>
      </c>
      <c r="C380" s="2">
        <v>82</v>
      </c>
      <c r="D380" s="2">
        <v>43</v>
      </c>
      <c r="E380" s="2">
        <v>325</v>
      </c>
      <c r="F380" s="2">
        <v>39.2</v>
      </c>
      <c r="G380" s="2">
        <v>0.528</v>
      </c>
      <c r="H380" s="2">
        <v>58</v>
      </c>
      <c r="I380">
        <v>1</v>
      </c>
    </row>
    <row r="381" spans="1:9">
      <c r="A381" s="2">
        <v>0</v>
      </c>
      <c r="B381" s="2">
        <v>98</v>
      </c>
      <c r="C381" s="2">
        <v>82</v>
      </c>
      <c r="D381" s="2">
        <v>15</v>
      </c>
      <c r="E381" s="2">
        <v>84</v>
      </c>
      <c r="F381" s="2">
        <v>25.2</v>
      </c>
      <c r="G381" s="2">
        <v>0.299</v>
      </c>
      <c r="H381" s="2">
        <v>22</v>
      </c>
      <c r="I381">
        <v>0</v>
      </c>
    </row>
    <row r="382" spans="1:9">
      <c r="A382" s="2">
        <v>1</v>
      </c>
      <c r="B382" s="2">
        <v>87</v>
      </c>
      <c r="C382" s="2">
        <v>60</v>
      </c>
      <c r="D382" s="2">
        <v>37</v>
      </c>
      <c r="E382" s="2">
        <v>75</v>
      </c>
      <c r="F382" s="2">
        <v>37.2</v>
      </c>
      <c r="G382" s="2">
        <v>0.509</v>
      </c>
      <c r="H382" s="2">
        <v>22</v>
      </c>
      <c r="I382">
        <v>0</v>
      </c>
    </row>
    <row r="383" spans="1:9">
      <c r="A383" s="2">
        <v>4</v>
      </c>
      <c r="B383" s="2">
        <v>156</v>
      </c>
      <c r="C383" s="2">
        <v>75</v>
      </c>
      <c r="D383" s="2">
        <v>0</v>
      </c>
      <c r="E383" s="2">
        <v>0</v>
      </c>
      <c r="F383" s="2">
        <v>48.3</v>
      </c>
      <c r="G383" s="2">
        <v>0.238</v>
      </c>
      <c r="H383" s="2">
        <v>32</v>
      </c>
      <c r="I383">
        <v>1</v>
      </c>
    </row>
    <row r="384" spans="1:9">
      <c r="A384" s="2">
        <v>0</v>
      </c>
      <c r="B384" s="2">
        <v>93</v>
      </c>
      <c r="C384" s="2">
        <v>100</v>
      </c>
      <c r="D384" s="2">
        <v>39</v>
      </c>
      <c r="E384" s="2">
        <v>72</v>
      </c>
      <c r="F384" s="2">
        <v>43.4</v>
      </c>
      <c r="G384" s="2">
        <v>1.021</v>
      </c>
      <c r="H384" s="2">
        <v>35</v>
      </c>
      <c r="I384">
        <v>0</v>
      </c>
    </row>
    <row r="385" spans="1:9">
      <c r="A385" s="2">
        <v>1</v>
      </c>
      <c r="B385" s="2">
        <v>107</v>
      </c>
      <c r="C385" s="2">
        <v>72</v>
      </c>
      <c r="D385" s="2">
        <v>30</v>
      </c>
      <c r="E385" s="2">
        <v>82</v>
      </c>
      <c r="F385" s="2">
        <v>30.8</v>
      </c>
      <c r="G385" s="2">
        <v>0.821</v>
      </c>
      <c r="H385" s="2">
        <v>24</v>
      </c>
      <c r="I385">
        <v>0</v>
      </c>
    </row>
    <row r="386" spans="1:9">
      <c r="A386" s="2">
        <v>0</v>
      </c>
      <c r="B386" s="2">
        <v>105</v>
      </c>
      <c r="C386" s="2">
        <v>68</v>
      </c>
      <c r="D386" s="2">
        <v>22</v>
      </c>
      <c r="E386" s="2">
        <v>0</v>
      </c>
      <c r="F386" s="2">
        <v>20</v>
      </c>
      <c r="G386" s="2">
        <v>0.236</v>
      </c>
      <c r="H386" s="2">
        <v>22</v>
      </c>
      <c r="I386">
        <v>0</v>
      </c>
    </row>
    <row r="387" spans="1:9">
      <c r="A387" s="2">
        <v>1</v>
      </c>
      <c r="B387" s="2">
        <v>109</v>
      </c>
      <c r="C387" s="2">
        <v>60</v>
      </c>
      <c r="D387" s="2">
        <v>8</v>
      </c>
      <c r="E387" s="2">
        <v>182</v>
      </c>
      <c r="F387" s="2">
        <v>25.4</v>
      </c>
      <c r="G387" s="2">
        <v>0.947</v>
      </c>
      <c r="H387" s="2">
        <v>21</v>
      </c>
      <c r="I387">
        <v>0</v>
      </c>
    </row>
    <row r="388" spans="1:9">
      <c r="A388" s="2">
        <v>1</v>
      </c>
      <c r="B388" s="2">
        <v>90</v>
      </c>
      <c r="C388" s="2">
        <v>62</v>
      </c>
      <c r="D388" s="2">
        <v>18</v>
      </c>
      <c r="E388" s="2">
        <v>59</v>
      </c>
      <c r="F388" s="2">
        <v>25.1</v>
      </c>
      <c r="G388" s="2">
        <v>1.268</v>
      </c>
      <c r="H388" s="2">
        <v>25</v>
      </c>
      <c r="I388">
        <v>0</v>
      </c>
    </row>
    <row r="389" spans="1:9">
      <c r="A389" s="2">
        <v>1</v>
      </c>
      <c r="B389" s="2">
        <v>125</v>
      </c>
      <c r="C389" s="2">
        <v>70</v>
      </c>
      <c r="D389" s="2">
        <v>24</v>
      </c>
      <c r="E389" s="2">
        <v>110</v>
      </c>
      <c r="F389" s="2">
        <v>24.3</v>
      </c>
      <c r="G389" s="2">
        <v>0.221</v>
      </c>
      <c r="H389" s="2">
        <v>25</v>
      </c>
      <c r="I389">
        <v>0</v>
      </c>
    </row>
    <row r="390" spans="1:9">
      <c r="A390" s="2">
        <v>1</v>
      </c>
      <c r="B390" s="2">
        <v>119</v>
      </c>
      <c r="C390" s="2">
        <v>54</v>
      </c>
      <c r="D390" s="2">
        <v>13</v>
      </c>
      <c r="E390" s="2">
        <v>50</v>
      </c>
      <c r="F390" s="2">
        <v>22.3</v>
      </c>
      <c r="G390" s="2">
        <v>0.205</v>
      </c>
      <c r="H390" s="2">
        <v>24</v>
      </c>
      <c r="I390">
        <v>0</v>
      </c>
    </row>
    <row r="391" spans="1:9">
      <c r="A391" s="2">
        <v>5</v>
      </c>
      <c r="B391" s="2">
        <v>116</v>
      </c>
      <c r="C391" s="2">
        <v>74</v>
      </c>
      <c r="D391" s="2">
        <v>29</v>
      </c>
      <c r="E391" s="2">
        <v>0</v>
      </c>
      <c r="F391" s="2">
        <v>32.3</v>
      </c>
      <c r="G391" s="2">
        <v>0.66</v>
      </c>
      <c r="H391" s="2">
        <v>35</v>
      </c>
      <c r="I391">
        <v>1</v>
      </c>
    </row>
    <row r="392" spans="1:9">
      <c r="A392" s="2">
        <v>8</v>
      </c>
      <c r="B392" s="2">
        <v>105</v>
      </c>
      <c r="C392" s="2">
        <v>100</v>
      </c>
      <c r="D392" s="2">
        <v>36</v>
      </c>
      <c r="E392" s="2">
        <v>0</v>
      </c>
      <c r="F392" s="2">
        <v>43.3</v>
      </c>
      <c r="G392" s="2">
        <v>0.239</v>
      </c>
      <c r="H392" s="2">
        <v>45</v>
      </c>
      <c r="I392">
        <v>1</v>
      </c>
    </row>
    <row r="393" spans="1:9">
      <c r="A393" s="2">
        <v>5</v>
      </c>
      <c r="B393" s="2">
        <v>144</v>
      </c>
      <c r="C393" s="2">
        <v>82</v>
      </c>
      <c r="D393" s="2">
        <v>26</v>
      </c>
      <c r="E393" s="2">
        <v>285</v>
      </c>
      <c r="F393" s="2">
        <v>32</v>
      </c>
      <c r="G393" s="2">
        <v>0.452</v>
      </c>
      <c r="H393" s="2">
        <v>58</v>
      </c>
      <c r="I393">
        <v>1</v>
      </c>
    </row>
    <row r="394" spans="1:9">
      <c r="A394" s="2">
        <v>3</v>
      </c>
      <c r="B394" s="2">
        <v>100</v>
      </c>
      <c r="C394" s="2">
        <v>68</v>
      </c>
      <c r="D394" s="2">
        <v>23</v>
      </c>
      <c r="E394" s="2">
        <v>81</v>
      </c>
      <c r="F394" s="2">
        <v>31.6</v>
      </c>
      <c r="G394" s="2">
        <v>0.949</v>
      </c>
      <c r="H394" s="2">
        <v>28</v>
      </c>
      <c r="I394">
        <v>0</v>
      </c>
    </row>
    <row r="395" spans="1:9">
      <c r="A395" s="2">
        <v>1</v>
      </c>
      <c r="B395" s="2">
        <v>100</v>
      </c>
      <c r="C395" s="2">
        <v>66</v>
      </c>
      <c r="D395" s="2">
        <v>29</v>
      </c>
      <c r="E395" s="2">
        <v>196</v>
      </c>
      <c r="F395" s="2">
        <v>32</v>
      </c>
      <c r="G395" s="2">
        <v>0.444</v>
      </c>
      <c r="H395" s="2">
        <v>42</v>
      </c>
      <c r="I395">
        <v>0</v>
      </c>
    </row>
    <row r="396" spans="1:9">
      <c r="A396" s="2">
        <v>5</v>
      </c>
      <c r="B396" s="2">
        <v>166</v>
      </c>
      <c r="C396" s="2">
        <v>76</v>
      </c>
      <c r="D396" s="2">
        <v>0</v>
      </c>
      <c r="E396" s="2">
        <v>0</v>
      </c>
      <c r="F396" s="2">
        <v>45.7</v>
      </c>
      <c r="G396" s="2">
        <v>0.34</v>
      </c>
      <c r="H396" s="2">
        <v>27</v>
      </c>
      <c r="I396">
        <v>1</v>
      </c>
    </row>
    <row r="397" spans="1:9">
      <c r="A397" s="2">
        <v>1</v>
      </c>
      <c r="B397" s="2">
        <v>131</v>
      </c>
      <c r="C397" s="2">
        <v>64</v>
      </c>
      <c r="D397" s="2">
        <v>14</v>
      </c>
      <c r="E397" s="2">
        <v>415</v>
      </c>
      <c r="F397" s="2">
        <v>23.7</v>
      </c>
      <c r="G397" s="2">
        <v>0.389</v>
      </c>
      <c r="H397" s="2">
        <v>21</v>
      </c>
      <c r="I397">
        <v>0</v>
      </c>
    </row>
    <row r="398" spans="1:9">
      <c r="A398" s="2">
        <v>4</v>
      </c>
      <c r="B398" s="2">
        <v>116</v>
      </c>
      <c r="C398" s="2">
        <v>72</v>
      </c>
      <c r="D398" s="2">
        <v>12</v>
      </c>
      <c r="E398" s="2">
        <v>87</v>
      </c>
      <c r="F398" s="2">
        <v>22.1</v>
      </c>
      <c r="G398" s="2">
        <v>0.463</v>
      </c>
      <c r="H398" s="2">
        <v>37</v>
      </c>
      <c r="I398">
        <v>0</v>
      </c>
    </row>
    <row r="399" spans="1:9">
      <c r="A399" s="2">
        <v>4</v>
      </c>
      <c r="B399" s="2">
        <v>158</v>
      </c>
      <c r="C399" s="2">
        <v>78</v>
      </c>
      <c r="D399" s="2">
        <v>0</v>
      </c>
      <c r="E399" s="2">
        <v>0</v>
      </c>
      <c r="F399" s="2">
        <v>32.9</v>
      </c>
      <c r="G399" s="2">
        <v>0.803</v>
      </c>
      <c r="H399" s="2">
        <v>31</v>
      </c>
      <c r="I399">
        <v>1</v>
      </c>
    </row>
    <row r="400" spans="1:9">
      <c r="A400" s="2">
        <v>2</v>
      </c>
      <c r="B400" s="2">
        <v>127</v>
      </c>
      <c r="C400" s="2">
        <v>58</v>
      </c>
      <c r="D400" s="2">
        <v>24</v>
      </c>
      <c r="E400" s="2">
        <v>275</v>
      </c>
      <c r="F400" s="2">
        <v>27.7</v>
      </c>
      <c r="G400" s="2">
        <v>1.6</v>
      </c>
      <c r="H400" s="2">
        <v>25</v>
      </c>
      <c r="I400">
        <v>0</v>
      </c>
    </row>
    <row r="401" spans="1:9">
      <c r="A401" s="2">
        <v>3</v>
      </c>
      <c r="B401" s="2">
        <v>96</v>
      </c>
      <c r="C401" s="2">
        <v>56</v>
      </c>
      <c r="D401" s="2">
        <v>34</v>
      </c>
      <c r="E401" s="2">
        <v>115</v>
      </c>
      <c r="F401" s="2">
        <v>24.7</v>
      </c>
      <c r="G401" s="2">
        <v>0.944</v>
      </c>
      <c r="H401" s="2">
        <v>39</v>
      </c>
      <c r="I401">
        <v>0</v>
      </c>
    </row>
    <row r="402" spans="1:9">
      <c r="A402" s="2">
        <v>0</v>
      </c>
      <c r="B402" s="2">
        <v>131</v>
      </c>
      <c r="C402" s="2">
        <v>66</v>
      </c>
      <c r="D402" s="2">
        <v>40</v>
      </c>
      <c r="E402" s="2">
        <v>0</v>
      </c>
      <c r="F402" s="2">
        <v>34.3</v>
      </c>
      <c r="G402" s="2">
        <v>0.196</v>
      </c>
      <c r="H402" s="2">
        <v>22</v>
      </c>
      <c r="I402">
        <v>1</v>
      </c>
    </row>
    <row r="403" spans="1:9">
      <c r="A403" s="2">
        <v>3</v>
      </c>
      <c r="B403" s="2">
        <v>82</v>
      </c>
      <c r="C403" s="2">
        <v>70</v>
      </c>
      <c r="D403" s="2">
        <v>0</v>
      </c>
      <c r="E403" s="2">
        <v>0</v>
      </c>
      <c r="F403" s="2">
        <v>21.1</v>
      </c>
      <c r="G403" s="2">
        <v>0.389</v>
      </c>
      <c r="H403" s="2">
        <v>25</v>
      </c>
      <c r="I403">
        <v>0</v>
      </c>
    </row>
    <row r="404" spans="1:9">
      <c r="A404" s="2">
        <v>3</v>
      </c>
      <c r="B404" s="2">
        <v>193</v>
      </c>
      <c r="C404" s="2">
        <v>70</v>
      </c>
      <c r="D404" s="2">
        <v>31</v>
      </c>
      <c r="E404" s="2">
        <v>0</v>
      </c>
      <c r="F404" s="2">
        <v>34.9</v>
      </c>
      <c r="G404" s="2">
        <v>0.241</v>
      </c>
      <c r="H404" s="2">
        <v>25</v>
      </c>
      <c r="I404">
        <v>1</v>
      </c>
    </row>
    <row r="405" spans="1:9">
      <c r="A405" s="2">
        <v>4</v>
      </c>
      <c r="B405" s="2">
        <v>95</v>
      </c>
      <c r="C405" s="2">
        <v>64</v>
      </c>
      <c r="D405" s="2">
        <v>0</v>
      </c>
      <c r="E405" s="2">
        <v>0</v>
      </c>
      <c r="F405" s="2">
        <v>32</v>
      </c>
      <c r="G405" s="2">
        <v>0.161</v>
      </c>
      <c r="H405" s="2">
        <v>31</v>
      </c>
      <c r="I405">
        <v>1</v>
      </c>
    </row>
    <row r="406" spans="1:9">
      <c r="A406" s="2">
        <v>6</v>
      </c>
      <c r="B406" s="2">
        <v>137</v>
      </c>
      <c r="C406" s="2">
        <v>61</v>
      </c>
      <c r="D406" s="2">
        <v>0</v>
      </c>
      <c r="E406" s="2">
        <v>0</v>
      </c>
      <c r="F406" s="2">
        <v>24.2</v>
      </c>
      <c r="G406" s="2">
        <v>0.151</v>
      </c>
      <c r="H406" s="2">
        <v>55</v>
      </c>
      <c r="I406">
        <v>0</v>
      </c>
    </row>
    <row r="407" spans="1:9">
      <c r="A407" s="2">
        <v>5</v>
      </c>
      <c r="B407" s="2">
        <v>136</v>
      </c>
      <c r="C407" s="2">
        <v>84</v>
      </c>
      <c r="D407" s="2">
        <v>41</v>
      </c>
      <c r="E407" s="2">
        <v>88</v>
      </c>
      <c r="F407" s="2">
        <v>35</v>
      </c>
      <c r="G407" s="2">
        <v>0.286</v>
      </c>
      <c r="H407" s="2">
        <v>35</v>
      </c>
      <c r="I407">
        <v>1</v>
      </c>
    </row>
    <row r="408" spans="1:9">
      <c r="A408" s="2">
        <v>9</v>
      </c>
      <c r="B408" s="2">
        <v>72</v>
      </c>
      <c r="C408" s="2">
        <v>78</v>
      </c>
      <c r="D408" s="2">
        <v>25</v>
      </c>
      <c r="E408" s="2">
        <v>0</v>
      </c>
      <c r="F408" s="2">
        <v>31.6</v>
      </c>
      <c r="G408" s="2">
        <v>0.28</v>
      </c>
      <c r="H408" s="2">
        <v>38</v>
      </c>
      <c r="I408">
        <v>0</v>
      </c>
    </row>
    <row r="409" spans="1:9">
      <c r="A409" s="2">
        <v>5</v>
      </c>
      <c r="B409" s="2">
        <v>168</v>
      </c>
      <c r="C409" s="2">
        <v>64</v>
      </c>
      <c r="D409" s="2">
        <v>0</v>
      </c>
      <c r="E409" s="2">
        <v>0</v>
      </c>
      <c r="F409" s="2">
        <v>32.9</v>
      </c>
      <c r="G409" s="2">
        <v>0.135</v>
      </c>
      <c r="H409" s="2">
        <v>41</v>
      </c>
      <c r="I409">
        <v>1</v>
      </c>
    </row>
    <row r="410" spans="1:9">
      <c r="A410" s="2">
        <v>2</v>
      </c>
      <c r="B410" s="2">
        <v>123</v>
      </c>
      <c r="C410" s="2">
        <v>48</v>
      </c>
      <c r="D410" s="2">
        <v>32</v>
      </c>
      <c r="E410" s="2">
        <v>165</v>
      </c>
      <c r="F410" s="2">
        <v>42.1</v>
      </c>
      <c r="G410" s="2">
        <v>0.52</v>
      </c>
      <c r="H410" s="2">
        <v>26</v>
      </c>
      <c r="I410">
        <v>0</v>
      </c>
    </row>
    <row r="411" spans="1:9">
      <c r="A411" s="2">
        <v>4</v>
      </c>
      <c r="B411" s="2">
        <v>115</v>
      </c>
      <c r="C411" s="2">
        <v>72</v>
      </c>
      <c r="D411" s="2">
        <v>0</v>
      </c>
      <c r="E411" s="2">
        <v>0</v>
      </c>
      <c r="F411" s="2">
        <v>28.9</v>
      </c>
      <c r="G411" s="2">
        <v>0.376</v>
      </c>
      <c r="H411" s="2">
        <v>46</v>
      </c>
      <c r="I411">
        <v>1</v>
      </c>
    </row>
    <row r="412" spans="1:9">
      <c r="A412" s="2">
        <v>0</v>
      </c>
      <c r="B412" s="2">
        <v>101</v>
      </c>
      <c r="C412" s="2">
        <v>62</v>
      </c>
      <c r="D412" s="2">
        <v>0</v>
      </c>
      <c r="E412" s="2">
        <v>0</v>
      </c>
      <c r="F412" s="2">
        <v>21.9</v>
      </c>
      <c r="G412" s="2">
        <v>0.336</v>
      </c>
      <c r="H412" s="2">
        <v>25</v>
      </c>
      <c r="I412">
        <v>0</v>
      </c>
    </row>
    <row r="413" spans="1:9">
      <c r="A413" s="2">
        <v>8</v>
      </c>
      <c r="B413" s="2">
        <v>197</v>
      </c>
      <c r="C413" s="2">
        <v>74</v>
      </c>
      <c r="D413" s="2">
        <v>0</v>
      </c>
      <c r="E413" s="2">
        <v>0</v>
      </c>
      <c r="F413" s="2">
        <v>25.9</v>
      </c>
      <c r="G413" s="2">
        <v>1.191</v>
      </c>
      <c r="H413" s="2">
        <v>39</v>
      </c>
      <c r="I413">
        <v>1</v>
      </c>
    </row>
    <row r="414" spans="1:9">
      <c r="A414" s="2">
        <v>1</v>
      </c>
      <c r="B414" s="2">
        <v>172</v>
      </c>
      <c r="C414" s="2">
        <v>68</v>
      </c>
      <c r="D414" s="2">
        <v>49</v>
      </c>
      <c r="E414" s="2">
        <v>579</v>
      </c>
      <c r="F414" s="2">
        <v>42.4</v>
      </c>
      <c r="G414" s="2">
        <v>0.702</v>
      </c>
      <c r="H414" s="2">
        <v>28</v>
      </c>
      <c r="I414">
        <v>1</v>
      </c>
    </row>
    <row r="415" spans="1:9">
      <c r="A415" s="2">
        <v>6</v>
      </c>
      <c r="B415" s="2">
        <v>102</v>
      </c>
      <c r="C415" s="2">
        <v>90</v>
      </c>
      <c r="D415" s="2">
        <v>39</v>
      </c>
      <c r="E415" s="2">
        <v>0</v>
      </c>
      <c r="F415" s="2">
        <v>35.7</v>
      </c>
      <c r="G415" s="2">
        <v>0.674</v>
      </c>
      <c r="H415" s="2">
        <v>28</v>
      </c>
      <c r="I415">
        <v>0</v>
      </c>
    </row>
    <row r="416" spans="1:9">
      <c r="A416" s="2">
        <v>1</v>
      </c>
      <c r="B416" s="2">
        <v>112</v>
      </c>
      <c r="C416" s="2">
        <v>72</v>
      </c>
      <c r="D416" s="2">
        <v>30</v>
      </c>
      <c r="E416" s="2">
        <v>176</v>
      </c>
      <c r="F416" s="2">
        <v>34.4</v>
      </c>
      <c r="G416" s="2">
        <v>0.528</v>
      </c>
      <c r="H416" s="2">
        <v>25</v>
      </c>
      <c r="I416">
        <v>0</v>
      </c>
    </row>
    <row r="417" spans="1:9">
      <c r="A417" s="2">
        <v>1</v>
      </c>
      <c r="B417" s="2">
        <v>143</v>
      </c>
      <c r="C417" s="2">
        <v>84</v>
      </c>
      <c r="D417" s="2">
        <v>23</v>
      </c>
      <c r="E417" s="2">
        <v>310</v>
      </c>
      <c r="F417" s="2">
        <v>42.4</v>
      </c>
      <c r="G417" s="2">
        <v>1.076</v>
      </c>
      <c r="H417" s="2">
        <v>22</v>
      </c>
      <c r="I417">
        <v>0</v>
      </c>
    </row>
    <row r="418" spans="1:9">
      <c r="A418" s="2">
        <v>1</v>
      </c>
      <c r="B418" s="2">
        <v>143</v>
      </c>
      <c r="C418" s="2">
        <v>74</v>
      </c>
      <c r="D418" s="2">
        <v>22</v>
      </c>
      <c r="E418" s="2">
        <v>61</v>
      </c>
      <c r="F418" s="2">
        <v>26.2</v>
      </c>
      <c r="G418" s="2">
        <v>0.256</v>
      </c>
      <c r="H418" s="2">
        <v>21</v>
      </c>
      <c r="I418">
        <v>0</v>
      </c>
    </row>
    <row r="419" spans="1:9">
      <c r="A419" s="2">
        <v>0</v>
      </c>
      <c r="B419" s="2">
        <v>138</v>
      </c>
      <c r="C419" s="2">
        <v>60</v>
      </c>
      <c r="D419" s="2">
        <v>35</v>
      </c>
      <c r="E419" s="2">
        <v>167</v>
      </c>
      <c r="F419" s="2">
        <v>34.6</v>
      </c>
      <c r="G419" s="2">
        <v>0.534</v>
      </c>
      <c r="H419" s="2">
        <v>21</v>
      </c>
      <c r="I419">
        <v>1</v>
      </c>
    </row>
    <row r="420" spans="1:9">
      <c r="A420" s="2">
        <v>3</v>
      </c>
      <c r="B420" s="2">
        <v>173</v>
      </c>
      <c r="C420" s="2">
        <v>84</v>
      </c>
      <c r="D420" s="2">
        <v>33</v>
      </c>
      <c r="E420" s="2">
        <v>474</v>
      </c>
      <c r="F420" s="2">
        <v>35.7</v>
      </c>
      <c r="G420" s="2">
        <v>0.258</v>
      </c>
      <c r="H420" s="2">
        <v>22</v>
      </c>
      <c r="I420">
        <v>1</v>
      </c>
    </row>
    <row r="421" spans="1:9">
      <c r="A421" s="2">
        <v>1</v>
      </c>
      <c r="B421" s="2">
        <v>97</v>
      </c>
      <c r="C421" s="2">
        <v>68</v>
      </c>
      <c r="D421" s="2">
        <v>21</v>
      </c>
      <c r="E421" s="2">
        <v>0</v>
      </c>
      <c r="F421" s="2">
        <v>27.2</v>
      </c>
      <c r="G421" s="2">
        <v>1.095</v>
      </c>
      <c r="H421" s="2">
        <v>22</v>
      </c>
      <c r="I421">
        <v>0</v>
      </c>
    </row>
    <row r="422" spans="1:9">
      <c r="A422" s="2">
        <v>4</v>
      </c>
      <c r="B422" s="2">
        <v>144</v>
      </c>
      <c r="C422" s="2">
        <v>82</v>
      </c>
      <c r="D422" s="2">
        <v>32</v>
      </c>
      <c r="E422" s="2">
        <v>0</v>
      </c>
      <c r="F422" s="2">
        <v>38.5</v>
      </c>
      <c r="G422" s="2">
        <v>0.554</v>
      </c>
      <c r="H422" s="2">
        <v>37</v>
      </c>
      <c r="I422">
        <v>1</v>
      </c>
    </row>
    <row r="423" spans="1:9">
      <c r="A423" s="2">
        <v>1</v>
      </c>
      <c r="B423" s="2">
        <v>83</v>
      </c>
      <c r="C423" s="2">
        <v>68</v>
      </c>
      <c r="D423" s="2">
        <v>0</v>
      </c>
      <c r="E423" s="2">
        <v>0</v>
      </c>
      <c r="F423" s="2">
        <v>18.2</v>
      </c>
      <c r="G423" s="2">
        <v>0.624</v>
      </c>
      <c r="H423" s="2">
        <v>27</v>
      </c>
      <c r="I423">
        <v>0</v>
      </c>
    </row>
    <row r="424" spans="1:9">
      <c r="A424" s="2">
        <v>3</v>
      </c>
      <c r="B424" s="2">
        <v>129</v>
      </c>
      <c r="C424" s="2">
        <v>64</v>
      </c>
      <c r="D424" s="2">
        <v>29</v>
      </c>
      <c r="E424" s="2">
        <v>115</v>
      </c>
      <c r="F424" s="2">
        <v>26.4</v>
      </c>
      <c r="G424" s="2">
        <v>0.219</v>
      </c>
      <c r="H424" s="2">
        <v>28</v>
      </c>
      <c r="I424">
        <v>1</v>
      </c>
    </row>
    <row r="425" spans="1:9">
      <c r="A425" s="2">
        <v>1</v>
      </c>
      <c r="B425" s="2">
        <v>119</v>
      </c>
      <c r="C425" s="2">
        <v>88</v>
      </c>
      <c r="D425" s="2">
        <v>41</v>
      </c>
      <c r="E425" s="2">
        <v>170</v>
      </c>
      <c r="F425" s="2">
        <v>45.3</v>
      </c>
      <c r="G425" s="2">
        <v>0.507</v>
      </c>
      <c r="H425" s="2">
        <v>26</v>
      </c>
      <c r="I425">
        <v>0</v>
      </c>
    </row>
    <row r="426" spans="1:9">
      <c r="A426" s="2">
        <v>2</v>
      </c>
      <c r="B426" s="2">
        <v>94</v>
      </c>
      <c r="C426" s="2">
        <v>68</v>
      </c>
      <c r="D426" s="2">
        <v>18</v>
      </c>
      <c r="E426" s="2">
        <v>76</v>
      </c>
      <c r="F426" s="2">
        <v>26</v>
      </c>
      <c r="G426" s="2">
        <v>0.561</v>
      </c>
      <c r="H426" s="2">
        <v>21</v>
      </c>
      <c r="I426">
        <v>0</v>
      </c>
    </row>
    <row r="427" spans="1:9">
      <c r="A427" s="2">
        <v>0</v>
      </c>
      <c r="B427" s="2">
        <v>102</v>
      </c>
      <c r="C427" s="2">
        <v>64</v>
      </c>
      <c r="D427" s="2">
        <v>46</v>
      </c>
      <c r="E427" s="2">
        <v>78</v>
      </c>
      <c r="F427" s="2">
        <v>40.6</v>
      </c>
      <c r="G427" s="2">
        <v>0.496</v>
      </c>
      <c r="H427" s="2">
        <v>21</v>
      </c>
      <c r="I427">
        <v>0</v>
      </c>
    </row>
    <row r="428" spans="1:9">
      <c r="A428" s="2">
        <v>2</v>
      </c>
      <c r="B428" s="2">
        <v>115</v>
      </c>
      <c r="C428" s="2">
        <v>64</v>
      </c>
      <c r="D428" s="2">
        <v>22</v>
      </c>
      <c r="E428" s="2">
        <v>0</v>
      </c>
      <c r="F428" s="2">
        <v>30.8</v>
      </c>
      <c r="G428" s="2">
        <v>0.421</v>
      </c>
      <c r="H428" s="2">
        <v>21</v>
      </c>
      <c r="I428">
        <v>0</v>
      </c>
    </row>
    <row r="429" spans="1:9">
      <c r="A429" s="2">
        <v>8</v>
      </c>
      <c r="B429" s="2">
        <v>151</v>
      </c>
      <c r="C429" s="2">
        <v>78</v>
      </c>
      <c r="D429" s="2">
        <v>32</v>
      </c>
      <c r="E429" s="2">
        <v>210</v>
      </c>
      <c r="F429" s="2">
        <v>42.9</v>
      </c>
      <c r="G429" s="2">
        <v>0.516</v>
      </c>
      <c r="H429" s="2">
        <v>36</v>
      </c>
      <c r="I429">
        <v>1</v>
      </c>
    </row>
    <row r="430" spans="1:9">
      <c r="A430" s="2">
        <v>4</v>
      </c>
      <c r="B430" s="2">
        <v>184</v>
      </c>
      <c r="C430" s="2">
        <v>78</v>
      </c>
      <c r="D430" s="2">
        <v>39</v>
      </c>
      <c r="E430" s="2">
        <v>277</v>
      </c>
      <c r="F430" s="2">
        <v>37</v>
      </c>
      <c r="G430" s="2">
        <v>0.264</v>
      </c>
      <c r="H430" s="2">
        <v>31</v>
      </c>
      <c r="I430">
        <v>1</v>
      </c>
    </row>
    <row r="431" spans="1:9">
      <c r="A431" s="2">
        <v>0</v>
      </c>
      <c r="B431" s="2">
        <v>94</v>
      </c>
      <c r="C431" s="2">
        <v>0</v>
      </c>
      <c r="D431" s="2">
        <v>0</v>
      </c>
      <c r="E431" s="2">
        <v>0</v>
      </c>
      <c r="F431" s="2">
        <v>0</v>
      </c>
      <c r="G431" s="2">
        <v>0.256</v>
      </c>
      <c r="H431" s="2">
        <v>25</v>
      </c>
      <c r="I431">
        <v>0</v>
      </c>
    </row>
    <row r="432" spans="1:9">
      <c r="A432" s="2">
        <v>1</v>
      </c>
      <c r="B432" s="2">
        <v>181</v>
      </c>
      <c r="C432" s="2">
        <v>64</v>
      </c>
      <c r="D432" s="2">
        <v>30</v>
      </c>
      <c r="E432" s="2">
        <v>180</v>
      </c>
      <c r="F432" s="2">
        <v>34.1</v>
      </c>
      <c r="G432" s="2">
        <v>0.328</v>
      </c>
      <c r="H432" s="2">
        <v>38</v>
      </c>
      <c r="I432">
        <v>1</v>
      </c>
    </row>
    <row r="433" spans="1:9">
      <c r="A433" s="2">
        <v>0</v>
      </c>
      <c r="B433" s="2">
        <v>135</v>
      </c>
      <c r="C433" s="2">
        <v>94</v>
      </c>
      <c r="D433" s="2">
        <v>46</v>
      </c>
      <c r="E433" s="2">
        <v>145</v>
      </c>
      <c r="F433" s="2">
        <v>40.6</v>
      </c>
      <c r="G433" s="2">
        <v>0.284</v>
      </c>
      <c r="H433" s="2">
        <v>26</v>
      </c>
      <c r="I433">
        <v>0</v>
      </c>
    </row>
    <row r="434" spans="1:9">
      <c r="A434" s="2">
        <v>1</v>
      </c>
      <c r="B434" s="2">
        <v>95</v>
      </c>
      <c r="C434" s="2">
        <v>82</v>
      </c>
      <c r="D434" s="2">
        <v>25</v>
      </c>
      <c r="E434" s="2">
        <v>180</v>
      </c>
      <c r="F434" s="2">
        <v>35</v>
      </c>
      <c r="G434" s="2">
        <v>0.233</v>
      </c>
      <c r="H434" s="2">
        <v>43</v>
      </c>
      <c r="I434">
        <v>1</v>
      </c>
    </row>
    <row r="435" spans="1:9">
      <c r="A435" s="2">
        <v>2</v>
      </c>
      <c r="B435" s="2">
        <v>99</v>
      </c>
      <c r="C435" s="2">
        <v>0</v>
      </c>
      <c r="D435" s="2">
        <v>0</v>
      </c>
      <c r="E435" s="2">
        <v>0</v>
      </c>
      <c r="F435" s="2">
        <v>22.2</v>
      </c>
      <c r="G435" s="2">
        <v>0.108</v>
      </c>
      <c r="H435" s="2">
        <v>23</v>
      </c>
      <c r="I435">
        <v>0</v>
      </c>
    </row>
    <row r="436" spans="1:9">
      <c r="A436" s="2">
        <v>3</v>
      </c>
      <c r="B436" s="2">
        <v>89</v>
      </c>
      <c r="C436" s="2">
        <v>74</v>
      </c>
      <c r="D436" s="2">
        <v>16</v>
      </c>
      <c r="E436" s="2">
        <v>85</v>
      </c>
      <c r="F436" s="2">
        <v>30.4</v>
      </c>
      <c r="G436" s="2">
        <v>0.551</v>
      </c>
      <c r="H436" s="2">
        <v>38</v>
      </c>
      <c r="I436">
        <v>0</v>
      </c>
    </row>
    <row r="437" spans="1:9">
      <c r="A437" s="2">
        <v>1</v>
      </c>
      <c r="B437" s="2">
        <v>80</v>
      </c>
      <c r="C437" s="2">
        <v>74</v>
      </c>
      <c r="D437" s="2">
        <v>11</v>
      </c>
      <c r="E437" s="2">
        <v>60</v>
      </c>
      <c r="F437" s="2">
        <v>30</v>
      </c>
      <c r="G437" s="2">
        <v>0.527</v>
      </c>
      <c r="H437" s="2">
        <v>22</v>
      </c>
      <c r="I437">
        <v>0</v>
      </c>
    </row>
    <row r="438" spans="1:9">
      <c r="A438" s="2">
        <v>2</v>
      </c>
      <c r="B438" s="2">
        <v>139</v>
      </c>
      <c r="C438" s="2">
        <v>75</v>
      </c>
      <c r="D438" s="2">
        <v>0</v>
      </c>
      <c r="E438" s="2">
        <v>0</v>
      </c>
      <c r="F438" s="2">
        <v>25.6</v>
      </c>
      <c r="G438" s="2">
        <v>0.167</v>
      </c>
      <c r="H438" s="2">
        <v>29</v>
      </c>
      <c r="I438">
        <v>0</v>
      </c>
    </row>
    <row r="439" spans="1:9">
      <c r="A439" s="2">
        <v>1</v>
      </c>
      <c r="B439" s="2">
        <v>90</v>
      </c>
      <c r="C439" s="2">
        <v>68</v>
      </c>
      <c r="D439" s="2">
        <v>8</v>
      </c>
      <c r="E439" s="2">
        <v>0</v>
      </c>
      <c r="F439" s="2">
        <v>24.5</v>
      </c>
      <c r="G439" s="2">
        <v>1.138</v>
      </c>
      <c r="H439" s="2">
        <v>36</v>
      </c>
      <c r="I439">
        <v>0</v>
      </c>
    </row>
    <row r="440" spans="1:9">
      <c r="A440" s="2">
        <v>0</v>
      </c>
      <c r="B440" s="2">
        <v>141</v>
      </c>
      <c r="C440" s="2">
        <v>0</v>
      </c>
      <c r="D440" s="2">
        <v>0</v>
      </c>
      <c r="E440" s="2">
        <v>0</v>
      </c>
      <c r="F440" s="2">
        <v>42.4</v>
      </c>
      <c r="G440" s="2">
        <v>0.205</v>
      </c>
      <c r="H440" s="2">
        <v>29</v>
      </c>
      <c r="I440">
        <v>1</v>
      </c>
    </row>
    <row r="441" spans="1:9">
      <c r="A441" s="2">
        <v>12</v>
      </c>
      <c r="B441" s="2">
        <v>140</v>
      </c>
      <c r="C441" s="2">
        <v>85</v>
      </c>
      <c r="D441" s="2">
        <v>33</v>
      </c>
      <c r="E441" s="2">
        <v>0</v>
      </c>
      <c r="F441" s="2">
        <v>37.4</v>
      </c>
      <c r="G441" s="2">
        <v>0.244</v>
      </c>
      <c r="H441" s="2">
        <v>41</v>
      </c>
      <c r="I441">
        <v>0</v>
      </c>
    </row>
    <row r="442" spans="1:9">
      <c r="A442" s="2">
        <v>5</v>
      </c>
      <c r="B442" s="2">
        <v>147</v>
      </c>
      <c r="C442" s="2">
        <v>75</v>
      </c>
      <c r="D442" s="2">
        <v>0</v>
      </c>
      <c r="E442" s="2">
        <v>0</v>
      </c>
      <c r="F442" s="2">
        <v>29.9</v>
      </c>
      <c r="G442" s="2">
        <v>0.434</v>
      </c>
      <c r="H442" s="2">
        <v>28</v>
      </c>
      <c r="I442">
        <v>0</v>
      </c>
    </row>
    <row r="443" spans="1:9">
      <c r="A443" s="2">
        <v>1</v>
      </c>
      <c r="B443" s="2">
        <v>97</v>
      </c>
      <c r="C443" s="2">
        <v>70</v>
      </c>
      <c r="D443" s="2">
        <v>15</v>
      </c>
      <c r="E443" s="2">
        <v>0</v>
      </c>
      <c r="F443" s="2">
        <v>18.2</v>
      </c>
      <c r="G443" s="2">
        <v>0.147</v>
      </c>
      <c r="H443" s="2">
        <v>21</v>
      </c>
      <c r="I443">
        <v>0</v>
      </c>
    </row>
    <row r="444" spans="1:9">
      <c r="A444" s="2">
        <v>6</v>
      </c>
      <c r="B444" s="2">
        <v>107</v>
      </c>
      <c r="C444" s="2">
        <v>88</v>
      </c>
      <c r="D444" s="2">
        <v>0</v>
      </c>
      <c r="E444" s="2">
        <v>0</v>
      </c>
      <c r="F444" s="2">
        <v>36.8</v>
      </c>
      <c r="G444" s="2">
        <v>0.727</v>
      </c>
      <c r="H444" s="2">
        <v>31</v>
      </c>
      <c r="I444">
        <v>0</v>
      </c>
    </row>
    <row r="445" spans="1:9">
      <c r="A445" s="2">
        <v>0</v>
      </c>
      <c r="B445" s="2">
        <v>189</v>
      </c>
      <c r="C445" s="2">
        <v>104</v>
      </c>
      <c r="D445" s="2">
        <v>25</v>
      </c>
      <c r="E445" s="2">
        <v>0</v>
      </c>
      <c r="F445" s="2">
        <v>34.3</v>
      </c>
      <c r="G445" s="2">
        <v>0.435</v>
      </c>
      <c r="H445" s="2">
        <v>41</v>
      </c>
      <c r="I445">
        <v>1</v>
      </c>
    </row>
    <row r="446" spans="1:9">
      <c r="A446" s="2">
        <v>2</v>
      </c>
      <c r="B446" s="2">
        <v>83</v>
      </c>
      <c r="C446" s="2">
        <v>66</v>
      </c>
      <c r="D446" s="2">
        <v>23</v>
      </c>
      <c r="E446" s="2">
        <v>50</v>
      </c>
      <c r="F446" s="2">
        <v>32.2</v>
      </c>
      <c r="G446" s="2">
        <v>0.497</v>
      </c>
      <c r="H446" s="2">
        <v>22</v>
      </c>
      <c r="I446">
        <v>0</v>
      </c>
    </row>
    <row r="447" spans="1:9">
      <c r="A447" s="2">
        <v>4</v>
      </c>
      <c r="B447" s="2">
        <v>117</v>
      </c>
      <c r="C447" s="2">
        <v>64</v>
      </c>
      <c r="D447" s="2">
        <v>27</v>
      </c>
      <c r="E447" s="2">
        <v>120</v>
      </c>
      <c r="F447" s="2">
        <v>33.2</v>
      </c>
      <c r="G447" s="2">
        <v>0.23</v>
      </c>
      <c r="H447" s="2">
        <v>24</v>
      </c>
      <c r="I447">
        <v>0</v>
      </c>
    </row>
    <row r="448" spans="1:9">
      <c r="A448" s="2">
        <v>8</v>
      </c>
      <c r="B448" s="2">
        <v>108</v>
      </c>
      <c r="C448" s="2">
        <v>70</v>
      </c>
      <c r="D448" s="2">
        <v>0</v>
      </c>
      <c r="E448" s="2">
        <v>0</v>
      </c>
      <c r="F448" s="2">
        <v>30.5</v>
      </c>
      <c r="G448" s="2">
        <v>0.955</v>
      </c>
      <c r="H448" s="2">
        <v>33</v>
      </c>
      <c r="I448">
        <v>1</v>
      </c>
    </row>
    <row r="449" spans="1:9">
      <c r="A449" s="2">
        <v>4</v>
      </c>
      <c r="B449" s="2">
        <v>117</v>
      </c>
      <c r="C449" s="2">
        <v>62</v>
      </c>
      <c r="D449" s="2">
        <v>12</v>
      </c>
      <c r="E449" s="2">
        <v>0</v>
      </c>
      <c r="F449" s="2">
        <v>29.7</v>
      </c>
      <c r="G449" s="2">
        <v>0.38</v>
      </c>
      <c r="H449" s="2">
        <v>30</v>
      </c>
      <c r="I449">
        <v>1</v>
      </c>
    </row>
    <row r="450" spans="1:9">
      <c r="A450" s="2">
        <v>0</v>
      </c>
      <c r="B450" s="2">
        <v>180</v>
      </c>
      <c r="C450" s="2">
        <v>78</v>
      </c>
      <c r="D450" s="2">
        <v>63</v>
      </c>
      <c r="E450" s="2">
        <v>14</v>
      </c>
      <c r="F450" s="2">
        <v>59.4</v>
      </c>
      <c r="G450" s="2">
        <v>2.42</v>
      </c>
      <c r="H450" s="2">
        <v>25</v>
      </c>
      <c r="I450">
        <v>1</v>
      </c>
    </row>
    <row r="451" spans="1:9">
      <c r="A451" s="2">
        <v>1</v>
      </c>
      <c r="B451" s="2">
        <v>100</v>
      </c>
      <c r="C451" s="2">
        <v>72</v>
      </c>
      <c r="D451" s="2">
        <v>12</v>
      </c>
      <c r="E451" s="2">
        <v>70</v>
      </c>
      <c r="F451" s="2">
        <v>25.3</v>
      </c>
      <c r="G451" s="2">
        <v>0.658</v>
      </c>
      <c r="H451" s="2">
        <v>28</v>
      </c>
      <c r="I451">
        <v>0</v>
      </c>
    </row>
    <row r="452" spans="1:9">
      <c r="A452" s="2">
        <v>0</v>
      </c>
      <c r="B452" s="2">
        <v>95</v>
      </c>
      <c r="C452" s="2">
        <v>80</v>
      </c>
      <c r="D452" s="2">
        <v>45</v>
      </c>
      <c r="E452" s="2">
        <v>92</v>
      </c>
      <c r="F452" s="2">
        <v>36.5</v>
      </c>
      <c r="G452" s="2">
        <v>0.33</v>
      </c>
      <c r="H452" s="2">
        <v>26</v>
      </c>
      <c r="I452">
        <v>0</v>
      </c>
    </row>
    <row r="453" spans="1:9">
      <c r="A453" s="2">
        <v>0</v>
      </c>
      <c r="B453" s="2">
        <v>104</v>
      </c>
      <c r="C453" s="2">
        <v>64</v>
      </c>
      <c r="D453" s="2">
        <v>37</v>
      </c>
      <c r="E453" s="2">
        <v>64</v>
      </c>
      <c r="F453" s="2">
        <v>33.6</v>
      </c>
      <c r="G453" s="2">
        <v>0.51</v>
      </c>
      <c r="H453" s="2">
        <v>22</v>
      </c>
      <c r="I453">
        <v>1</v>
      </c>
    </row>
    <row r="454" spans="1:9">
      <c r="A454" s="2">
        <v>0</v>
      </c>
      <c r="B454" s="2">
        <v>120</v>
      </c>
      <c r="C454" s="2">
        <v>74</v>
      </c>
      <c r="D454" s="2">
        <v>18</v>
      </c>
      <c r="E454" s="2">
        <v>63</v>
      </c>
      <c r="F454" s="2">
        <v>30.5</v>
      </c>
      <c r="G454" s="2">
        <v>0.285</v>
      </c>
      <c r="H454" s="2">
        <v>26</v>
      </c>
      <c r="I454">
        <v>0</v>
      </c>
    </row>
    <row r="455" spans="1:9">
      <c r="A455" s="2">
        <v>1</v>
      </c>
      <c r="B455" s="2">
        <v>82</v>
      </c>
      <c r="C455" s="2">
        <v>64</v>
      </c>
      <c r="D455" s="2">
        <v>13</v>
      </c>
      <c r="E455" s="2">
        <v>95</v>
      </c>
      <c r="F455" s="2">
        <v>21.2</v>
      </c>
      <c r="G455" s="2">
        <v>0.415</v>
      </c>
      <c r="H455" s="2">
        <v>23</v>
      </c>
      <c r="I455">
        <v>0</v>
      </c>
    </row>
    <row r="456" spans="1:9">
      <c r="A456" s="2">
        <v>2</v>
      </c>
      <c r="B456" s="2">
        <v>134</v>
      </c>
      <c r="C456" s="2">
        <v>70</v>
      </c>
      <c r="D456" s="2">
        <v>0</v>
      </c>
      <c r="E456" s="2">
        <v>0</v>
      </c>
      <c r="F456" s="2">
        <v>28.9</v>
      </c>
      <c r="G456" s="2">
        <v>0.542</v>
      </c>
      <c r="H456" s="2">
        <v>23</v>
      </c>
      <c r="I456">
        <v>1</v>
      </c>
    </row>
    <row r="457" spans="1:9">
      <c r="A457" s="2">
        <v>0</v>
      </c>
      <c r="B457" s="2">
        <v>91</v>
      </c>
      <c r="C457" s="2">
        <v>68</v>
      </c>
      <c r="D457" s="2">
        <v>32</v>
      </c>
      <c r="E457" s="2">
        <v>210</v>
      </c>
      <c r="F457" s="2">
        <v>39.9</v>
      </c>
      <c r="G457" s="2">
        <v>0.381</v>
      </c>
      <c r="H457" s="2">
        <v>25</v>
      </c>
      <c r="I457">
        <v>0</v>
      </c>
    </row>
    <row r="458" spans="1:9">
      <c r="A458" s="2">
        <v>2</v>
      </c>
      <c r="B458" s="2">
        <v>119</v>
      </c>
      <c r="C458" s="2">
        <v>0</v>
      </c>
      <c r="D458" s="2">
        <v>0</v>
      </c>
      <c r="E458" s="2">
        <v>0</v>
      </c>
      <c r="F458" s="2">
        <v>19.6</v>
      </c>
      <c r="G458" s="2">
        <v>0.832</v>
      </c>
      <c r="H458" s="2">
        <v>72</v>
      </c>
      <c r="I458">
        <v>0</v>
      </c>
    </row>
    <row r="459" spans="1:9">
      <c r="A459" s="2">
        <v>2</v>
      </c>
      <c r="B459" s="2">
        <v>100</v>
      </c>
      <c r="C459" s="2">
        <v>54</v>
      </c>
      <c r="D459" s="2">
        <v>28</v>
      </c>
      <c r="E459" s="2">
        <v>105</v>
      </c>
      <c r="F459" s="2">
        <v>37.8</v>
      </c>
      <c r="G459" s="2">
        <v>0.498</v>
      </c>
      <c r="H459" s="2">
        <v>24</v>
      </c>
      <c r="I459">
        <v>0</v>
      </c>
    </row>
    <row r="460" spans="1:9">
      <c r="A460" s="2">
        <v>14</v>
      </c>
      <c r="B460" s="2">
        <v>175</v>
      </c>
      <c r="C460" s="2">
        <v>62</v>
      </c>
      <c r="D460" s="2">
        <v>30</v>
      </c>
      <c r="E460" s="2">
        <v>0</v>
      </c>
      <c r="F460" s="2">
        <v>33.6</v>
      </c>
      <c r="G460" s="2">
        <v>0.212</v>
      </c>
      <c r="H460" s="2">
        <v>38</v>
      </c>
      <c r="I460">
        <v>1</v>
      </c>
    </row>
    <row r="461" spans="1:9">
      <c r="A461" s="2">
        <v>1</v>
      </c>
      <c r="B461" s="2">
        <v>135</v>
      </c>
      <c r="C461" s="2">
        <v>54</v>
      </c>
      <c r="D461" s="2">
        <v>0</v>
      </c>
      <c r="E461" s="2">
        <v>0</v>
      </c>
      <c r="F461" s="2">
        <v>26.7</v>
      </c>
      <c r="G461" s="2">
        <v>0.687</v>
      </c>
      <c r="H461" s="2">
        <v>62</v>
      </c>
      <c r="I461">
        <v>0</v>
      </c>
    </row>
    <row r="462" spans="1:9">
      <c r="A462" s="2">
        <v>5</v>
      </c>
      <c r="B462" s="2">
        <v>86</v>
      </c>
      <c r="C462" s="2">
        <v>68</v>
      </c>
      <c r="D462" s="2">
        <v>28</v>
      </c>
      <c r="E462" s="2">
        <v>71</v>
      </c>
      <c r="F462" s="2">
        <v>30.2</v>
      </c>
      <c r="G462" s="2">
        <v>0.364</v>
      </c>
      <c r="H462" s="2">
        <v>24</v>
      </c>
      <c r="I462">
        <v>0</v>
      </c>
    </row>
    <row r="463" spans="1:9">
      <c r="A463" s="2">
        <v>10</v>
      </c>
      <c r="B463" s="2">
        <v>148</v>
      </c>
      <c r="C463" s="2">
        <v>84</v>
      </c>
      <c r="D463" s="2">
        <v>48</v>
      </c>
      <c r="E463" s="2">
        <v>237</v>
      </c>
      <c r="F463" s="2">
        <v>37.6</v>
      </c>
      <c r="G463" s="2">
        <v>1.001</v>
      </c>
      <c r="H463" s="2">
        <v>51</v>
      </c>
      <c r="I463">
        <v>1</v>
      </c>
    </row>
    <row r="464" spans="1:9">
      <c r="A464" s="2">
        <v>9</v>
      </c>
      <c r="B464" s="2">
        <v>134</v>
      </c>
      <c r="C464" s="2">
        <v>74</v>
      </c>
      <c r="D464" s="2">
        <v>33</v>
      </c>
      <c r="E464" s="2">
        <v>60</v>
      </c>
      <c r="F464" s="2">
        <v>25.9</v>
      </c>
      <c r="G464" s="2">
        <v>0.46</v>
      </c>
      <c r="H464" s="2">
        <v>81</v>
      </c>
      <c r="I464">
        <v>0</v>
      </c>
    </row>
    <row r="465" spans="1:9">
      <c r="A465" s="2">
        <v>9</v>
      </c>
      <c r="B465" s="2">
        <v>120</v>
      </c>
      <c r="C465" s="2">
        <v>72</v>
      </c>
      <c r="D465" s="2">
        <v>22</v>
      </c>
      <c r="E465" s="2">
        <v>56</v>
      </c>
      <c r="F465" s="2">
        <v>20.8</v>
      </c>
      <c r="G465" s="2">
        <v>0.733</v>
      </c>
      <c r="H465" s="2">
        <v>48</v>
      </c>
      <c r="I465">
        <v>0</v>
      </c>
    </row>
    <row r="466" spans="1:9">
      <c r="A466" s="2">
        <v>1</v>
      </c>
      <c r="B466" s="2">
        <v>71</v>
      </c>
      <c r="C466" s="2">
        <v>62</v>
      </c>
      <c r="D466" s="2">
        <v>0</v>
      </c>
      <c r="E466" s="2">
        <v>0</v>
      </c>
      <c r="F466" s="2">
        <v>21.8</v>
      </c>
      <c r="G466" s="2">
        <v>0.416</v>
      </c>
      <c r="H466" s="2">
        <v>26</v>
      </c>
      <c r="I466">
        <v>0</v>
      </c>
    </row>
    <row r="467" spans="1:9">
      <c r="A467" s="2">
        <v>8</v>
      </c>
      <c r="B467" s="2">
        <v>74</v>
      </c>
      <c r="C467" s="2">
        <v>70</v>
      </c>
      <c r="D467" s="2">
        <v>40</v>
      </c>
      <c r="E467" s="2">
        <v>49</v>
      </c>
      <c r="F467" s="2">
        <v>35.3</v>
      </c>
      <c r="G467" s="2">
        <v>0.705</v>
      </c>
      <c r="H467" s="2">
        <v>39</v>
      </c>
      <c r="I467">
        <v>0</v>
      </c>
    </row>
    <row r="468" spans="1:9">
      <c r="A468" s="2">
        <v>5</v>
      </c>
      <c r="B468" s="2">
        <v>88</v>
      </c>
      <c r="C468" s="2">
        <v>78</v>
      </c>
      <c r="D468" s="2">
        <v>30</v>
      </c>
      <c r="E468" s="2">
        <v>0</v>
      </c>
      <c r="F468" s="2">
        <v>27.6</v>
      </c>
      <c r="G468" s="2">
        <v>0.258</v>
      </c>
      <c r="H468" s="2">
        <v>37</v>
      </c>
      <c r="I468">
        <v>0</v>
      </c>
    </row>
    <row r="469" spans="1:9">
      <c r="A469" s="2">
        <v>10</v>
      </c>
      <c r="B469" s="2">
        <v>115</v>
      </c>
      <c r="C469" s="2">
        <v>98</v>
      </c>
      <c r="D469" s="2">
        <v>0</v>
      </c>
      <c r="E469" s="2">
        <v>0</v>
      </c>
      <c r="F469" s="2">
        <v>24</v>
      </c>
      <c r="G469" s="2">
        <v>1.022</v>
      </c>
      <c r="H469" s="2">
        <v>34</v>
      </c>
      <c r="I469">
        <v>0</v>
      </c>
    </row>
    <row r="470" spans="1:9">
      <c r="A470" s="2">
        <v>0</v>
      </c>
      <c r="B470" s="2">
        <v>124</v>
      </c>
      <c r="C470" s="2">
        <v>56</v>
      </c>
      <c r="D470" s="2">
        <v>13</v>
      </c>
      <c r="E470" s="2">
        <v>105</v>
      </c>
      <c r="F470" s="2">
        <v>21.8</v>
      </c>
      <c r="G470" s="2">
        <v>0.452</v>
      </c>
      <c r="H470" s="2">
        <v>21</v>
      </c>
      <c r="I470">
        <v>0</v>
      </c>
    </row>
    <row r="471" spans="1:9">
      <c r="A471" s="2">
        <v>0</v>
      </c>
      <c r="B471" s="2">
        <v>74</v>
      </c>
      <c r="C471" s="2">
        <v>52</v>
      </c>
      <c r="D471" s="2">
        <v>10</v>
      </c>
      <c r="E471" s="2">
        <v>36</v>
      </c>
      <c r="F471" s="2">
        <v>27.8</v>
      </c>
      <c r="G471" s="2">
        <v>0.269</v>
      </c>
      <c r="H471" s="2">
        <v>22</v>
      </c>
      <c r="I471">
        <v>0</v>
      </c>
    </row>
    <row r="472" spans="1:9">
      <c r="A472" s="2">
        <v>0</v>
      </c>
      <c r="B472" s="2">
        <v>97</v>
      </c>
      <c r="C472" s="2">
        <v>64</v>
      </c>
      <c r="D472" s="2">
        <v>36</v>
      </c>
      <c r="E472" s="2">
        <v>100</v>
      </c>
      <c r="F472" s="2">
        <v>36.8</v>
      </c>
      <c r="G472" s="2">
        <v>0.6</v>
      </c>
      <c r="H472" s="2">
        <v>25</v>
      </c>
      <c r="I472">
        <v>0</v>
      </c>
    </row>
    <row r="473" spans="1:9">
      <c r="A473" s="2">
        <v>8</v>
      </c>
      <c r="B473" s="2">
        <v>120</v>
      </c>
      <c r="C473" s="2">
        <v>0</v>
      </c>
      <c r="D473" s="2">
        <v>0</v>
      </c>
      <c r="E473" s="2">
        <v>0</v>
      </c>
      <c r="F473" s="2">
        <v>30</v>
      </c>
      <c r="G473" s="2">
        <v>0.183</v>
      </c>
      <c r="H473" s="2">
        <v>38</v>
      </c>
      <c r="I473">
        <v>1</v>
      </c>
    </row>
    <row r="474" spans="1:9">
      <c r="A474" s="2">
        <v>6</v>
      </c>
      <c r="B474" s="2">
        <v>154</v>
      </c>
      <c r="C474" s="2">
        <v>78</v>
      </c>
      <c r="D474" s="2">
        <v>41</v>
      </c>
      <c r="E474" s="2">
        <v>140</v>
      </c>
      <c r="F474" s="2">
        <v>46.1</v>
      </c>
      <c r="G474" s="2">
        <v>0.571</v>
      </c>
      <c r="H474" s="2">
        <v>27</v>
      </c>
      <c r="I474">
        <v>0</v>
      </c>
    </row>
    <row r="475" spans="1:9">
      <c r="A475" s="2">
        <v>1</v>
      </c>
      <c r="B475" s="2">
        <v>144</v>
      </c>
      <c r="C475" s="2">
        <v>82</v>
      </c>
      <c r="D475" s="2">
        <v>40</v>
      </c>
      <c r="E475" s="2">
        <v>0</v>
      </c>
      <c r="F475" s="2">
        <v>41.3</v>
      </c>
      <c r="G475" s="2">
        <v>0.607</v>
      </c>
      <c r="H475" s="2">
        <v>28</v>
      </c>
      <c r="I475">
        <v>0</v>
      </c>
    </row>
    <row r="476" spans="1:9">
      <c r="A476" s="2">
        <v>0</v>
      </c>
      <c r="B476" s="2">
        <v>137</v>
      </c>
      <c r="C476" s="2">
        <v>70</v>
      </c>
      <c r="D476" s="2">
        <v>38</v>
      </c>
      <c r="E476" s="2">
        <v>0</v>
      </c>
      <c r="F476" s="2">
        <v>33.2</v>
      </c>
      <c r="G476" s="2">
        <v>0.17</v>
      </c>
      <c r="H476" s="2">
        <v>22</v>
      </c>
      <c r="I476">
        <v>0</v>
      </c>
    </row>
    <row r="477" spans="1:9">
      <c r="A477" s="2">
        <v>0</v>
      </c>
      <c r="B477" s="2">
        <v>119</v>
      </c>
      <c r="C477" s="2">
        <v>66</v>
      </c>
      <c r="D477" s="2">
        <v>27</v>
      </c>
      <c r="E477" s="2">
        <v>0</v>
      </c>
      <c r="F477" s="2">
        <v>38.8</v>
      </c>
      <c r="G477" s="2">
        <v>0.259</v>
      </c>
      <c r="H477" s="2">
        <v>22</v>
      </c>
      <c r="I477">
        <v>0</v>
      </c>
    </row>
    <row r="478" spans="1:9">
      <c r="A478" s="2">
        <v>7</v>
      </c>
      <c r="B478" s="2">
        <v>136</v>
      </c>
      <c r="C478" s="2">
        <v>90</v>
      </c>
      <c r="D478" s="2">
        <v>0</v>
      </c>
      <c r="E478" s="2">
        <v>0</v>
      </c>
      <c r="F478" s="2">
        <v>29.9</v>
      </c>
      <c r="G478" s="2">
        <v>0.21</v>
      </c>
      <c r="H478" s="2">
        <v>50</v>
      </c>
      <c r="I478">
        <v>0</v>
      </c>
    </row>
    <row r="479" spans="1:9">
      <c r="A479" s="2">
        <v>4</v>
      </c>
      <c r="B479" s="2">
        <v>114</v>
      </c>
      <c r="C479" s="2">
        <v>64</v>
      </c>
      <c r="D479" s="2">
        <v>0</v>
      </c>
      <c r="E479" s="2">
        <v>0</v>
      </c>
      <c r="F479" s="2">
        <v>28.9</v>
      </c>
      <c r="G479" s="2">
        <v>0.126</v>
      </c>
      <c r="H479" s="2">
        <v>24</v>
      </c>
      <c r="I479">
        <v>0</v>
      </c>
    </row>
    <row r="480" spans="1:9">
      <c r="A480" s="2">
        <v>0</v>
      </c>
      <c r="B480" s="2">
        <v>137</v>
      </c>
      <c r="C480" s="2">
        <v>84</v>
      </c>
      <c r="D480" s="2">
        <v>27</v>
      </c>
      <c r="E480" s="2">
        <v>0</v>
      </c>
      <c r="F480" s="2">
        <v>27.3</v>
      </c>
      <c r="G480" s="2">
        <v>0.231</v>
      </c>
      <c r="H480" s="2">
        <v>59</v>
      </c>
      <c r="I480">
        <v>0</v>
      </c>
    </row>
    <row r="481" spans="1:9">
      <c r="A481" s="2">
        <v>2</v>
      </c>
      <c r="B481" s="2">
        <v>105</v>
      </c>
      <c r="C481" s="2">
        <v>80</v>
      </c>
      <c r="D481" s="2">
        <v>45</v>
      </c>
      <c r="E481" s="2">
        <v>191</v>
      </c>
      <c r="F481" s="2">
        <v>33.7</v>
      </c>
      <c r="G481" s="2">
        <v>0.711</v>
      </c>
      <c r="H481" s="2">
        <v>29</v>
      </c>
      <c r="I481">
        <v>1</v>
      </c>
    </row>
    <row r="482" spans="1:9">
      <c r="A482" s="2">
        <v>7</v>
      </c>
      <c r="B482" s="2">
        <v>114</v>
      </c>
      <c r="C482" s="2">
        <v>76</v>
      </c>
      <c r="D482" s="2">
        <v>17</v>
      </c>
      <c r="E482" s="2">
        <v>110</v>
      </c>
      <c r="F482" s="2">
        <v>23.8</v>
      </c>
      <c r="G482" s="2">
        <v>0.466</v>
      </c>
      <c r="H482" s="2">
        <v>31</v>
      </c>
      <c r="I482">
        <v>0</v>
      </c>
    </row>
    <row r="483" spans="1:9">
      <c r="A483" s="2">
        <v>8</v>
      </c>
      <c r="B483" s="2">
        <v>126</v>
      </c>
      <c r="C483" s="2">
        <v>74</v>
      </c>
      <c r="D483" s="2">
        <v>38</v>
      </c>
      <c r="E483" s="2">
        <v>75</v>
      </c>
      <c r="F483" s="2">
        <v>25.9</v>
      </c>
      <c r="G483" s="2">
        <v>0.162</v>
      </c>
      <c r="H483" s="2">
        <v>39</v>
      </c>
      <c r="I483">
        <v>0</v>
      </c>
    </row>
    <row r="484" spans="1:9">
      <c r="A484" s="2">
        <v>4</v>
      </c>
      <c r="B484" s="2">
        <v>132</v>
      </c>
      <c r="C484" s="2">
        <v>86</v>
      </c>
      <c r="D484" s="2">
        <v>31</v>
      </c>
      <c r="E484" s="2">
        <v>0</v>
      </c>
      <c r="F484" s="2">
        <v>28</v>
      </c>
      <c r="G484" s="2">
        <v>0.419</v>
      </c>
      <c r="H484" s="2">
        <v>63</v>
      </c>
      <c r="I484">
        <v>0</v>
      </c>
    </row>
    <row r="485" spans="1:9">
      <c r="A485" s="2">
        <v>3</v>
      </c>
      <c r="B485" s="2">
        <v>158</v>
      </c>
      <c r="C485" s="2">
        <v>70</v>
      </c>
      <c r="D485" s="2">
        <v>30</v>
      </c>
      <c r="E485" s="2">
        <v>328</v>
      </c>
      <c r="F485" s="2">
        <v>35.5</v>
      </c>
      <c r="G485" s="2">
        <v>0.344</v>
      </c>
      <c r="H485" s="2">
        <v>35</v>
      </c>
      <c r="I485">
        <v>1</v>
      </c>
    </row>
    <row r="486" spans="1:9">
      <c r="A486" s="2">
        <v>0</v>
      </c>
      <c r="B486" s="2">
        <v>123</v>
      </c>
      <c r="C486" s="2">
        <v>88</v>
      </c>
      <c r="D486" s="2">
        <v>37</v>
      </c>
      <c r="E486" s="2">
        <v>0</v>
      </c>
      <c r="F486" s="2">
        <v>35.2</v>
      </c>
      <c r="G486" s="2">
        <v>0.197</v>
      </c>
      <c r="H486" s="2">
        <v>29</v>
      </c>
      <c r="I486">
        <v>0</v>
      </c>
    </row>
    <row r="487" spans="1:9">
      <c r="A487" s="2">
        <v>4</v>
      </c>
      <c r="B487" s="2">
        <v>85</v>
      </c>
      <c r="C487" s="2">
        <v>58</v>
      </c>
      <c r="D487" s="2">
        <v>22</v>
      </c>
      <c r="E487" s="2">
        <v>49</v>
      </c>
      <c r="F487" s="2">
        <v>27.8</v>
      </c>
      <c r="G487" s="2">
        <v>0.306</v>
      </c>
      <c r="H487" s="2">
        <v>28</v>
      </c>
      <c r="I487">
        <v>0</v>
      </c>
    </row>
    <row r="488" spans="1:9">
      <c r="A488" s="2">
        <v>0</v>
      </c>
      <c r="B488" s="2">
        <v>84</v>
      </c>
      <c r="C488" s="2">
        <v>82</v>
      </c>
      <c r="D488" s="2">
        <v>31</v>
      </c>
      <c r="E488" s="2">
        <v>125</v>
      </c>
      <c r="F488" s="2">
        <v>38.2</v>
      </c>
      <c r="G488" s="2">
        <v>0.233</v>
      </c>
      <c r="H488" s="2">
        <v>23</v>
      </c>
      <c r="I488">
        <v>0</v>
      </c>
    </row>
    <row r="489" spans="1:9">
      <c r="A489" s="2">
        <v>0</v>
      </c>
      <c r="B489" s="2">
        <v>145</v>
      </c>
      <c r="C489" s="2">
        <v>0</v>
      </c>
      <c r="D489" s="2">
        <v>0</v>
      </c>
      <c r="E489" s="2">
        <v>0</v>
      </c>
      <c r="F489" s="2">
        <v>44.2</v>
      </c>
      <c r="G489" s="2">
        <v>0.63</v>
      </c>
      <c r="H489" s="2">
        <v>31</v>
      </c>
      <c r="I489">
        <v>1</v>
      </c>
    </row>
    <row r="490" spans="1:9">
      <c r="A490" s="2">
        <v>0</v>
      </c>
      <c r="B490" s="2">
        <v>135</v>
      </c>
      <c r="C490" s="2">
        <v>68</v>
      </c>
      <c r="D490" s="2">
        <v>42</v>
      </c>
      <c r="E490" s="2">
        <v>250</v>
      </c>
      <c r="F490" s="2">
        <v>42.3</v>
      </c>
      <c r="G490" s="2">
        <v>0.365</v>
      </c>
      <c r="H490" s="2">
        <v>24</v>
      </c>
      <c r="I490">
        <v>1</v>
      </c>
    </row>
    <row r="491" spans="1:9">
      <c r="A491" s="2">
        <v>1</v>
      </c>
      <c r="B491" s="2">
        <v>139</v>
      </c>
      <c r="C491" s="2">
        <v>62</v>
      </c>
      <c r="D491" s="2">
        <v>41</v>
      </c>
      <c r="E491" s="2">
        <v>480</v>
      </c>
      <c r="F491" s="2">
        <v>40.7</v>
      </c>
      <c r="G491" s="2">
        <v>0.536</v>
      </c>
      <c r="H491" s="2">
        <v>21</v>
      </c>
      <c r="I491">
        <v>0</v>
      </c>
    </row>
    <row r="492" spans="1:9">
      <c r="A492" s="2">
        <v>0</v>
      </c>
      <c r="B492" s="2">
        <v>173</v>
      </c>
      <c r="C492" s="2">
        <v>78</v>
      </c>
      <c r="D492" s="2">
        <v>32</v>
      </c>
      <c r="E492" s="2">
        <v>265</v>
      </c>
      <c r="F492" s="2">
        <v>46.5</v>
      </c>
      <c r="G492" s="2">
        <v>1.159</v>
      </c>
      <c r="H492" s="2">
        <v>58</v>
      </c>
      <c r="I492">
        <v>0</v>
      </c>
    </row>
    <row r="493" spans="1:9">
      <c r="A493" s="2">
        <v>4</v>
      </c>
      <c r="B493" s="2">
        <v>99</v>
      </c>
      <c r="C493" s="2">
        <v>72</v>
      </c>
      <c r="D493" s="2">
        <v>17</v>
      </c>
      <c r="E493" s="2">
        <v>0</v>
      </c>
      <c r="F493" s="2">
        <v>25.6</v>
      </c>
      <c r="G493" s="2">
        <v>0.294</v>
      </c>
      <c r="H493" s="2">
        <v>28</v>
      </c>
      <c r="I493">
        <v>0</v>
      </c>
    </row>
    <row r="494" spans="1:9">
      <c r="A494" s="2">
        <v>8</v>
      </c>
      <c r="B494" s="2">
        <v>194</v>
      </c>
      <c r="C494" s="2">
        <v>80</v>
      </c>
      <c r="D494" s="2">
        <v>0</v>
      </c>
      <c r="E494" s="2">
        <v>0</v>
      </c>
      <c r="F494" s="2">
        <v>26.1</v>
      </c>
      <c r="G494" s="2">
        <v>0.551</v>
      </c>
      <c r="H494" s="2">
        <v>67</v>
      </c>
      <c r="I494">
        <v>0</v>
      </c>
    </row>
    <row r="495" spans="1:9">
      <c r="A495" s="2">
        <v>2</v>
      </c>
      <c r="B495" s="2">
        <v>83</v>
      </c>
      <c r="C495" s="2">
        <v>65</v>
      </c>
      <c r="D495" s="2">
        <v>28</v>
      </c>
      <c r="E495" s="2">
        <v>66</v>
      </c>
      <c r="F495" s="2">
        <v>36.8</v>
      </c>
      <c r="G495" s="2">
        <v>0.629</v>
      </c>
      <c r="H495" s="2">
        <v>24</v>
      </c>
      <c r="I495">
        <v>0</v>
      </c>
    </row>
    <row r="496" spans="1:9">
      <c r="A496" s="2">
        <v>2</v>
      </c>
      <c r="B496" s="2">
        <v>89</v>
      </c>
      <c r="C496" s="2">
        <v>90</v>
      </c>
      <c r="D496" s="2">
        <v>30</v>
      </c>
      <c r="E496" s="2">
        <v>0</v>
      </c>
      <c r="F496" s="2">
        <v>33.5</v>
      </c>
      <c r="G496" s="2">
        <v>0.292</v>
      </c>
      <c r="H496" s="2">
        <v>42</v>
      </c>
      <c r="I496">
        <v>0</v>
      </c>
    </row>
    <row r="497" spans="1:9">
      <c r="A497" s="2">
        <v>4</v>
      </c>
      <c r="B497" s="2">
        <v>99</v>
      </c>
      <c r="C497" s="2">
        <v>68</v>
      </c>
      <c r="D497" s="2">
        <v>38</v>
      </c>
      <c r="E497" s="2">
        <v>0</v>
      </c>
      <c r="F497" s="2">
        <v>32.8</v>
      </c>
      <c r="G497" s="2">
        <v>0.145</v>
      </c>
      <c r="H497" s="2">
        <v>33</v>
      </c>
      <c r="I497">
        <v>0</v>
      </c>
    </row>
    <row r="498" spans="1:9">
      <c r="A498" s="2">
        <v>4</v>
      </c>
      <c r="B498" s="2">
        <v>125</v>
      </c>
      <c r="C498" s="2">
        <v>70</v>
      </c>
      <c r="D498" s="2">
        <v>18</v>
      </c>
      <c r="E498" s="2">
        <v>122</v>
      </c>
      <c r="F498" s="2">
        <v>28.9</v>
      </c>
      <c r="G498" s="2">
        <v>1.144</v>
      </c>
      <c r="H498" s="2">
        <v>45</v>
      </c>
      <c r="I498">
        <v>1</v>
      </c>
    </row>
    <row r="499" spans="1:9">
      <c r="A499" s="2">
        <v>3</v>
      </c>
      <c r="B499" s="2">
        <v>80</v>
      </c>
      <c r="C499" s="2">
        <v>0</v>
      </c>
      <c r="D499" s="2">
        <v>0</v>
      </c>
      <c r="E499" s="2">
        <v>0</v>
      </c>
      <c r="F499" s="2">
        <v>0</v>
      </c>
      <c r="G499" s="2">
        <v>0.174</v>
      </c>
      <c r="H499" s="2">
        <v>22</v>
      </c>
      <c r="I499">
        <v>0</v>
      </c>
    </row>
    <row r="500" spans="1:9">
      <c r="A500" s="2">
        <v>6</v>
      </c>
      <c r="B500" s="2">
        <v>166</v>
      </c>
      <c r="C500" s="2">
        <v>74</v>
      </c>
      <c r="D500" s="2">
        <v>0</v>
      </c>
      <c r="E500" s="2">
        <v>0</v>
      </c>
      <c r="F500" s="2">
        <v>26.6</v>
      </c>
      <c r="G500" s="2">
        <v>0.304</v>
      </c>
      <c r="H500" s="2">
        <v>66</v>
      </c>
      <c r="I500">
        <v>0</v>
      </c>
    </row>
    <row r="501" spans="1:9">
      <c r="A501" s="2">
        <v>5</v>
      </c>
      <c r="B501" s="2">
        <v>110</v>
      </c>
      <c r="C501" s="2">
        <v>68</v>
      </c>
      <c r="D501" s="2">
        <v>0</v>
      </c>
      <c r="E501" s="2">
        <v>0</v>
      </c>
      <c r="F501" s="2">
        <v>26</v>
      </c>
      <c r="G501" s="2">
        <v>0.292</v>
      </c>
      <c r="H501" s="2">
        <v>30</v>
      </c>
      <c r="I501">
        <v>0</v>
      </c>
    </row>
    <row r="502" spans="1:9">
      <c r="A502" s="2">
        <v>2</v>
      </c>
      <c r="B502" s="2">
        <v>81</v>
      </c>
      <c r="C502" s="2">
        <v>72</v>
      </c>
      <c r="D502" s="2">
        <v>15</v>
      </c>
      <c r="E502" s="2">
        <v>76</v>
      </c>
      <c r="F502" s="2">
        <v>30.1</v>
      </c>
      <c r="G502" s="2">
        <v>0.547</v>
      </c>
      <c r="H502" s="2">
        <v>25</v>
      </c>
      <c r="I502">
        <v>0</v>
      </c>
    </row>
    <row r="503" spans="1:9">
      <c r="A503" s="2">
        <v>7</v>
      </c>
      <c r="B503" s="2">
        <v>195</v>
      </c>
      <c r="C503" s="2">
        <v>70</v>
      </c>
      <c r="D503" s="2">
        <v>33</v>
      </c>
      <c r="E503" s="2">
        <v>145</v>
      </c>
      <c r="F503" s="2">
        <v>25.1</v>
      </c>
      <c r="G503" s="2">
        <v>0.163</v>
      </c>
      <c r="H503" s="2">
        <v>55</v>
      </c>
      <c r="I503">
        <v>1</v>
      </c>
    </row>
    <row r="504" spans="1:9">
      <c r="A504" s="2">
        <v>6</v>
      </c>
      <c r="B504" s="2">
        <v>154</v>
      </c>
      <c r="C504" s="2">
        <v>74</v>
      </c>
      <c r="D504" s="2">
        <v>32</v>
      </c>
      <c r="E504" s="2">
        <v>193</v>
      </c>
      <c r="F504" s="2">
        <v>29.3</v>
      </c>
      <c r="G504" s="2">
        <v>0.839</v>
      </c>
      <c r="H504" s="2">
        <v>39</v>
      </c>
      <c r="I504">
        <v>0</v>
      </c>
    </row>
    <row r="505" spans="1:9">
      <c r="A505" s="2">
        <v>2</v>
      </c>
      <c r="B505" s="2">
        <v>117</v>
      </c>
      <c r="C505" s="2">
        <v>90</v>
      </c>
      <c r="D505" s="2">
        <v>19</v>
      </c>
      <c r="E505" s="2">
        <v>71</v>
      </c>
      <c r="F505" s="2">
        <v>25.2</v>
      </c>
      <c r="G505" s="2">
        <v>0.313</v>
      </c>
      <c r="H505" s="2">
        <v>21</v>
      </c>
      <c r="I505">
        <v>0</v>
      </c>
    </row>
    <row r="506" spans="1:9">
      <c r="A506" s="2">
        <v>3</v>
      </c>
      <c r="B506" s="2">
        <v>84</v>
      </c>
      <c r="C506" s="2">
        <v>72</v>
      </c>
      <c r="D506" s="2">
        <v>32</v>
      </c>
      <c r="E506" s="2">
        <v>0</v>
      </c>
      <c r="F506" s="2">
        <v>37.2</v>
      </c>
      <c r="G506" s="2">
        <v>0.267</v>
      </c>
      <c r="H506" s="2">
        <v>28</v>
      </c>
      <c r="I506">
        <v>0</v>
      </c>
    </row>
    <row r="507" spans="1:9">
      <c r="A507" s="2">
        <v>6</v>
      </c>
      <c r="B507" s="2">
        <v>0</v>
      </c>
      <c r="C507" s="2">
        <v>68</v>
      </c>
      <c r="D507" s="2">
        <v>41</v>
      </c>
      <c r="E507" s="2">
        <v>0</v>
      </c>
      <c r="F507" s="2">
        <v>39</v>
      </c>
      <c r="G507" s="2">
        <v>0.727</v>
      </c>
      <c r="H507" s="2">
        <v>41</v>
      </c>
      <c r="I507">
        <v>1</v>
      </c>
    </row>
    <row r="508" spans="1:9">
      <c r="A508" s="2">
        <v>7</v>
      </c>
      <c r="B508" s="2">
        <v>94</v>
      </c>
      <c r="C508" s="2">
        <v>64</v>
      </c>
      <c r="D508" s="2">
        <v>25</v>
      </c>
      <c r="E508" s="2">
        <v>79</v>
      </c>
      <c r="F508" s="2">
        <v>33.3</v>
      </c>
      <c r="G508" s="2">
        <v>0.738</v>
      </c>
      <c r="H508" s="2">
        <v>41</v>
      </c>
      <c r="I508">
        <v>0</v>
      </c>
    </row>
    <row r="509" spans="1:9">
      <c r="A509" s="2">
        <v>3</v>
      </c>
      <c r="B509" s="2">
        <v>96</v>
      </c>
      <c r="C509" s="2">
        <v>78</v>
      </c>
      <c r="D509" s="2">
        <v>39</v>
      </c>
      <c r="E509" s="2">
        <v>0</v>
      </c>
      <c r="F509" s="2">
        <v>37.3</v>
      </c>
      <c r="G509" s="2">
        <v>0.238</v>
      </c>
      <c r="H509" s="2">
        <v>40</v>
      </c>
      <c r="I509">
        <v>0</v>
      </c>
    </row>
    <row r="510" spans="1:9">
      <c r="A510" s="2">
        <v>10</v>
      </c>
      <c r="B510" s="2">
        <v>75</v>
      </c>
      <c r="C510" s="2">
        <v>82</v>
      </c>
      <c r="D510" s="2">
        <v>0</v>
      </c>
      <c r="E510" s="2">
        <v>0</v>
      </c>
      <c r="F510" s="2">
        <v>33.3</v>
      </c>
      <c r="G510" s="2">
        <v>0.263</v>
      </c>
      <c r="H510" s="2">
        <v>38</v>
      </c>
      <c r="I510">
        <v>0</v>
      </c>
    </row>
    <row r="511" spans="1:9">
      <c r="A511" s="2">
        <v>0</v>
      </c>
      <c r="B511" s="2">
        <v>180</v>
      </c>
      <c r="C511" s="2">
        <v>90</v>
      </c>
      <c r="D511" s="2">
        <v>26</v>
      </c>
      <c r="E511" s="2">
        <v>90</v>
      </c>
      <c r="F511" s="2">
        <v>36.5</v>
      </c>
      <c r="G511" s="2">
        <v>0.314</v>
      </c>
      <c r="H511" s="2">
        <v>35</v>
      </c>
      <c r="I511">
        <v>1</v>
      </c>
    </row>
    <row r="512" spans="1:9">
      <c r="A512" s="2">
        <v>1</v>
      </c>
      <c r="B512" s="2">
        <v>130</v>
      </c>
      <c r="C512" s="2">
        <v>60</v>
      </c>
      <c r="D512" s="2">
        <v>23</v>
      </c>
      <c r="E512" s="2">
        <v>170</v>
      </c>
      <c r="F512" s="2">
        <v>28.6</v>
      </c>
      <c r="G512" s="2">
        <v>0.692</v>
      </c>
      <c r="H512" s="2">
        <v>21</v>
      </c>
      <c r="I512">
        <v>0</v>
      </c>
    </row>
    <row r="513" spans="1:9">
      <c r="A513" s="2">
        <v>2</v>
      </c>
      <c r="B513" s="2">
        <v>84</v>
      </c>
      <c r="C513" s="2">
        <v>50</v>
      </c>
      <c r="D513" s="2">
        <v>23</v>
      </c>
      <c r="E513" s="2">
        <v>76</v>
      </c>
      <c r="F513" s="2">
        <v>30.4</v>
      </c>
      <c r="G513" s="2">
        <v>0.968</v>
      </c>
      <c r="H513" s="2">
        <v>21</v>
      </c>
      <c r="I513">
        <v>0</v>
      </c>
    </row>
    <row r="514" spans="1:9">
      <c r="A514" s="2">
        <v>8</v>
      </c>
      <c r="B514" s="2">
        <v>120</v>
      </c>
      <c r="C514" s="2">
        <v>78</v>
      </c>
      <c r="D514" s="2">
        <v>0</v>
      </c>
      <c r="E514" s="2">
        <v>0</v>
      </c>
      <c r="F514" s="2">
        <v>25</v>
      </c>
      <c r="G514" s="2">
        <v>0.409</v>
      </c>
      <c r="H514" s="2">
        <v>64</v>
      </c>
      <c r="I514">
        <v>0</v>
      </c>
    </row>
    <row r="515" spans="1:9">
      <c r="A515" s="2">
        <v>12</v>
      </c>
      <c r="B515" s="2">
        <v>84</v>
      </c>
      <c r="C515" s="2">
        <v>72</v>
      </c>
      <c r="D515" s="2">
        <v>31</v>
      </c>
      <c r="E515" s="2">
        <v>0</v>
      </c>
      <c r="F515" s="2">
        <v>29.7</v>
      </c>
      <c r="G515" s="2">
        <v>0.297</v>
      </c>
      <c r="H515" s="2">
        <v>46</v>
      </c>
      <c r="I515">
        <v>1</v>
      </c>
    </row>
    <row r="516" spans="1:9">
      <c r="A516" s="2">
        <v>0</v>
      </c>
      <c r="B516" s="2">
        <v>139</v>
      </c>
      <c r="C516" s="2">
        <v>62</v>
      </c>
      <c r="D516" s="2">
        <v>17</v>
      </c>
      <c r="E516" s="2">
        <v>210</v>
      </c>
      <c r="F516" s="2">
        <v>22.1</v>
      </c>
      <c r="G516" s="2">
        <v>0.207</v>
      </c>
      <c r="H516" s="2">
        <v>21</v>
      </c>
      <c r="I516">
        <v>0</v>
      </c>
    </row>
    <row r="517" spans="1:9">
      <c r="A517" s="2">
        <v>9</v>
      </c>
      <c r="B517" s="2">
        <v>91</v>
      </c>
      <c r="C517" s="2">
        <v>68</v>
      </c>
      <c r="D517" s="2">
        <v>0</v>
      </c>
      <c r="E517" s="2">
        <v>0</v>
      </c>
      <c r="F517" s="2">
        <v>24.2</v>
      </c>
      <c r="G517" s="2">
        <v>0.2</v>
      </c>
      <c r="H517" s="2">
        <v>58</v>
      </c>
      <c r="I517">
        <v>0</v>
      </c>
    </row>
    <row r="518" spans="1:9">
      <c r="A518" s="2">
        <v>2</v>
      </c>
      <c r="B518" s="2">
        <v>91</v>
      </c>
      <c r="C518" s="2">
        <v>62</v>
      </c>
      <c r="D518" s="2">
        <v>0</v>
      </c>
      <c r="E518" s="2">
        <v>0</v>
      </c>
      <c r="F518" s="2">
        <v>27.3</v>
      </c>
      <c r="G518" s="2">
        <v>0.525</v>
      </c>
      <c r="H518" s="2">
        <v>22</v>
      </c>
      <c r="I518">
        <v>0</v>
      </c>
    </row>
    <row r="519" spans="1:9">
      <c r="A519" s="2">
        <v>3</v>
      </c>
      <c r="B519" s="2">
        <v>99</v>
      </c>
      <c r="C519" s="2">
        <v>54</v>
      </c>
      <c r="D519" s="2">
        <v>19</v>
      </c>
      <c r="E519" s="2">
        <v>86</v>
      </c>
      <c r="F519" s="2">
        <v>25.6</v>
      </c>
      <c r="G519" s="2">
        <v>0.154</v>
      </c>
      <c r="H519" s="2">
        <v>24</v>
      </c>
      <c r="I519">
        <v>0</v>
      </c>
    </row>
    <row r="520" spans="1:9">
      <c r="A520" s="2">
        <v>3</v>
      </c>
      <c r="B520" s="2">
        <v>163</v>
      </c>
      <c r="C520" s="2">
        <v>70</v>
      </c>
      <c r="D520" s="2">
        <v>18</v>
      </c>
      <c r="E520" s="2">
        <v>105</v>
      </c>
      <c r="F520" s="2">
        <v>31.6</v>
      </c>
      <c r="G520" s="2">
        <v>0.268</v>
      </c>
      <c r="H520" s="2">
        <v>28</v>
      </c>
      <c r="I520">
        <v>1</v>
      </c>
    </row>
    <row r="521" spans="1:9">
      <c r="A521" s="2">
        <v>9</v>
      </c>
      <c r="B521" s="2">
        <v>145</v>
      </c>
      <c r="C521" s="2">
        <v>88</v>
      </c>
      <c r="D521" s="2">
        <v>34</v>
      </c>
      <c r="E521" s="2">
        <v>165</v>
      </c>
      <c r="F521" s="2">
        <v>30.3</v>
      </c>
      <c r="G521" s="2">
        <v>0.771</v>
      </c>
      <c r="H521" s="2">
        <v>53</v>
      </c>
      <c r="I521">
        <v>1</v>
      </c>
    </row>
    <row r="522" spans="1:9">
      <c r="A522" s="2">
        <v>7</v>
      </c>
      <c r="B522" s="2">
        <v>125</v>
      </c>
      <c r="C522" s="2">
        <v>86</v>
      </c>
      <c r="D522" s="2">
        <v>0</v>
      </c>
      <c r="E522" s="2">
        <v>0</v>
      </c>
      <c r="F522" s="2">
        <v>37.6</v>
      </c>
      <c r="G522" s="2">
        <v>0.304</v>
      </c>
      <c r="H522" s="2">
        <v>51</v>
      </c>
      <c r="I522">
        <v>0</v>
      </c>
    </row>
    <row r="523" spans="1:9">
      <c r="A523" s="2">
        <v>13</v>
      </c>
      <c r="B523" s="2">
        <v>76</v>
      </c>
      <c r="C523" s="2">
        <v>60</v>
      </c>
      <c r="D523" s="2">
        <v>0</v>
      </c>
      <c r="E523" s="2">
        <v>0</v>
      </c>
      <c r="F523" s="2">
        <v>32.8</v>
      </c>
      <c r="G523" s="2">
        <v>0.18</v>
      </c>
      <c r="H523" s="2">
        <v>41</v>
      </c>
      <c r="I523">
        <v>0</v>
      </c>
    </row>
    <row r="524" spans="1:9">
      <c r="A524" s="2">
        <v>6</v>
      </c>
      <c r="B524" s="2">
        <v>129</v>
      </c>
      <c r="C524" s="2">
        <v>90</v>
      </c>
      <c r="D524" s="2">
        <v>7</v>
      </c>
      <c r="E524" s="2">
        <v>326</v>
      </c>
      <c r="F524" s="2">
        <v>19.6</v>
      </c>
      <c r="G524" s="2">
        <v>0.582</v>
      </c>
      <c r="H524" s="2">
        <v>60</v>
      </c>
      <c r="I524">
        <v>0</v>
      </c>
    </row>
    <row r="525" spans="1:9">
      <c r="A525" s="2">
        <v>2</v>
      </c>
      <c r="B525" s="2">
        <v>68</v>
      </c>
      <c r="C525" s="2">
        <v>70</v>
      </c>
      <c r="D525" s="2">
        <v>32</v>
      </c>
      <c r="E525" s="2">
        <v>66</v>
      </c>
      <c r="F525" s="2">
        <v>25</v>
      </c>
      <c r="G525" s="2">
        <v>0.187</v>
      </c>
      <c r="H525" s="2">
        <v>25</v>
      </c>
      <c r="I525">
        <v>0</v>
      </c>
    </row>
    <row r="526" spans="1:9">
      <c r="A526" s="2">
        <v>3</v>
      </c>
      <c r="B526" s="2">
        <v>124</v>
      </c>
      <c r="C526" s="2">
        <v>80</v>
      </c>
      <c r="D526" s="2">
        <v>33</v>
      </c>
      <c r="E526" s="2">
        <v>130</v>
      </c>
      <c r="F526" s="2">
        <v>33.2</v>
      </c>
      <c r="G526" s="2">
        <v>0.305</v>
      </c>
      <c r="H526" s="2">
        <v>26</v>
      </c>
      <c r="I526">
        <v>0</v>
      </c>
    </row>
    <row r="527" spans="1:9">
      <c r="A527" s="2">
        <v>6</v>
      </c>
      <c r="B527" s="2">
        <v>114</v>
      </c>
      <c r="C527" s="2">
        <v>0</v>
      </c>
      <c r="D527" s="2">
        <v>0</v>
      </c>
      <c r="E527" s="2">
        <v>0</v>
      </c>
      <c r="F527" s="2">
        <v>0</v>
      </c>
      <c r="G527" s="2">
        <v>0.189</v>
      </c>
      <c r="H527" s="2">
        <v>26</v>
      </c>
      <c r="I527">
        <v>0</v>
      </c>
    </row>
    <row r="528" spans="1:9">
      <c r="A528" s="2">
        <v>9</v>
      </c>
      <c r="B528" s="2">
        <v>130</v>
      </c>
      <c r="C528" s="2">
        <v>70</v>
      </c>
      <c r="D528" s="2">
        <v>0</v>
      </c>
      <c r="E528" s="2">
        <v>0</v>
      </c>
      <c r="F528" s="2">
        <v>34.2</v>
      </c>
      <c r="G528" s="2">
        <v>0.652</v>
      </c>
      <c r="H528" s="2">
        <v>45</v>
      </c>
      <c r="I528">
        <v>1</v>
      </c>
    </row>
    <row r="529" spans="1:9">
      <c r="A529" s="2">
        <v>3</v>
      </c>
      <c r="B529" s="2">
        <v>125</v>
      </c>
      <c r="C529" s="2">
        <v>58</v>
      </c>
      <c r="D529" s="2">
        <v>0</v>
      </c>
      <c r="E529" s="2">
        <v>0</v>
      </c>
      <c r="F529" s="2">
        <v>31.6</v>
      </c>
      <c r="G529" s="2">
        <v>0.151</v>
      </c>
      <c r="H529" s="2">
        <v>24</v>
      </c>
      <c r="I529">
        <v>0</v>
      </c>
    </row>
    <row r="530" spans="1:9">
      <c r="A530" s="2">
        <v>3</v>
      </c>
      <c r="B530" s="2">
        <v>87</v>
      </c>
      <c r="C530" s="2">
        <v>60</v>
      </c>
      <c r="D530" s="2">
        <v>18</v>
      </c>
      <c r="E530" s="2">
        <v>0</v>
      </c>
      <c r="F530" s="2">
        <v>21.8</v>
      </c>
      <c r="G530" s="2">
        <v>0.444</v>
      </c>
      <c r="H530" s="2">
        <v>21</v>
      </c>
      <c r="I530">
        <v>0</v>
      </c>
    </row>
    <row r="531" spans="1:9">
      <c r="A531" s="2">
        <v>1</v>
      </c>
      <c r="B531" s="2">
        <v>97</v>
      </c>
      <c r="C531" s="2">
        <v>64</v>
      </c>
      <c r="D531" s="2">
        <v>19</v>
      </c>
      <c r="E531" s="2">
        <v>82</v>
      </c>
      <c r="F531" s="2">
        <v>18.2</v>
      </c>
      <c r="G531" s="2">
        <v>0.299</v>
      </c>
      <c r="H531" s="2">
        <v>21</v>
      </c>
      <c r="I531">
        <v>0</v>
      </c>
    </row>
    <row r="532" spans="1:9">
      <c r="A532" s="2">
        <v>3</v>
      </c>
      <c r="B532" s="2">
        <v>116</v>
      </c>
      <c r="C532" s="2">
        <v>74</v>
      </c>
      <c r="D532" s="2">
        <v>15</v>
      </c>
      <c r="E532" s="2">
        <v>105</v>
      </c>
      <c r="F532" s="2">
        <v>26.3</v>
      </c>
      <c r="G532" s="2">
        <v>0.107</v>
      </c>
      <c r="H532" s="2">
        <v>24</v>
      </c>
      <c r="I532">
        <v>0</v>
      </c>
    </row>
    <row r="533" spans="1:9">
      <c r="A533" s="2">
        <v>0</v>
      </c>
      <c r="B533" s="2">
        <v>117</v>
      </c>
      <c r="C533" s="2">
        <v>66</v>
      </c>
      <c r="D533" s="2">
        <v>31</v>
      </c>
      <c r="E533" s="2">
        <v>188</v>
      </c>
      <c r="F533" s="2">
        <v>30.8</v>
      </c>
      <c r="G533" s="2">
        <v>0.493</v>
      </c>
      <c r="H533" s="2">
        <v>22</v>
      </c>
      <c r="I533">
        <v>0</v>
      </c>
    </row>
    <row r="534" spans="1:9">
      <c r="A534" s="2">
        <v>0</v>
      </c>
      <c r="B534" s="2">
        <v>111</v>
      </c>
      <c r="C534" s="2">
        <v>65</v>
      </c>
      <c r="D534" s="2">
        <v>0</v>
      </c>
      <c r="E534" s="2">
        <v>0</v>
      </c>
      <c r="F534" s="2">
        <v>24.6</v>
      </c>
      <c r="G534" s="2">
        <v>0.66</v>
      </c>
      <c r="H534" s="2">
        <v>31</v>
      </c>
      <c r="I534">
        <v>0</v>
      </c>
    </row>
    <row r="535" spans="1:9">
      <c r="A535" s="2">
        <v>2</v>
      </c>
      <c r="B535" s="2">
        <v>122</v>
      </c>
      <c r="C535" s="2">
        <v>60</v>
      </c>
      <c r="D535" s="2">
        <v>18</v>
      </c>
      <c r="E535" s="2">
        <v>106</v>
      </c>
      <c r="F535" s="2">
        <v>29.8</v>
      </c>
      <c r="G535" s="2">
        <v>0.717</v>
      </c>
      <c r="H535" s="2">
        <v>22</v>
      </c>
      <c r="I535">
        <v>0</v>
      </c>
    </row>
    <row r="536" spans="1:9">
      <c r="A536" s="2">
        <v>0</v>
      </c>
      <c r="B536" s="2">
        <v>107</v>
      </c>
      <c r="C536" s="2">
        <v>76</v>
      </c>
      <c r="D536" s="2">
        <v>0</v>
      </c>
      <c r="E536" s="2">
        <v>0</v>
      </c>
      <c r="F536" s="2">
        <v>45.3</v>
      </c>
      <c r="G536" s="2">
        <v>0.686</v>
      </c>
      <c r="H536" s="2">
        <v>24</v>
      </c>
      <c r="I536">
        <v>0</v>
      </c>
    </row>
    <row r="537" spans="1:9">
      <c r="A537" s="2">
        <v>1</v>
      </c>
      <c r="B537" s="2">
        <v>86</v>
      </c>
      <c r="C537" s="2">
        <v>66</v>
      </c>
      <c r="D537" s="2">
        <v>52</v>
      </c>
      <c r="E537" s="2">
        <v>65</v>
      </c>
      <c r="F537" s="2">
        <v>41.3</v>
      </c>
      <c r="G537" s="2">
        <v>0.917</v>
      </c>
      <c r="H537" s="2">
        <v>29</v>
      </c>
      <c r="I537">
        <v>0</v>
      </c>
    </row>
    <row r="538" spans="1:9">
      <c r="A538" s="2">
        <v>6</v>
      </c>
      <c r="B538" s="2">
        <v>91</v>
      </c>
      <c r="C538" s="2">
        <v>0</v>
      </c>
      <c r="D538" s="2">
        <v>0</v>
      </c>
      <c r="E538" s="2">
        <v>0</v>
      </c>
      <c r="F538" s="2">
        <v>29.8</v>
      </c>
      <c r="G538" s="2">
        <v>0.501</v>
      </c>
      <c r="H538" s="2">
        <v>31</v>
      </c>
      <c r="I538">
        <v>0</v>
      </c>
    </row>
    <row r="539" spans="1:9">
      <c r="A539" s="2">
        <v>1</v>
      </c>
      <c r="B539" s="2">
        <v>77</v>
      </c>
      <c r="C539" s="2">
        <v>56</v>
      </c>
      <c r="D539" s="2">
        <v>30</v>
      </c>
      <c r="E539" s="2">
        <v>56</v>
      </c>
      <c r="F539" s="2">
        <v>33.3</v>
      </c>
      <c r="G539" s="2">
        <v>1.251</v>
      </c>
      <c r="H539" s="2">
        <v>24</v>
      </c>
      <c r="I539">
        <v>0</v>
      </c>
    </row>
    <row r="540" spans="1:9">
      <c r="A540" s="2">
        <v>4</v>
      </c>
      <c r="B540" s="2">
        <v>132</v>
      </c>
      <c r="C540" s="2">
        <v>0</v>
      </c>
      <c r="D540" s="2">
        <v>0</v>
      </c>
      <c r="E540" s="2">
        <v>0</v>
      </c>
      <c r="F540" s="2">
        <v>32.9</v>
      </c>
      <c r="G540" s="2">
        <v>0.302</v>
      </c>
      <c r="H540" s="2">
        <v>23</v>
      </c>
      <c r="I540">
        <v>1</v>
      </c>
    </row>
    <row r="541" spans="1:9">
      <c r="A541" s="2">
        <v>0</v>
      </c>
      <c r="B541" s="2">
        <v>105</v>
      </c>
      <c r="C541" s="2">
        <v>90</v>
      </c>
      <c r="D541" s="2">
        <v>0</v>
      </c>
      <c r="E541" s="2">
        <v>0</v>
      </c>
      <c r="F541" s="2">
        <v>29.6</v>
      </c>
      <c r="G541" s="2">
        <v>0.197</v>
      </c>
      <c r="H541" s="2">
        <v>46</v>
      </c>
      <c r="I541">
        <v>0</v>
      </c>
    </row>
    <row r="542" spans="1:9">
      <c r="A542" s="2">
        <v>0</v>
      </c>
      <c r="B542" s="2">
        <v>57</v>
      </c>
      <c r="C542" s="2">
        <v>60</v>
      </c>
      <c r="D542" s="2">
        <v>0</v>
      </c>
      <c r="E542" s="2">
        <v>0</v>
      </c>
      <c r="F542" s="2">
        <v>21.7</v>
      </c>
      <c r="G542" s="2">
        <v>0.735</v>
      </c>
      <c r="H542" s="2">
        <v>67</v>
      </c>
      <c r="I542">
        <v>0</v>
      </c>
    </row>
    <row r="543" spans="1:9">
      <c r="A543" s="2">
        <v>0</v>
      </c>
      <c r="B543" s="2">
        <v>127</v>
      </c>
      <c r="C543" s="2">
        <v>80</v>
      </c>
      <c r="D543" s="2">
        <v>37</v>
      </c>
      <c r="E543" s="2">
        <v>210</v>
      </c>
      <c r="F543" s="2">
        <v>36.3</v>
      </c>
      <c r="G543" s="2">
        <v>0.804</v>
      </c>
      <c r="H543" s="2">
        <v>23</v>
      </c>
      <c r="I543">
        <v>0</v>
      </c>
    </row>
    <row r="544" spans="1:9">
      <c r="A544" s="2">
        <v>3</v>
      </c>
      <c r="B544" s="2">
        <v>129</v>
      </c>
      <c r="C544" s="2">
        <v>92</v>
      </c>
      <c r="D544" s="2">
        <v>49</v>
      </c>
      <c r="E544" s="2">
        <v>155</v>
      </c>
      <c r="F544" s="2">
        <v>36.4</v>
      </c>
      <c r="G544" s="2">
        <v>0.968</v>
      </c>
      <c r="H544" s="2">
        <v>32</v>
      </c>
      <c r="I544">
        <v>1</v>
      </c>
    </row>
    <row r="545" spans="1:9">
      <c r="A545" s="2">
        <v>8</v>
      </c>
      <c r="B545" s="2">
        <v>100</v>
      </c>
      <c r="C545" s="2">
        <v>74</v>
      </c>
      <c r="D545" s="2">
        <v>40</v>
      </c>
      <c r="E545" s="2">
        <v>215</v>
      </c>
      <c r="F545" s="2">
        <v>39.4</v>
      </c>
      <c r="G545" s="2">
        <v>0.661</v>
      </c>
      <c r="H545" s="2">
        <v>43</v>
      </c>
      <c r="I545">
        <v>1</v>
      </c>
    </row>
    <row r="546" spans="1:9">
      <c r="A546" s="2">
        <v>3</v>
      </c>
      <c r="B546" s="2">
        <v>128</v>
      </c>
      <c r="C546" s="2">
        <v>72</v>
      </c>
      <c r="D546" s="2">
        <v>25</v>
      </c>
      <c r="E546" s="2">
        <v>190</v>
      </c>
      <c r="F546" s="2">
        <v>32.4</v>
      </c>
      <c r="G546" s="2">
        <v>0.549</v>
      </c>
      <c r="H546" s="2">
        <v>27</v>
      </c>
      <c r="I546">
        <v>1</v>
      </c>
    </row>
    <row r="547" spans="1:9">
      <c r="A547" s="2">
        <v>10</v>
      </c>
      <c r="B547" s="2">
        <v>90</v>
      </c>
      <c r="C547" s="2">
        <v>85</v>
      </c>
      <c r="D547" s="2">
        <v>32</v>
      </c>
      <c r="E547" s="2">
        <v>0</v>
      </c>
      <c r="F547" s="2">
        <v>34.9</v>
      </c>
      <c r="G547" s="2">
        <v>0.825</v>
      </c>
      <c r="H547" s="2">
        <v>56</v>
      </c>
      <c r="I547">
        <v>1</v>
      </c>
    </row>
    <row r="548" spans="1:9">
      <c r="A548" s="2">
        <v>4</v>
      </c>
      <c r="B548" s="2">
        <v>84</v>
      </c>
      <c r="C548" s="2">
        <v>90</v>
      </c>
      <c r="D548" s="2">
        <v>23</v>
      </c>
      <c r="E548" s="2">
        <v>56</v>
      </c>
      <c r="F548" s="2">
        <v>39.5</v>
      </c>
      <c r="G548" s="2">
        <v>0.159</v>
      </c>
      <c r="H548" s="2">
        <v>25</v>
      </c>
      <c r="I548">
        <v>0</v>
      </c>
    </row>
    <row r="549" spans="1:9">
      <c r="A549" s="2">
        <v>1</v>
      </c>
      <c r="B549" s="2">
        <v>88</v>
      </c>
      <c r="C549" s="2">
        <v>78</v>
      </c>
      <c r="D549" s="2">
        <v>29</v>
      </c>
      <c r="E549" s="2">
        <v>76</v>
      </c>
      <c r="F549" s="2">
        <v>32</v>
      </c>
      <c r="G549" s="2">
        <v>0.365</v>
      </c>
      <c r="H549" s="2">
        <v>29</v>
      </c>
      <c r="I549">
        <v>0</v>
      </c>
    </row>
    <row r="550" spans="1:9">
      <c r="A550" s="2">
        <v>8</v>
      </c>
      <c r="B550" s="2">
        <v>186</v>
      </c>
      <c r="C550" s="2">
        <v>90</v>
      </c>
      <c r="D550" s="2">
        <v>35</v>
      </c>
      <c r="E550" s="2">
        <v>225</v>
      </c>
      <c r="F550" s="2">
        <v>34.5</v>
      </c>
      <c r="G550" s="2">
        <v>0.423</v>
      </c>
      <c r="H550" s="2">
        <v>37</v>
      </c>
      <c r="I550">
        <v>1</v>
      </c>
    </row>
    <row r="551" spans="1:9">
      <c r="A551" s="2">
        <v>5</v>
      </c>
      <c r="B551" s="2">
        <v>187</v>
      </c>
      <c r="C551" s="2">
        <v>76</v>
      </c>
      <c r="D551" s="2">
        <v>27</v>
      </c>
      <c r="E551" s="2">
        <v>207</v>
      </c>
      <c r="F551" s="2">
        <v>43.6</v>
      </c>
      <c r="G551" s="2">
        <v>1.034</v>
      </c>
      <c r="H551" s="2">
        <v>53</v>
      </c>
      <c r="I551">
        <v>1</v>
      </c>
    </row>
    <row r="552" spans="1:9">
      <c r="A552" s="2">
        <v>4</v>
      </c>
      <c r="B552" s="2">
        <v>131</v>
      </c>
      <c r="C552" s="2">
        <v>68</v>
      </c>
      <c r="D552" s="2">
        <v>21</v>
      </c>
      <c r="E552" s="2">
        <v>166</v>
      </c>
      <c r="F552" s="2">
        <v>33.1</v>
      </c>
      <c r="G552" s="2">
        <v>0.16</v>
      </c>
      <c r="H552" s="2">
        <v>28</v>
      </c>
      <c r="I552">
        <v>0</v>
      </c>
    </row>
    <row r="553" spans="1:9">
      <c r="A553" s="2">
        <v>1</v>
      </c>
      <c r="B553" s="2">
        <v>164</v>
      </c>
      <c r="C553" s="2">
        <v>82</v>
      </c>
      <c r="D553" s="2">
        <v>43</v>
      </c>
      <c r="E553" s="2">
        <v>67</v>
      </c>
      <c r="F553" s="2">
        <v>32.8</v>
      </c>
      <c r="G553" s="2">
        <v>0.341</v>
      </c>
      <c r="H553" s="2">
        <v>50</v>
      </c>
      <c r="I553">
        <v>0</v>
      </c>
    </row>
    <row r="554" spans="1:9">
      <c r="A554" s="2">
        <v>4</v>
      </c>
      <c r="B554" s="2">
        <v>189</v>
      </c>
      <c r="C554" s="2">
        <v>110</v>
      </c>
      <c r="D554" s="2">
        <v>31</v>
      </c>
      <c r="E554" s="2">
        <v>0</v>
      </c>
      <c r="F554" s="2">
        <v>28.5</v>
      </c>
      <c r="G554" s="2">
        <v>0.68</v>
      </c>
      <c r="H554" s="2">
        <v>37</v>
      </c>
      <c r="I554">
        <v>0</v>
      </c>
    </row>
    <row r="555" spans="1:9">
      <c r="A555" s="2">
        <v>1</v>
      </c>
      <c r="B555" s="2">
        <v>116</v>
      </c>
      <c r="C555" s="2">
        <v>70</v>
      </c>
      <c r="D555" s="2">
        <v>28</v>
      </c>
      <c r="E555" s="2">
        <v>0</v>
      </c>
      <c r="F555" s="2">
        <v>27.4</v>
      </c>
      <c r="G555" s="2">
        <v>0.204</v>
      </c>
      <c r="H555" s="2">
        <v>21</v>
      </c>
      <c r="I555">
        <v>0</v>
      </c>
    </row>
    <row r="556" spans="1:9">
      <c r="A556" s="2">
        <v>3</v>
      </c>
      <c r="B556" s="2">
        <v>84</v>
      </c>
      <c r="C556" s="2">
        <v>68</v>
      </c>
      <c r="D556" s="2">
        <v>30</v>
      </c>
      <c r="E556" s="2">
        <v>106</v>
      </c>
      <c r="F556" s="2">
        <v>31.9</v>
      </c>
      <c r="G556" s="2">
        <v>0.591</v>
      </c>
      <c r="H556" s="2">
        <v>25</v>
      </c>
      <c r="I556">
        <v>0</v>
      </c>
    </row>
    <row r="557" spans="1:9">
      <c r="A557" s="2">
        <v>6</v>
      </c>
      <c r="B557" s="2">
        <v>114</v>
      </c>
      <c r="C557" s="2">
        <v>88</v>
      </c>
      <c r="D557" s="2">
        <v>0</v>
      </c>
      <c r="E557" s="2">
        <v>0</v>
      </c>
      <c r="F557" s="2">
        <v>27.8</v>
      </c>
      <c r="G557" s="2">
        <v>0.247</v>
      </c>
      <c r="H557" s="2">
        <v>66</v>
      </c>
      <c r="I557">
        <v>0</v>
      </c>
    </row>
    <row r="558" spans="1:9">
      <c r="A558" s="2">
        <v>1</v>
      </c>
      <c r="B558" s="2">
        <v>88</v>
      </c>
      <c r="C558" s="2">
        <v>62</v>
      </c>
      <c r="D558" s="2">
        <v>24</v>
      </c>
      <c r="E558" s="2">
        <v>44</v>
      </c>
      <c r="F558" s="2">
        <v>29.9</v>
      </c>
      <c r="G558" s="2">
        <v>0.422</v>
      </c>
      <c r="H558" s="2">
        <v>23</v>
      </c>
      <c r="I558">
        <v>0</v>
      </c>
    </row>
    <row r="559" spans="1:9">
      <c r="A559" s="2">
        <v>1</v>
      </c>
      <c r="B559" s="2">
        <v>84</v>
      </c>
      <c r="C559" s="2">
        <v>64</v>
      </c>
      <c r="D559" s="2">
        <v>23</v>
      </c>
      <c r="E559" s="2">
        <v>115</v>
      </c>
      <c r="F559" s="2">
        <v>36.9</v>
      </c>
      <c r="G559" s="2">
        <v>0.471</v>
      </c>
      <c r="H559" s="2">
        <v>28</v>
      </c>
      <c r="I559">
        <v>0</v>
      </c>
    </row>
    <row r="560" spans="1:9">
      <c r="A560" s="2">
        <v>7</v>
      </c>
      <c r="B560" s="2">
        <v>124</v>
      </c>
      <c r="C560" s="2">
        <v>70</v>
      </c>
      <c r="D560" s="2">
        <v>33</v>
      </c>
      <c r="E560" s="2">
        <v>215</v>
      </c>
      <c r="F560" s="2">
        <v>25.5</v>
      </c>
      <c r="G560" s="2">
        <v>0.161</v>
      </c>
      <c r="H560" s="2">
        <v>37</v>
      </c>
      <c r="I560">
        <v>0</v>
      </c>
    </row>
    <row r="561" spans="1:9">
      <c r="A561" s="2">
        <v>1</v>
      </c>
      <c r="B561" s="2">
        <v>97</v>
      </c>
      <c r="C561" s="2">
        <v>70</v>
      </c>
      <c r="D561" s="2">
        <v>40</v>
      </c>
      <c r="E561" s="2">
        <v>0</v>
      </c>
      <c r="F561" s="2">
        <v>38.1</v>
      </c>
      <c r="G561" s="2">
        <v>0.218</v>
      </c>
      <c r="H561" s="2">
        <v>30</v>
      </c>
      <c r="I561">
        <v>0</v>
      </c>
    </row>
    <row r="562" spans="1:9">
      <c r="A562" s="2">
        <v>8</v>
      </c>
      <c r="B562" s="2">
        <v>110</v>
      </c>
      <c r="C562" s="2">
        <v>76</v>
      </c>
      <c r="D562" s="2">
        <v>0</v>
      </c>
      <c r="E562" s="2">
        <v>0</v>
      </c>
      <c r="F562" s="2">
        <v>27.8</v>
      </c>
      <c r="G562" s="2">
        <v>0.237</v>
      </c>
      <c r="H562" s="2">
        <v>58</v>
      </c>
      <c r="I562">
        <v>0</v>
      </c>
    </row>
    <row r="563" spans="1:9">
      <c r="A563" s="2">
        <v>11</v>
      </c>
      <c r="B563" s="2">
        <v>103</v>
      </c>
      <c r="C563" s="2">
        <v>68</v>
      </c>
      <c r="D563" s="2">
        <v>40</v>
      </c>
      <c r="E563" s="2">
        <v>0</v>
      </c>
      <c r="F563" s="2">
        <v>46.2</v>
      </c>
      <c r="G563" s="2">
        <v>0.126</v>
      </c>
      <c r="H563" s="2">
        <v>42</v>
      </c>
      <c r="I563">
        <v>0</v>
      </c>
    </row>
    <row r="564" spans="1:9">
      <c r="A564" s="2">
        <v>11</v>
      </c>
      <c r="B564" s="2">
        <v>85</v>
      </c>
      <c r="C564" s="2">
        <v>74</v>
      </c>
      <c r="D564" s="2">
        <v>0</v>
      </c>
      <c r="E564" s="2">
        <v>0</v>
      </c>
      <c r="F564" s="2">
        <v>30.1</v>
      </c>
      <c r="G564" s="2">
        <v>0.3</v>
      </c>
      <c r="H564" s="2">
        <v>35</v>
      </c>
      <c r="I564">
        <v>0</v>
      </c>
    </row>
    <row r="565" spans="1:9">
      <c r="A565" s="2">
        <v>6</v>
      </c>
      <c r="B565" s="2">
        <v>125</v>
      </c>
      <c r="C565" s="2">
        <v>76</v>
      </c>
      <c r="D565" s="2">
        <v>0</v>
      </c>
      <c r="E565" s="2">
        <v>0</v>
      </c>
      <c r="F565" s="2">
        <v>33.8</v>
      </c>
      <c r="G565" s="2">
        <v>0.121</v>
      </c>
      <c r="H565" s="2">
        <v>54</v>
      </c>
      <c r="I565">
        <v>1</v>
      </c>
    </row>
    <row r="566" spans="1:9">
      <c r="A566" s="2">
        <v>0</v>
      </c>
      <c r="B566" s="2">
        <v>198</v>
      </c>
      <c r="C566" s="2">
        <v>66</v>
      </c>
      <c r="D566" s="2">
        <v>32</v>
      </c>
      <c r="E566" s="2">
        <v>274</v>
      </c>
      <c r="F566" s="2">
        <v>41.3</v>
      </c>
      <c r="G566" s="2">
        <v>0.502</v>
      </c>
      <c r="H566" s="2">
        <v>28</v>
      </c>
      <c r="I566">
        <v>1</v>
      </c>
    </row>
    <row r="567" spans="1:9">
      <c r="A567" s="2">
        <v>1</v>
      </c>
      <c r="B567" s="2">
        <v>87</v>
      </c>
      <c r="C567" s="2">
        <v>68</v>
      </c>
      <c r="D567" s="2">
        <v>34</v>
      </c>
      <c r="E567" s="2">
        <v>77</v>
      </c>
      <c r="F567" s="2">
        <v>37.6</v>
      </c>
      <c r="G567" s="2">
        <v>0.401</v>
      </c>
      <c r="H567" s="2">
        <v>24</v>
      </c>
      <c r="I567">
        <v>0</v>
      </c>
    </row>
    <row r="568" spans="1:9">
      <c r="A568" s="2">
        <v>6</v>
      </c>
      <c r="B568" s="2">
        <v>99</v>
      </c>
      <c r="C568" s="2">
        <v>60</v>
      </c>
      <c r="D568" s="2">
        <v>19</v>
      </c>
      <c r="E568" s="2">
        <v>54</v>
      </c>
      <c r="F568" s="2">
        <v>26.9</v>
      </c>
      <c r="G568" s="2">
        <v>0.497</v>
      </c>
      <c r="H568" s="2">
        <v>32</v>
      </c>
      <c r="I568">
        <v>0</v>
      </c>
    </row>
    <row r="569" spans="1:9">
      <c r="A569" s="2">
        <v>0</v>
      </c>
      <c r="B569" s="2">
        <v>91</v>
      </c>
      <c r="C569" s="2">
        <v>80</v>
      </c>
      <c r="D569" s="2">
        <v>0</v>
      </c>
      <c r="E569" s="2">
        <v>0</v>
      </c>
      <c r="F569" s="2">
        <v>32.4</v>
      </c>
      <c r="G569" s="2">
        <v>0.601</v>
      </c>
      <c r="H569" s="2">
        <v>27</v>
      </c>
      <c r="I569">
        <v>0</v>
      </c>
    </row>
    <row r="570" spans="1:9">
      <c r="A570" s="2">
        <v>2</v>
      </c>
      <c r="B570" s="2">
        <v>95</v>
      </c>
      <c r="C570" s="2">
        <v>54</v>
      </c>
      <c r="D570" s="2">
        <v>14</v>
      </c>
      <c r="E570" s="2">
        <v>88</v>
      </c>
      <c r="F570" s="2">
        <v>26.1</v>
      </c>
      <c r="G570" s="2">
        <v>0.748</v>
      </c>
      <c r="H570" s="2">
        <v>22</v>
      </c>
      <c r="I570">
        <v>0</v>
      </c>
    </row>
    <row r="571" spans="1:9">
      <c r="A571" s="2">
        <v>1</v>
      </c>
      <c r="B571" s="2">
        <v>99</v>
      </c>
      <c r="C571" s="2">
        <v>72</v>
      </c>
      <c r="D571" s="2">
        <v>30</v>
      </c>
      <c r="E571" s="2">
        <v>18</v>
      </c>
      <c r="F571" s="2">
        <v>38.6</v>
      </c>
      <c r="G571" s="2">
        <v>0.412</v>
      </c>
      <c r="H571" s="2">
        <v>21</v>
      </c>
      <c r="I571">
        <v>0</v>
      </c>
    </row>
    <row r="572" spans="1:9">
      <c r="A572" s="2">
        <v>6</v>
      </c>
      <c r="B572" s="2">
        <v>92</v>
      </c>
      <c r="C572" s="2">
        <v>62</v>
      </c>
      <c r="D572" s="2">
        <v>32</v>
      </c>
      <c r="E572" s="2">
        <v>126</v>
      </c>
      <c r="F572" s="2">
        <v>32</v>
      </c>
      <c r="G572" s="2">
        <v>0.085</v>
      </c>
      <c r="H572" s="2">
        <v>46</v>
      </c>
      <c r="I572">
        <v>0</v>
      </c>
    </row>
    <row r="573" spans="1:9">
      <c r="A573" s="2">
        <v>4</v>
      </c>
      <c r="B573" s="2">
        <v>154</v>
      </c>
      <c r="C573" s="2">
        <v>72</v>
      </c>
      <c r="D573" s="2">
        <v>29</v>
      </c>
      <c r="E573" s="2">
        <v>126</v>
      </c>
      <c r="F573" s="2">
        <v>31.3</v>
      </c>
      <c r="G573" s="2">
        <v>0.338</v>
      </c>
      <c r="H573" s="2">
        <v>37</v>
      </c>
      <c r="I573">
        <v>0</v>
      </c>
    </row>
    <row r="574" spans="1:9">
      <c r="A574" s="2">
        <v>0</v>
      </c>
      <c r="B574" s="2">
        <v>121</v>
      </c>
      <c r="C574" s="2">
        <v>66</v>
      </c>
      <c r="D574" s="2">
        <v>30</v>
      </c>
      <c r="E574" s="2">
        <v>165</v>
      </c>
      <c r="F574" s="2">
        <v>34.3</v>
      </c>
      <c r="G574" s="2">
        <v>0.203</v>
      </c>
      <c r="H574" s="2">
        <v>33</v>
      </c>
      <c r="I574">
        <v>1</v>
      </c>
    </row>
    <row r="575" spans="1:9">
      <c r="A575" s="2">
        <v>3</v>
      </c>
      <c r="B575" s="2">
        <v>78</v>
      </c>
      <c r="C575" s="2">
        <v>70</v>
      </c>
      <c r="D575" s="2">
        <v>0</v>
      </c>
      <c r="E575" s="2">
        <v>0</v>
      </c>
      <c r="F575" s="2">
        <v>32.5</v>
      </c>
      <c r="G575" s="2">
        <v>0.27</v>
      </c>
      <c r="H575" s="2">
        <v>39</v>
      </c>
      <c r="I575">
        <v>0</v>
      </c>
    </row>
    <row r="576" spans="1:9">
      <c r="A576" s="2">
        <v>2</v>
      </c>
      <c r="B576" s="2">
        <v>130</v>
      </c>
      <c r="C576" s="2">
        <v>96</v>
      </c>
      <c r="D576" s="2">
        <v>0</v>
      </c>
      <c r="E576" s="2">
        <v>0</v>
      </c>
      <c r="F576" s="2">
        <v>22.6</v>
      </c>
      <c r="G576" s="2">
        <v>0.268</v>
      </c>
      <c r="H576" s="2">
        <v>21</v>
      </c>
      <c r="I576">
        <v>0</v>
      </c>
    </row>
    <row r="577" spans="1:9">
      <c r="A577" s="2">
        <v>3</v>
      </c>
      <c r="B577" s="2">
        <v>111</v>
      </c>
      <c r="C577" s="2">
        <v>58</v>
      </c>
      <c r="D577" s="2">
        <v>31</v>
      </c>
      <c r="E577" s="2">
        <v>44</v>
      </c>
      <c r="F577" s="2">
        <v>29.5</v>
      </c>
      <c r="G577" s="2">
        <v>0.43</v>
      </c>
      <c r="H577" s="2">
        <v>22</v>
      </c>
      <c r="I577">
        <v>0</v>
      </c>
    </row>
    <row r="578" spans="1:9">
      <c r="A578" s="2">
        <v>2</v>
      </c>
      <c r="B578" s="2">
        <v>98</v>
      </c>
      <c r="C578" s="2">
        <v>60</v>
      </c>
      <c r="D578" s="2">
        <v>17</v>
      </c>
      <c r="E578" s="2">
        <v>120</v>
      </c>
      <c r="F578" s="2">
        <v>34.7</v>
      </c>
      <c r="G578" s="2">
        <v>0.198</v>
      </c>
      <c r="H578" s="2">
        <v>22</v>
      </c>
      <c r="I578">
        <v>0</v>
      </c>
    </row>
    <row r="579" spans="1:9">
      <c r="A579" s="2">
        <v>1</v>
      </c>
      <c r="B579" s="2">
        <v>143</v>
      </c>
      <c r="C579" s="2">
        <v>86</v>
      </c>
      <c r="D579" s="2">
        <v>30</v>
      </c>
      <c r="E579" s="2">
        <v>330</v>
      </c>
      <c r="F579" s="2">
        <v>30.1</v>
      </c>
      <c r="G579" s="2">
        <v>0.892</v>
      </c>
      <c r="H579" s="2">
        <v>23</v>
      </c>
      <c r="I579">
        <v>0</v>
      </c>
    </row>
    <row r="580" spans="1:9">
      <c r="A580" s="2">
        <v>1</v>
      </c>
      <c r="B580" s="2">
        <v>119</v>
      </c>
      <c r="C580" s="2">
        <v>44</v>
      </c>
      <c r="D580" s="2">
        <v>47</v>
      </c>
      <c r="E580" s="2">
        <v>63</v>
      </c>
      <c r="F580" s="2">
        <v>35.5</v>
      </c>
      <c r="G580" s="2">
        <v>0.28</v>
      </c>
      <c r="H580" s="2">
        <v>25</v>
      </c>
      <c r="I580">
        <v>0</v>
      </c>
    </row>
    <row r="581" spans="1:9">
      <c r="A581" s="2">
        <v>6</v>
      </c>
      <c r="B581" s="2">
        <v>108</v>
      </c>
      <c r="C581" s="2">
        <v>44</v>
      </c>
      <c r="D581" s="2">
        <v>20</v>
      </c>
      <c r="E581" s="2">
        <v>130</v>
      </c>
      <c r="F581" s="2">
        <v>24</v>
      </c>
      <c r="G581" s="2">
        <v>0.813</v>
      </c>
      <c r="H581" s="2">
        <v>35</v>
      </c>
      <c r="I581">
        <v>0</v>
      </c>
    </row>
    <row r="582" spans="1:9">
      <c r="A582" s="2">
        <v>2</v>
      </c>
      <c r="B582" s="2">
        <v>118</v>
      </c>
      <c r="C582" s="2">
        <v>80</v>
      </c>
      <c r="D582" s="2">
        <v>0</v>
      </c>
      <c r="E582" s="2">
        <v>0</v>
      </c>
      <c r="F582" s="2">
        <v>42.9</v>
      </c>
      <c r="G582" s="2">
        <v>0.693</v>
      </c>
      <c r="H582" s="2">
        <v>21</v>
      </c>
      <c r="I582">
        <v>1</v>
      </c>
    </row>
    <row r="583" spans="1:9">
      <c r="A583" s="2">
        <v>10</v>
      </c>
      <c r="B583" s="2">
        <v>133</v>
      </c>
      <c r="C583" s="2">
        <v>68</v>
      </c>
      <c r="D583" s="2">
        <v>0</v>
      </c>
      <c r="E583" s="2">
        <v>0</v>
      </c>
      <c r="F583" s="2">
        <v>27</v>
      </c>
      <c r="G583" s="2">
        <v>0.245</v>
      </c>
      <c r="H583" s="2">
        <v>36</v>
      </c>
      <c r="I583">
        <v>0</v>
      </c>
    </row>
    <row r="584" spans="1:9">
      <c r="A584" s="2">
        <v>2</v>
      </c>
      <c r="B584" s="2">
        <v>197</v>
      </c>
      <c r="C584" s="2">
        <v>70</v>
      </c>
      <c r="D584" s="2">
        <v>99</v>
      </c>
      <c r="E584" s="2">
        <v>0</v>
      </c>
      <c r="F584" s="2">
        <v>34.7</v>
      </c>
      <c r="G584" s="2">
        <v>0.575</v>
      </c>
      <c r="H584" s="2">
        <v>62</v>
      </c>
      <c r="I584">
        <v>1</v>
      </c>
    </row>
    <row r="585" spans="1:9">
      <c r="A585" s="2">
        <v>0</v>
      </c>
      <c r="B585" s="2">
        <v>151</v>
      </c>
      <c r="C585" s="2">
        <v>90</v>
      </c>
      <c r="D585" s="2">
        <v>46</v>
      </c>
      <c r="E585" s="2">
        <v>0</v>
      </c>
      <c r="F585" s="2">
        <v>42.1</v>
      </c>
      <c r="G585" s="2">
        <v>0.371</v>
      </c>
      <c r="H585" s="2">
        <v>21</v>
      </c>
      <c r="I585">
        <v>1</v>
      </c>
    </row>
    <row r="586" spans="1:9">
      <c r="A586" s="2">
        <v>6</v>
      </c>
      <c r="B586" s="2">
        <v>109</v>
      </c>
      <c r="C586" s="2">
        <v>60</v>
      </c>
      <c r="D586" s="2">
        <v>27</v>
      </c>
      <c r="E586" s="2">
        <v>0</v>
      </c>
      <c r="F586" s="2">
        <v>25</v>
      </c>
      <c r="G586" s="2">
        <v>0.206</v>
      </c>
      <c r="H586" s="2">
        <v>27</v>
      </c>
      <c r="I586">
        <v>0</v>
      </c>
    </row>
    <row r="587" spans="1:9">
      <c r="A587" s="2">
        <v>12</v>
      </c>
      <c r="B587" s="2">
        <v>121</v>
      </c>
      <c r="C587" s="2">
        <v>78</v>
      </c>
      <c r="D587" s="2">
        <v>17</v>
      </c>
      <c r="E587" s="2">
        <v>0</v>
      </c>
      <c r="F587" s="2">
        <v>26.5</v>
      </c>
      <c r="G587" s="2">
        <v>0.259</v>
      </c>
      <c r="H587" s="2">
        <v>62</v>
      </c>
      <c r="I587">
        <v>0</v>
      </c>
    </row>
    <row r="588" spans="1:9">
      <c r="A588" s="2">
        <v>8</v>
      </c>
      <c r="B588" s="2">
        <v>100</v>
      </c>
      <c r="C588" s="2">
        <v>76</v>
      </c>
      <c r="D588" s="2">
        <v>0</v>
      </c>
      <c r="E588" s="2">
        <v>0</v>
      </c>
      <c r="F588" s="2">
        <v>38.7</v>
      </c>
      <c r="G588" s="2">
        <v>0.19</v>
      </c>
      <c r="H588" s="2">
        <v>42</v>
      </c>
      <c r="I588">
        <v>0</v>
      </c>
    </row>
    <row r="589" spans="1:9">
      <c r="A589" s="2">
        <v>8</v>
      </c>
      <c r="B589" s="2">
        <v>124</v>
      </c>
      <c r="C589" s="2">
        <v>76</v>
      </c>
      <c r="D589" s="2">
        <v>24</v>
      </c>
      <c r="E589" s="2">
        <v>600</v>
      </c>
      <c r="F589" s="2">
        <v>28.7</v>
      </c>
      <c r="G589" s="2">
        <v>0.687</v>
      </c>
      <c r="H589" s="2">
        <v>52</v>
      </c>
      <c r="I589">
        <v>1</v>
      </c>
    </row>
    <row r="590" spans="1:9">
      <c r="A590" s="2">
        <v>1</v>
      </c>
      <c r="B590" s="2">
        <v>93</v>
      </c>
      <c r="C590" s="2">
        <v>56</v>
      </c>
      <c r="D590" s="2">
        <v>11</v>
      </c>
      <c r="E590" s="2">
        <v>0</v>
      </c>
      <c r="F590" s="2">
        <v>22.5</v>
      </c>
      <c r="G590" s="2">
        <v>0.417</v>
      </c>
      <c r="H590" s="2">
        <v>22</v>
      </c>
      <c r="I590">
        <v>0</v>
      </c>
    </row>
    <row r="591" spans="1:9">
      <c r="A591" s="2">
        <v>8</v>
      </c>
      <c r="B591" s="2">
        <v>143</v>
      </c>
      <c r="C591" s="2">
        <v>66</v>
      </c>
      <c r="D591" s="2">
        <v>0</v>
      </c>
      <c r="E591" s="2">
        <v>0</v>
      </c>
      <c r="F591" s="2">
        <v>34.9</v>
      </c>
      <c r="G591" s="2">
        <v>0.129</v>
      </c>
      <c r="H591" s="2">
        <v>41</v>
      </c>
      <c r="I591">
        <v>1</v>
      </c>
    </row>
    <row r="592" spans="1:9">
      <c r="A592" s="2">
        <v>6</v>
      </c>
      <c r="B592" s="2">
        <v>103</v>
      </c>
      <c r="C592" s="2">
        <v>66</v>
      </c>
      <c r="D592" s="2">
        <v>0</v>
      </c>
      <c r="E592" s="2">
        <v>0</v>
      </c>
      <c r="F592" s="2">
        <v>24.3</v>
      </c>
      <c r="G592" s="2">
        <v>0.249</v>
      </c>
      <c r="H592" s="2">
        <v>29</v>
      </c>
      <c r="I592">
        <v>0</v>
      </c>
    </row>
    <row r="593" spans="1:9">
      <c r="A593" s="2">
        <v>3</v>
      </c>
      <c r="B593" s="2">
        <v>176</v>
      </c>
      <c r="C593" s="2">
        <v>86</v>
      </c>
      <c r="D593" s="2">
        <v>27</v>
      </c>
      <c r="E593" s="2">
        <v>156</v>
      </c>
      <c r="F593" s="2">
        <v>33.3</v>
      </c>
      <c r="G593" s="2">
        <v>1.154</v>
      </c>
      <c r="H593" s="2">
        <v>52</v>
      </c>
      <c r="I593">
        <v>1</v>
      </c>
    </row>
    <row r="594" spans="1:9">
      <c r="A594" s="2">
        <v>0</v>
      </c>
      <c r="B594" s="2">
        <v>73</v>
      </c>
      <c r="C594" s="2">
        <v>0</v>
      </c>
      <c r="D594" s="2">
        <v>0</v>
      </c>
      <c r="E594" s="2">
        <v>0</v>
      </c>
      <c r="F594" s="2">
        <v>21.1</v>
      </c>
      <c r="G594" s="2">
        <v>0.342</v>
      </c>
      <c r="H594" s="2">
        <v>25</v>
      </c>
      <c r="I594">
        <v>0</v>
      </c>
    </row>
    <row r="595" spans="1:9">
      <c r="A595" s="2">
        <v>11</v>
      </c>
      <c r="B595" s="2">
        <v>111</v>
      </c>
      <c r="C595" s="2">
        <v>84</v>
      </c>
      <c r="D595" s="2">
        <v>40</v>
      </c>
      <c r="E595" s="2">
        <v>0</v>
      </c>
      <c r="F595" s="2">
        <v>46.8</v>
      </c>
      <c r="G595" s="2">
        <v>0.925</v>
      </c>
      <c r="H595" s="2">
        <v>45</v>
      </c>
      <c r="I595">
        <v>1</v>
      </c>
    </row>
    <row r="596" spans="1:9">
      <c r="A596" s="2">
        <v>2</v>
      </c>
      <c r="B596" s="2">
        <v>112</v>
      </c>
      <c r="C596" s="2">
        <v>78</v>
      </c>
      <c r="D596" s="2">
        <v>50</v>
      </c>
      <c r="E596" s="2">
        <v>140</v>
      </c>
      <c r="F596" s="2">
        <v>39.4</v>
      </c>
      <c r="G596" s="2">
        <v>0.175</v>
      </c>
      <c r="H596" s="2">
        <v>24</v>
      </c>
      <c r="I596">
        <v>0</v>
      </c>
    </row>
    <row r="597" spans="1:9">
      <c r="A597" s="2">
        <v>3</v>
      </c>
      <c r="B597" s="2">
        <v>132</v>
      </c>
      <c r="C597" s="2">
        <v>80</v>
      </c>
      <c r="D597" s="2">
        <v>0</v>
      </c>
      <c r="E597" s="2">
        <v>0</v>
      </c>
      <c r="F597" s="2">
        <v>34.4</v>
      </c>
      <c r="G597" s="2">
        <v>0.402</v>
      </c>
      <c r="H597" s="2">
        <v>44</v>
      </c>
      <c r="I597">
        <v>1</v>
      </c>
    </row>
    <row r="598" spans="1:9">
      <c r="A598" s="2">
        <v>2</v>
      </c>
      <c r="B598" s="2">
        <v>82</v>
      </c>
      <c r="C598" s="2">
        <v>52</v>
      </c>
      <c r="D598" s="2">
        <v>22</v>
      </c>
      <c r="E598" s="2">
        <v>115</v>
      </c>
      <c r="F598" s="2">
        <v>28.5</v>
      </c>
      <c r="G598" s="2">
        <v>1.699</v>
      </c>
      <c r="H598" s="2">
        <v>25</v>
      </c>
      <c r="I598">
        <v>0</v>
      </c>
    </row>
    <row r="599" spans="1:9">
      <c r="A599" s="2">
        <v>6</v>
      </c>
      <c r="B599" s="2">
        <v>123</v>
      </c>
      <c r="C599" s="2">
        <v>72</v>
      </c>
      <c r="D599" s="2">
        <v>45</v>
      </c>
      <c r="E599" s="2">
        <v>230</v>
      </c>
      <c r="F599" s="2">
        <v>33.6</v>
      </c>
      <c r="G599" s="2">
        <v>0.733</v>
      </c>
      <c r="H599" s="2">
        <v>34</v>
      </c>
      <c r="I599">
        <v>0</v>
      </c>
    </row>
    <row r="600" spans="1:9">
      <c r="A600" s="2">
        <v>0</v>
      </c>
      <c r="B600" s="2">
        <v>188</v>
      </c>
      <c r="C600" s="2">
        <v>82</v>
      </c>
      <c r="D600" s="2">
        <v>14</v>
      </c>
      <c r="E600" s="2">
        <v>185</v>
      </c>
      <c r="F600" s="2">
        <v>32</v>
      </c>
      <c r="G600" s="2">
        <v>0.682</v>
      </c>
      <c r="H600" s="2">
        <v>22</v>
      </c>
      <c r="I600">
        <v>1</v>
      </c>
    </row>
    <row r="601" spans="1:9">
      <c r="A601" s="2">
        <v>0</v>
      </c>
      <c r="B601" s="2">
        <v>67</v>
      </c>
      <c r="C601" s="2">
        <v>76</v>
      </c>
      <c r="D601" s="2">
        <v>0</v>
      </c>
      <c r="E601" s="2">
        <v>0</v>
      </c>
      <c r="F601" s="2">
        <v>45.3</v>
      </c>
      <c r="G601" s="2">
        <v>0.194</v>
      </c>
      <c r="H601" s="2">
        <v>46</v>
      </c>
      <c r="I601">
        <v>0</v>
      </c>
    </row>
    <row r="602" spans="1:9">
      <c r="A602" s="2">
        <v>1</v>
      </c>
      <c r="B602" s="2">
        <v>89</v>
      </c>
      <c r="C602" s="2">
        <v>24</v>
      </c>
      <c r="D602" s="2">
        <v>19</v>
      </c>
      <c r="E602" s="2">
        <v>25</v>
      </c>
      <c r="F602" s="2">
        <v>27.8</v>
      </c>
      <c r="G602" s="2">
        <v>0.559</v>
      </c>
      <c r="H602" s="2">
        <v>21</v>
      </c>
      <c r="I602">
        <v>0</v>
      </c>
    </row>
    <row r="603" spans="1:9">
      <c r="A603" s="2">
        <v>1</v>
      </c>
      <c r="B603" s="2">
        <v>173</v>
      </c>
      <c r="C603" s="2">
        <v>74</v>
      </c>
      <c r="D603" s="2">
        <v>0</v>
      </c>
      <c r="E603" s="2">
        <v>0</v>
      </c>
      <c r="F603" s="2">
        <v>36.8</v>
      </c>
      <c r="G603" s="2">
        <v>0.088</v>
      </c>
      <c r="H603" s="2">
        <v>38</v>
      </c>
      <c r="I603">
        <v>1</v>
      </c>
    </row>
    <row r="604" spans="1:9">
      <c r="A604" s="2">
        <v>1</v>
      </c>
      <c r="B604" s="2">
        <v>109</v>
      </c>
      <c r="C604" s="2">
        <v>38</v>
      </c>
      <c r="D604" s="2">
        <v>18</v>
      </c>
      <c r="E604" s="2">
        <v>120</v>
      </c>
      <c r="F604" s="2">
        <v>23.1</v>
      </c>
      <c r="G604" s="2">
        <v>0.407</v>
      </c>
      <c r="H604" s="2">
        <v>26</v>
      </c>
      <c r="I604">
        <v>0</v>
      </c>
    </row>
    <row r="605" spans="1:9">
      <c r="A605" s="2">
        <v>1</v>
      </c>
      <c r="B605" s="2">
        <v>108</v>
      </c>
      <c r="C605" s="2">
        <v>88</v>
      </c>
      <c r="D605" s="2">
        <v>19</v>
      </c>
      <c r="E605" s="2">
        <v>0</v>
      </c>
      <c r="F605" s="2">
        <v>27.1</v>
      </c>
      <c r="G605" s="2">
        <v>0.4</v>
      </c>
      <c r="H605" s="2">
        <v>24</v>
      </c>
      <c r="I605">
        <v>0</v>
      </c>
    </row>
    <row r="606" spans="1:9">
      <c r="A606" s="2">
        <v>6</v>
      </c>
      <c r="B606" s="2">
        <v>96</v>
      </c>
      <c r="C606" s="2">
        <v>0</v>
      </c>
      <c r="D606" s="2">
        <v>0</v>
      </c>
      <c r="E606" s="2">
        <v>0</v>
      </c>
      <c r="F606" s="2">
        <v>23.7</v>
      </c>
      <c r="G606" s="2">
        <v>0.19</v>
      </c>
      <c r="H606" s="2">
        <v>28</v>
      </c>
      <c r="I606">
        <v>0</v>
      </c>
    </row>
    <row r="607" spans="1:9">
      <c r="A607" s="2">
        <v>1</v>
      </c>
      <c r="B607" s="2">
        <v>124</v>
      </c>
      <c r="C607" s="2">
        <v>74</v>
      </c>
      <c r="D607" s="2">
        <v>36</v>
      </c>
      <c r="E607" s="2">
        <v>0</v>
      </c>
      <c r="F607" s="2">
        <v>27.8</v>
      </c>
      <c r="G607" s="2">
        <v>0.1</v>
      </c>
      <c r="H607" s="2">
        <v>30</v>
      </c>
      <c r="I607">
        <v>0</v>
      </c>
    </row>
    <row r="608" spans="1:9">
      <c r="A608" s="2">
        <v>7</v>
      </c>
      <c r="B608" s="2">
        <v>150</v>
      </c>
      <c r="C608" s="2">
        <v>78</v>
      </c>
      <c r="D608" s="2">
        <v>29</v>
      </c>
      <c r="E608" s="2">
        <v>126</v>
      </c>
      <c r="F608" s="2">
        <v>35.2</v>
      </c>
      <c r="G608" s="2">
        <v>0.692</v>
      </c>
      <c r="H608" s="2">
        <v>54</v>
      </c>
      <c r="I608">
        <v>1</v>
      </c>
    </row>
    <row r="609" spans="1:9">
      <c r="A609" s="2">
        <v>4</v>
      </c>
      <c r="B609" s="2">
        <v>183</v>
      </c>
      <c r="C609" s="2">
        <v>0</v>
      </c>
      <c r="D609" s="2">
        <v>0</v>
      </c>
      <c r="E609" s="2">
        <v>0</v>
      </c>
      <c r="F609" s="2">
        <v>28.4</v>
      </c>
      <c r="G609" s="2">
        <v>0.212</v>
      </c>
      <c r="H609" s="2">
        <v>36</v>
      </c>
      <c r="I609">
        <v>1</v>
      </c>
    </row>
    <row r="610" spans="1:9">
      <c r="A610" s="2">
        <v>1</v>
      </c>
      <c r="B610" s="2">
        <v>124</v>
      </c>
      <c r="C610" s="2">
        <v>60</v>
      </c>
      <c r="D610" s="2">
        <v>32</v>
      </c>
      <c r="E610" s="2">
        <v>0</v>
      </c>
      <c r="F610" s="2">
        <v>35.8</v>
      </c>
      <c r="G610" s="2">
        <v>0.514</v>
      </c>
      <c r="H610" s="2">
        <v>21</v>
      </c>
      <c r="I610">
        <v>0</v>
      </c>
    </row>
    <row r="611" spans="1:9">
      <c r="A611" s="2">
        <v>1</v>
      </c>
      <c r="B611" s="2">
        <v>181</v>
      </c>
      <c r="C611" s="2">
        <v>78</v>
      </c>
      <c r="D611" s="2">
        <v>42</v>
      </c>
      <c r="E611" s="2">
        <v>293</v>
      </c>
      <c r="F611" s="2">
        <v>40</v>
      </c>
      <c r="G611" s="2">
        <v>1.258</v>
      </c>
      <c r="H611" s="2">
        <v>22</v>
      </c>
      <c r="I611">
        <v>1</v>
      </c>
    </row>
    <row r="612" spans="1:9">
      <c r="A612" s="2">
        <v>1</v>
      </c>
      <c r="B612" s="2">
        <v>92</v>
      </c>
      <c r="C612" s="2">
        <v>62</v>
      </c>
      <c r="D612" s="2">
        <v>25</v>
      </c>
      <c r="E612" s="2">
        <v>41</v>
      </c>
      <c r="F612" s="2">
        <v>19.5</v>
      </c>
      <c r="G612" s="2">
        <v>0.482</v>
      </c>
      <c r="H612" s="2">
        <v>25</v>
      </c>
      <c r="I612">
        <v>0</v>
      </c>
    </row>
    <row r="613" spans="1:9">
      <c r="A613" s="2">
        <v>0</v>
      </c>
      <c r="B613" s="2">
        <v>152</v>
      </c>
      <c r="C613" s="2">
        <v>82</v>
      </c>
      <c r="D613" s="2">
        <v>39</v>
      </c>
      <c r="E613" s="2">
        <v>272</v>
      </c>
      <c r="F613" s="2">
        <v>41.5</v>
      </c>
      <c r="G613" s="2">
        <v>0.27</v>
      </c>
      <c r="H613" s="2">
        <v>27</v>
      </c>
      <c r="I613">
        <v>0</v>
      </c>
    </row>
    <row r="614" spans="1:9">
      <c r="A614" s="2">
        <v>1</v>
      </c>
      <c r="B614" s="2">
        <v>111</v>
      </c>
      <c r="C614" s="2">
        <v>62</v>
      </c>
      <c r="D614" s="2">
        <v>13</v>
      </c>
      <c r="E614" s="2">
        <v>182</v>
      </c>
      <c r="F614" s="2">
        <v>24</v>
      </c>
      <c r="G614" s="2">
        <v>0.138</v>
      </c>
      <c r="H614" s="2">
        <v>23</v>
      </c>
      <c r="I614">
        <v>0</v>
      </c>
    </row>
    <row r="615" spans="1:9">
      <c r="A615" s="2">
        <v>3</v>
      </c>
      <c r="B615" s="2">
        <v>106</v>
      </c>
      <c r="C615" s="2">
        <v>54</v>
      </c>
      <c r="D615" s="2">
        <v>21</v>
      </c>
      <c r="E615" s="2">
        <v>158</v>
      </c>
      <c r="F615" s="2">
        <v>30.9</v>
      </c>
      <c r="G615" s="2">
        <v>0.292</v>
      </c>
      <c r="H615" s="2">
        <v>24</v>
      </c>
      <c r="I615">
        <v>0</v>
      </c>
    </row>
    <row r="616" spans="1:9">
      <c r="A616" s="2">
        <v>3</v>
      </c>
      <c r="B616" s="2">
        <v>174</v>
      </c>
      <c r="C616" s="2">
        <v>58</v>
      </c>
      <c r="D616" s="2">
        <v>22</v>
      </c>
      <c r="E616" s="2">
        <v>194</v>
      </c>
      <c r="F616" s="2">
        <v>32.9</v>
      </c>
      <c r="G616" s="2">
        <v>0.593</v>
      </c>
      <c r="H616" s="2">
        <v>36</v>
      </c>
      <c r="I616">
        <v>1</v>
      </c>
    </row>
    <row r="617" spans="1:9">
      <c r="A617" s="2">
        <v>7</v>
      </c>
      <c r="B617" s="2">
        <v>168</v>
      </c>
      <c r="C617" s="2">
        <v>88</v>
      </c>
      <c r="D617" s="2">
        <v>42</v>
      </c>
      <c r="E617" s="2">
        <v>321</v>
      </c>
      <c r="F617" s="2">
        <v>38.2</v>
      </c>
      <c r="G617" s="2">
        <v>0.787</v>
      </c>
      <c r="H617" s="2">
        <v>40</v>
      </c>
      <c r="I617">
        <v>1</v>
      </c>
    </row>
    <row r="618" spans="1:9">
      <c r="A618" s="2">
        <v>6</v>
      </c>
      <c r="B618" s="2">
        <v>105</v>
      </c>
      <c r="C618" s="2">
        <v>80</v>
      </c>
      <c r="D618" s="2">
        <v>28</v>
      </c>
      <c r="E618" s="2">
        <v>0</v>
      </c>
      <c r="F618" s="2">
        <v>32.5</v>
      </c>
      <c r="G618" s="2">
        <v>0.878</v>
      </c>
      <c r="H618" s="2">
        <v>26</v>
      </c>
      <c r="I618">
        <v>0</v>
      </c>
    </row>
    <row r="619" spans="1:9">
      <c r="A619" s="2">
        <v>11</v>
      </c>
      <c r="B619" s="2">
        <v>138</v>
      </c>
      <c r="C619" s="2">
        <v>74</v>
      </c>
      <c r="D619" s="2">
        <v>26</v>
      </c>
      <c r="E619" s="2">
        <v>144</v>
      </c>
      <c r="F619" s="2">
        <v>36.1</v>
      </c>
      <c r="G619" s="2">
        <v>0.557</v>
      </c>
      <c r="H619" s="2">
        <v>50</v>
      </c>
      <c r="I619">
        <v>1</v>
      </c>
    </row>
    <row r="620" spans="1:9">
      <c r="A620" s="2">
        <v>3</v>
      </c>
      <c r="B620" s="2">
        <v>106</v>
      </c>
      <c r="C620" s="2">
        <v>72</v>
      </c>
      <c r="D620" s="2">
        <v>0</v>
      </c>
      <c r="E620" s="2">
        <v>0</v>
      </c>
      <c r="F620" s="2">
        <v>25.8</v>
      </c>
      <c r="G620" s="2">
        <v>0.207</v>
      </c>
      <c r="H620" s="2">
        <v>27</v>
      </c>
      <c r="I620">
        <v>0</v>
      </c>
    </row>
    <row r="621" spans="1:9">
      <c r="A621" s="2">
        <v>6</v>
      </c>
      <c r="B621" s="2">
        <v>117</v>
      </c>
      <c r="C621" s="2">
        <v>96</v>
      </c>
      <c r="D621" s="2">
        <v>0</v>
      </c>
      <c r="E621" s="2">
        <v>0</v>
      </c>
      <c r="F621" s="2">
        <v>28.7</v>
      </c>
      <c r="G621" s="2">
        <v>0.157</v>
      </c>
      <c r="H621" s="2">
        <v>30</v>
      </c>
      <c r="I621">
        <v>0</v>
      </c>
    </row>
    <row r="622" spans="1:9">
      <c r="A622" s="2">
        <v>2</v>
      </c>
      <c r="B622" s="2">
        <v>68</v>
      </c>
      <c r="C622" s="2">
        <v>62</v>
      </c>
      <c r="D622" s="2">
        <v>13</v>
      </c>
      <c r="E622" s="2">
        <v>15</v>
      </c>
      <c r="F622" s="2">
        <v>20.1</v>
      </c>
      <c r="G622" s="2">
        <v>0.257</v>
      </c>
      <c r="H622" s="2">
        <v>23</v>
      </c>
      <c r="I622">
        <v>0</v>
      </c>
    </row>
    <row r="623" spans="1:9">
      <c r="A623" s="2">
        <v>9</v>
      </c>
      <c r="B623" s="2">
        <v>112</v>
      </c>
      <c r="C623" s="2">
        <v>82</v>
      </c>
      <c r="D623" s="2">
        <v>24</v>
      </c>
      <c r="E623" s="2">
        <v>0</v>
      </c>
      <c r="F623" s="2">
        <v>28.2</v>
      </c>
      <c r="G623" s="2">
        <v>1.282</v>
      </c>
      <c r="H623" s="2">
        <v>50</v>
      </c>
      <c r="I623">
        <v>1</v>
      </c>
    </row>
    <row r="624" spans="1:9">
      <c r="A624" s="2">
        <v>0</v>
      </c>
      <c r="B624" s="2">
        <v>119</v>
      </c>
      <c r="C624" s="2">
        <v>0</v>
      </c>
      <c r="D624" s="2">
        <v>0</v>
      </c>
      <c r="E624" s="2">
        <v>0</v>
      </c>
      <c r="F624" s="2">
        <v>32.4</v>
      </c>
      <c r="G624" s="2">
        <v>0.141</v>
      </c>
      <c r="H624" s="2">
        <v>24</v>
      </c>
      <c r="I624">
        <v>1</v>
      </c>
    </row>
    <row r="625" spans="1:9">
      <c r="A625" s="2">
        <v>2</v>
      </c>
      <c r="B625" s="2">
        <v>112</v>
      </c>
      <c r="C625" s="2">
        <v>86</v>
      </c>
      <c r="D625" s="2">
        <v>42</v>
      </c>
      <c r="E625" s="2">
        <v>160</v>
      </c>
      <c r="F625" s="2">
        <v>38.4</v>
      </c>
      <c r="G625" s="2">
        <v>0.246</v>
      </c>
      <c r="H625" s="2">
        <v>28</v>
      </c>
      <c r="I625">
        <v>0</v>
      </c>
    </row>
    <row r="626" spans="1:9">
      <c r="A626" s="2">
        <v>2</v>
      </c>
      <c r="B626" s="2">
        <v>92</v>
      </c>
      <c r="C626" s="2">
        <v>76</v>
      </c>
      <c r="D626" s="2">
        <v>20</v>
      </c>
      <c r="E626" s="2">
        <v>0</v>
      </c>
      <c r="F626" s="2">
        <v>24.2</v>
      </c>
      <c r="G626" s="2">
        <v>1.698</v>
      </c>
      <c r="H626" s="2">
        <v>28</v>
      </c>
      <c r="I626">
        <v>0</v>
      </c>
    </row>
    <row r="627" spans="1:9">
      <c r="A627" s="2">
        <v>6</v>
      </c>
      <c r="B627" s="2">
        <v>183</v>
      </c>
      <c r="C627" s="2">
        <v>94</v>
      </c>
      <c r="D627" s="2">
        <v>0</v>
      </c>
      <c r="E627" s="2">
        <v>0</v>
      </c>
      <c r="F627" s="2">
        <v>40.8</v>
      </c>
      <c r="G627" s="2">
        <v>1.461</v>
      </c>
      <c r="H627" s="2">
        <v>45</v>
      </c>
      <c r="I627">
        <v>0</v>
      </c>
    </row>
    <row r="628" spans="1:9">
      <c r="A628" s="2">
        <v>0</v>
      </c>
      <c r="B628" s="2">
        <v>94</v>
      </c>
      <c r="C628" s="2">
        <v>70</v>
      </c>
      <c r="D628" s="2">
        <v>27</v>
      </c>
      <c r="E628" s="2">
        <v>115</v>
      </c>
      <c r="F628" s="2">
        <v>43.5</v>
      </c>
      <c r="G628" s="2">
        <v>0.347</v>
      </c>
      <c r="H628" s="2">
        <v>21</v>
      </c>
      <c r="I628">
        <v>0</v>
      </c>
    </row>
    <row r="629" spans="1:9">
      <c r="A629" s="2">
        <v>2</v>
      </c>
      <c r="B629" s="2">
        <v>108</v>
      </c>
      <c r="C629" s="2">
        <v>64</v>
      </c>
      <c r="D629" s="2">
        <v>0</v>
      </c>
      <c r="E629" s="2">
        <v>0</v>
      </c>
      <c r="F629" s="2">
        <v>30.8</v>
      </c>
      <c r="G629" s="2">
        <v>0.158</v>
      </c>
      <c r="H629" s="2">
        <v>21</v>
      </c>
      <c r="I629">
        <v>0</v>
      </c>
    </row>
    <row r="630" spans="1:9">
      <c r="A630" s="2">
        <v>4</v>
      </c>
      <c r="B630" s="2">
        <v>90</v>
      </c>
      <c r="C630" s="2">
        <v>88</v>
      </c>
      <c r="D630" s="2">
        <v>47</v>
      </c>
      <c r="E630" s="2">
        <v>54</v>
      </c>
      <c r="F630" s="2">
        <v>37.7</v>
      </c>
      <c r="G630" s="2">
        <v>0.362</v>
      </c>
      <c r="H630" s="2">
        <v>29</v>
      </c>
      <c r="I630">
        <v>0</v>
      </c>
    </row>
    <row r="631" spans="1:9">
      <c r="A631" s="2">
        <v>0</v>
      </c>
      <c r="B631" s="2">
        <v>125</v>
      </c>
      <c r="C631" s="2">
        <v>68</v>
      </c>
      <c r="D631" s="2">
        <v>0</v>
      </c>
      <c r="E631" s="2">
        <v>0</v>
      </c>
      <c r="F631" s="2">
        <v>24.7</v>
      </c>
      <c r="G631" s="2">
        <v>0.206</v>
      </c>
      <c r="H631" s="2">
        <v>21</v>
      </c>
      <c r="I631">
        <v>0</v>
      </c>
    </row>
    <row r="632" spans="1:9">
      <c r="A632" s="2">
        <v>0</v>
      </c>
      <c r="B632" s="2">
        <v>132</v>
      </c>
      <c r="C632" s="2">
        <v>78</v>
      </c>
      <c r="D632" s="2">
        <v>0</v>
      </c>
      <c r="E632" s="2">
        <v>0</v>
      </c>
      <c r="F632" s="2">
        <v>32.4</v>
      </c>
      <c r="G632" s="2">
        <v>0.393</v>
      </c>
      <c r="H632" s="2">
        <v>21</v>
      </c>
      <c r="I632">
        <v>0</v>
      </c>
    </row>
    <row r="633" spans="1:9">
      <c r="A633" s="2">
        <v>5</v>
      </c>
      <c r="B633" s="2">
        <v>128</v>
      </c>
      <c r="C633" s="2">
        <v>80</v>
      </c>
      <c r="D633" s="2">
        <v>0</v>
      </c>
      <c r="E633" s="2">
        <v>0</v>
      </c>
      <c r="F633" s="2">
        <v>34.6</v>
      </c>
      <c r="G633" s="2">
        <v>0.144</v>
      </c>
      <c r="H633" s="2">
        <v>45</v>
      </c>
      <c r="I633">
        <v>0</v>
      </c>
    </row>
    <row r="634" spans="1:9">
      <c r="A634" s="2">
        <v>4</v>
      </c>
      <c r="B634" s="2">
        <v>94</v>
      </c>
      <c r="C634" s="2">
        <v>65</v>
      </c>
      <c r="D634" s="2">
        <v>22</v>
      </c>
      <c r="E634" s="2">
        <v>0</v>
      </c>
      <c r="F634" s="2">
        <v>24.7</v>
      </c>
      <c r="G634" s="2">
        <v>0.148</v>
      </c>
      <c r="H634" s="2">
        <v>21</v>
      </c>
      <c r="I634">
        <v>0</v>
      </c>
    </row>
    <row r="635" spans="1:9">
      <c r="A635" s="2">
        <v>7</v>
      </c>
      <c r="B635" s="2">
        <v>114</v>
      </c>
      <c r="C635" s="2">
        <v>64</v>
      </c>
      <c r="D635" s="2">
        <v>0</v>
      </c>
      <c r="E635" s="2">
        <v>0</v>
      </c>
      <c r="F635" s="2">
        <v>27.4</v>
      </c>
      <c r="G635" s="2">
        <v>0.732</v>
      </c>
      <c r="H635" s="2">
        <v>34</v>
      </c>
      <c r="I635">
        <v>1</v>
      </c>
    </row>
    <row r="636" spans="1:9">
      <c r="A636" s="2">
        <v>0</v>
      </c>
      <c r="B636" s="2">
        <v>102</v>
      </c>
      <c r="C636" s="2">
        <v>78</v>
      </c>
      <c r="D636" s="2">
        <v>40</v>
      </c>
      <c r="E636" s="2">
        <v>90</v>
      </c>
      <c r="F636" s="2">
        <v>34.5</v>
      </c>
      <c r="G636" s="2">
        <v>0.238</v>
      </c>
      <c r="H636" s="2">
        <v>24</v>
      </c>
      <c r="I636">
        <v>0</v>
      </c>
    </row>
    <row r="637" spans="1:9">
      <c r="A637" s="2">
        <v>2</v>
      </c>
      <c r="B637" s="2">
        <v>111</v>
      </c>
      <c r="C637" s="2">
        <v>60</v>
      </c>
      <c r="D637" s="2">
        <v>0</v>
      </c>
      <c r="E637" s="2">
        <v>0</v>
      </c>
      <c r="F637" s="2">
        <v>26.2</v>
      </c>
      <c r="G637" s="2">
        <v>0.343</v>
      </c>
      <c r="H637" s="2">
        <v>23</v>
      </c>
      <c r="I637">
        <v>0</v>
      </c>
    </row>
    <row r="638" spans="1:9">
      <c r="A638" s="2">
        <v>1</v>
      </c>
      <c r="B638" s="2">
        <v>128</v>
      </c>
      <c r="C638" s="2">
        <v>82</v>
      </c>
      <c r="D638" s="2">
        <v>17</v>
      </c>
      <c r="E638" s="2">
        <v>183</v>
      </c>
      <c r="F638" s="2">
        <v>27.5</v>
      </c>
      <c r="G638" s="2">
        <v>0.115</v>
      </c>
      <c r="H638" s="2">
        <v>22</v>
      </c>
      <c r="I638">
        <v>0</v>
      </c>
    </row>
    <row r="639" spans="1:9">
      <c r="A639" s="2">
        <v>10</v>
      </c>
      <c r="B639" s="2">
        <v>92</v>
      </c>
      <c r="C639" s="2">
        <v>62</v>
      </c>
      <c r="D639" s="2">
        <v>0</v>
      </c>
      <c r="E639" s="2">
        <v>0</v>
      </c>
      <c r="F639" s="2">
        <v>25.9</v>
      </c>
      <c r="G639" s="2">
        <v>0.167</v>
      </c>
      <c r="H639" s="2">
        <v>31</v>
      </c>
      <c r="I639">
        <v>0</v>
      </c>
    </row>
    <row r="640" spans="1:9">
      <c r="A640" s="2">
        <v>13</v>
      </c>
      <c r="B640" s="2">
        <v>104</v>
      </c>
      <c r="C640" s="2">
        <v>72</v>
      </c>
      <c r="D640" s="2">
        <v>0</v>
      </c>
      <c r="E640" s="2">
        <v>0</v>
      </c>
      <c r="F640" s="2">
        <v>31.2</v>
      </c>
      <c r="G640" s="2">
        <v>0.465</v>
      </c>
      <c r="H640" s="2">
        <v>38</v>
      </c>
      <c r="I640">
        <v>1</v>
      </c>
    </row>
    <row r="641" spans="1:9">
      <c r="A641" s="2">
        <v>5</v>
      </c>
      <c r="B641" s="2">
        <v>104</v>
      </c>
      <c r="C641" s="2">
        <v>74</v>
      </c>
      <c r="D641" s="2">
        <v>0</v>
      </c>
      <c r="E641" s="2">
        <v>0</v>
      </c>
      <c r="F641" s="2">
        <v>28.8</v>
      </c>
      <c r="G641" s="2">
        <v>0.153</v>
      </c>
      <c r="H641" s="2">
        <v>48</v>
      </c>
      <c r="I641">
        <v>0</v>
      </c>
    </row>
    <row r="642" spans="1:9">
      <c r="A642" s="2">
        <v>2</v>
      </c>
      <c r="B642" s="2">
        <v>94</v>
      </c>
      <c r="C642" s="2">
        <v>76</v>
      </c>
      <c r="D642" s="2">
        <v>18</v>
      </c>
      <c r="E642" s="2">
        <v>66</v>
      </c>
      <c r="F642" s="2">
        <v>31.6</v>
      </c>
      <c r="G642" s="2">
        <v>0.649</v>
      </c>
      <c r="H642" s="2">
        <v>23</v>
      </c>
      <c r="I642">
        <v>0</v>
      </c>
    </row>
    <row r="643" spans="1:9">
      <c r="A643" s="2">
        <v>7</v>
      </c>
      <c r="B643" s="2">
        <v>97</v>
      </c>
      <c r="C643" s="2">
        <v>76</v>
      </c>
      <c r="D643" s="2">
        <v>32</v>
      </c>
      <c r="E643" s="2">
        <v>91</v>
      </c>
      <c r="F643" s="2">
        <v>40.9</v>
      </c>
      <c r="G643" s="2">
        <v>0.871</v>
      </c>
      <c r="H643" s="2">
        <v>32</v>
      </c>
      <c r="I643">
        <v>1</v>
      </c>
    </row>
    <row r="644" spans="1:9">
      <c r="A644" s="2">
        <v>1</v>
      </c>
      <c r="B644" s="2">
        <v>100</v>
      </c>
      <c r="C644" s="2">
        <v>74</v>
      </c>
      <c r="D644" s="2">
        <v>12</v>
      </c>
      <c r="E644" s="2">
        <v>46</v>
      </c>
      <c r="F644" s="2">
        <v>19.5</v>
      </c>
      <c r="G644" s="2">
        <v>0.149</v>
      </c>
      <c r="H644" s="2">
        <v>28</v>
      </c>
      <c r="I644">
        <v>0</v>
      </c>
    </row>
    <row r="645" spans="1:9">
      <c r="A645" s="2">
        <v>0</v>
      </c>
      <c r="B645" s="2">
        <v>102</v>
      </c>
      <c r="C645" s="2">
        <v>86</v>
      </c>
      <c r="D645" s="2">
        <v>17</v>
      </c>
      <c r="E645" s="2">
        <v>105</v>
      </c>
      <c r="F645" s="2">
        <v>29.3</v>
      </c>
      <c r="G645" s="2">
        <v>0.695</v>
      </c>
      <c r="H645" s="2">
        <v>27</v>
      </c>
      <c r="I645">
        <v>0</v>
      </c>
    </row>
    <row r="646" spans="1:9">
      <c r="A646" s="2">
        <v>4</v>
      </c>
      <c r="B646" s="2">
        <v>128</v>
      </c>
      <c r="C646" s="2">
        <v>70</v>
      </c>
      <c r="D646" s="2">
        <v>0</v>
      </c>
      <c r="E646" s="2">
        <v>0</v>
      </c>
      <c r="F646" s="2">
        <v>34.3</v>
      </c>
      <c r="G646" s="2">
        <v>0.303</v>
      </c>
      <c r="H646" s="2">
        <v>24</v>
      </c>
      <c r="I646">
        <v>0</v>
      </c>
    </row>
    <row r="647" spans="1:9">
      <c r="A647" s="2">
        <v>6</v>
      </c>
      <c r="B647" s="2">
        <v>147</v>
      </c>
      <c r="C647" s="2">
        <v>80</v>
      </c>
      <c r="D647" s="2">
        <v>0</v>
      </c>
      <c r="E647" s="2">
        <v>0</v>
      </c>
      <c r="F647" s="2">
        <v>29.5</v>
      </c>
      <c r="G647" s="2">
        <v>0.178</v>
      </c>
      <c r="H647" s="2">
        <v>50</v>
      </c>
      <c r="I647">
        <v>1</v>
      </c>
    </row>
    <row r="648" spans="1:9">
      <c r="A648" s="2">
        <v>4</v>
      </c>
      <c r="B648" s="2">
        <v>90</v>
      </c>
      <c r="C648" s="2">
        <v>0</v>
      </c>
      <c r="D648" s="2">
        <v>0</v>
      </c>
      <c r="E648" s="2">
        <v>0</v>
      </c>
      <c r="F648" s="2">
        <v>28</v>
      </c>
      <c r="G648" s="2">
        <v>0.61</v>
      </c>
      <c r="H648" s="2">
        <v>31</v>
      </c>
      <c r="I648">
        <v>0</v>
      </c>
    </row>
    <row r="649" spans="1:9">
      <c r="A649" s="2">
        <v>3</v>
      </c>
      <c r="B649" s="2">
        <v>103</v>
      </c>
      <c r="C649" s="2">
        <v>72</v>
      </c>
      <c r="D649" s="2">
        <v>30</v>
      </c>
      <c r="E649" s="2">
        <v>152</v>
      </c>
      <c r="F649" s="2">
        <v>27.6</v>
      </c>
      <c r="G649" s="2">
        <v>0.73</v>
      </c>
      <c r="H649" s="2">
        <v>27</v>
      </c>
      <c r="I649">
        <v>0</v>
      </c>
    </row>
    <row r="650" spans="1:9">
      <c r="A650" s="2">
        <v>2</v>
      </c>
      <c r="B650" s="2">
        <v>157</v>
      </c>
      <c r="C650" s="2">
        <v>74</v>
      </c>
      <c r="D650" s="2">
        <v>35</v>
      </c>
      <c r="E650" s="2">
        <v>440</v>
      </c>
      <c r="F650" s="2">
        <v>39.4</v>
      </c>
      <c r="G650" s="2">
        <v>0.134</v>
      </c>
      <c r="H650" s="2">
        <v>30</v>
      </c>
      <c r="I650">
        <v>0</v>
      </c>
    </row>
    <row r="651" spans="1:9">
      <c r="A651" s="2">
        <v>1</v>
      </c>
      <c r="B651" s="2">
        <v>167</v>
      </c>
      <c r="C651" s="2">
        <v>74</v>
      </c>
      <c r="D651" s="2">
        <v>17</v>
      </c>
      <c r="E651" s="2">
        <v>144</v>
      </c>
      <c r="F651" s="2">
        <v>23.4</v>
      </c>
      <c r="G651" s="2">
        <v>0.447</v>
      </c>
      <c r="H651" s="2">
        <v>33</v>
      </c>
      <c r="I651">
        <v>1</v>
      </c>
    </row>
    <row r="652" spans="1:9">
      <c r="A652" s="2">
        <v>0</v>
      </c>
      <c r="B652" s="2">
        <v>179</v>
      </c>
      <c r="C652" s="2">
        <v>50</v>
      </c>
      <c r="D652" s="2">
        <v>36</v>
      </c>
      <c r="E652" s="2">
        <v>159</v>
      </c>
      <c r="F652" s="2">
        <v>37.8</v>
      </c>
      <c r="G652" s="2">
        <v>0.455</v>
      </c>
      <c r="H652" s="2">
        <v>22</v>
      </c>
      <c r="I652">
        <v>1</v>
      </c>
    </row>
    <row r="653" spans="1:9">
      <c r="A653" s="2">
        <v>11</v>
      </c>
      <c r="B653" s="2">
        <v>136</v>
      </c>
      <c r="C653" s="2">
        <v>84</v>
      </c>
      <c r="D653" s="2">
        <v>35</v>
      </c>
      <c r="E653" s="2">
        <v>130</v>
      </c>
      <c r="F653" s="2">
        <v>28.3</v>
      </c>
      <c r="G653" s="2">
        <v>0.26</v>
      </c>
      <c r="H653" s="2">
        <v>42</v>
      </c>
      <c r="I653">
        <v>1</v>
      </c>
    </row>
    <row r="654" spans="1:9">
      <c r="A654" s="2">
        <v>0</v>
      </c>
      <c r="B654" s="2">
        <v>107</v>
      </c>
      <c r="C654" s="2">
        <v>60</v>
      </c>
      <c r="D654" s="2">
        <v>25</v>
      </c>
      <c r="E654" s="2">
        <v>0</v>
      </c>
      <c r="F654" s="2">
        <v>26.4</v>
      </c>
      <c r="G654" s="2">
        <v>0.133</v>
      </c>
      <c r="H654" s="2">
        <v>23</v>
      </c>
      <c r="I654">
        <v>0</v>
      </c>
    </row>
    <row r="655" spans="1:9">
      <c r="A655" s="2">
        <v>1</v>
      </c>
      <c r="B655" s="2">
        <v>91</v>
      </c>
      <c r="C655" s="2">
        <v>54</v>
      </c>
      <c r="D655" s="2">
        <v>25</v>
      </c>
      <c r="E655" s="2">
        <v>100</v>
      </c>
      <c r="F655" s="2">
        <v>25.2</v>
      </c>
      <c r="G655" s="2">
        <v>0.234</v>
      </c>
      <c r="H655" s="2">
        <v>23</v>
      </c>
      <c r="I655">
        <v>0</v>
      </c>
    </row>
    <row r="656" spans="1:9">
      <c r="A656" s="2">
        <v>1</v>
      </c>
      <c r="B656" s="2">
        <v>117</v>
      </c>
      <c r="C656" s="2">
        <v>60</v>
      </c>
      <c r="D656" s="2">
        <v>23</v>
      </c>
      <c r="E656" s="2">
        <v>106</v>
      </c>
      <c r="F656" s="2">
        <v>33.8</v>
      </c>
      <c r="G656" s="2">
        <v>0.466</v>
      </c>
      <c r="H656" s="2">
        <v>27</v>
      </c>
      <c r="I656">
        <v>0</v>
      </c>
    </row>
    <row r="657" spans="1:9">
      <c r="A657" s="2">
        <v>5</v>
      </c>
      <c r="B657" s="2">
        <v>123</v>
      </c>
      <c r="C657" s="2">
        <v>74</v>
      </c>
      <c r="D657" s="2">
        <v>40</v>
      </c>
      <c r="E657" s="2">
        <v>77</v>
      </c>
      <c r="F657" s="2">
        <v>34.1</v>
      </c>
      <c r="G657" s="2">
        <v>0.269</v>
      </c>
      <c r="H657" s="2">
        <v>28</v>
      </c>
      <c r="I657">
        <v>0</v>
      </c>
    </row>
    <row r="658" spans="1:9">
      <c r="A658" s="2">
        <v>2</v>
      </c>
      <c r="B658" s="2">
        <v>120</v>
      </c>
      <c r="C658" s="2">
        <v>54</v>
      </c>
      <c r="D658" s="2">
        <v>0</v>
      </c>
      <c r="E658" s="2">
        <v>0</v>
      </c>
      <c r="F658" s="2">
        <v>26.8</v>
      </c>
      <c r="G658" s="2">
        <v>0.455</v>
      </c>
      <c r="H658" s="2">
        <v>27</v>
      </c>
      <c r="I658">
        <v>0</v>
      </c>
    </row>
    <row r="659" spans="1:9">
      <c r="A659" s="2">
        <v>1</v>
      </c>
      <c r="B659" s="2">
        <v>106</v>
      </c>
      <c r="C659" s="2">
        <v>70</v>
      </c>
      <c r="D659" s="2">
        <v>28</v>
      </c>
      <c r="E659" s="2">
        <v>135</v>
      </c>
      <c r="F659" s="2">
        <v>34.2</v>
      </c>
      <c r="G659" s="2">
        <v>0.142</v>
      </c>
      <c r="H659" s="2">
        <v>22</v>
      </c>
      <c r="I659">
        <v>0</v>
      </c>
    </row>
    <row r="660" spans="1:9">
      <c r="A660" s="2">
        <v>2</v>
      </c>
      <c r="B660" s="2">
        <v>155</v>
      </c>
      <c r="C660" s="2">
        <v>52</v>
      </c>
      <c r="D660" s="2">
        <v>27</v>
      </c>
      <c r="E660" s="2">
        <v>540</v>
      </c>
      <c r="F660" s="2">
        <v>38.7</v>
      </c>
      <c r="G660" s="2">
        <v>0.24</v>
      </c>
      <c r="H660" s="2">
        <v>25</v>
      </c>
      <c r="I660">
        <v>1</v>
      </c>
    </row>
    <row r="661" spans="1:9">
      <c r="A661" s="2">
        <v>2</v>
      </c>
      <c r="B661" s="2">
        <v>101</v>
      </c>
      <c r="C661" s="2">
        <v>58</v>
      </c>
      <c r="D661" s="2">
        <v>35</v>
      </c>
      <c r="E661" s="2">
        <v>90</v>
      </c>
      <c r="F661" s="2">
        <v>21.8</v>
      </c>
      <c r="G661" s="2">
        <v>0.155</v>
      </c>
      <c r="H661" s="2">
        <v>22</v>
      </c>
      <c r="I661">
        <v>0</v>
      </c>
    </row>
    <row r="662" spans="1:9">
      <c r="A662" s="2">
        <v>1</v>
      </c>
      <c r="B662" s="2">
        <v>120</v>
      </c>
      <c r="C662" s="2">
        <v>80</v>
      </c>
      <c r="D662" s="2">
        <v>48</v>
      </c>
      <c r="E662" s="2">
        <v>200</v>
      </c>
      <c r="F662" s="2">
        <v>38.9</v>
      </c>
      <c r="G662" s="2">
        <v>1.162</v>
      </c>
      <c r="H662" s="2">
        <v>41</v>
      </c>
      <c r="I662">
        <v>0</v>
      </c>
    </row>
    <row r="663" spans="1:9">
      <c r="A663" s="2">
        <v>11</v>
      </c>
      <c r="B663" s="2">
        <v>127</v>
      </c>
      <c r="C663" s="2">
        <v>106</v>
      </c>
      <c r="D663" s="2">
        <v>0</v>
      </c>
      <c r="E663" s="2">
        <v>0</v>
      </c>
      <c r="F663" s="2">
        <v>39</v>
      </c>
      <c r="G663" s="2">
        <v>0.19</v>
      </c>
      <c r="H663" s="2">
        <v>51</v>
      </c>
      <c r="I663">
        <v>0</v>
      </c>
    </row>
    <row r="664" spans="1:9">
      <c r="A664" s="2">
        <v>3</v>
      </c>
      <c r="B664" s="2">
        <v>80</v>
      </c>
      <c r="C664" s="2">
        <v>82</v>
      </c>
      <c r="D664" s="2">
        <v>31</v>
      </c>
      <c r="E664" s="2">
        <v>70</v>
      </c>
      <c r="F664" s="2">
        <v>34.2</v>
      </c>
      <c r="G664" s="2">
        <v>1.292</v>
      </c>
      <c r="H664" s="2">
        <v>27</v>
      </c>
      <c r="I664">
        <v>1</v>
      </c>
    </row>
    <row r="665" spans="1:9">
      <c r="A665" s="2">
        <v>10</v>
      </c>
      <c r="B665" s="2">
        <v>162</v>
      </c>
      <c r="C665" s="2">
        <v>84</v>
      </c>
      <c r="D665" s="2">
        <v>0</v>
      </c>
      <c r="E665" s="2">
        <v>0</v>
      </c>
      <c r="F665" s="2">
        <v>27.7</v>
      </c>
      <c r="G665" s="2">
        <v>0.182</v>
      </c>
      <c r="H665" s="2">
        <v>54</v>
      </c>
      <c r="I665">
        <v>0</v>
      </c>
    </row>
    <row r="666" spans="1:9">
      <c r="A666" s="2">
        <v>1</v>
      </c>
      <c r="B666" s="2">
        <v>199</v>
      </c>
      <c r="C666" s="2">
        <v>76</v>
      </c>
      <c r="D666" s="2">
        <v>43</v>
      </c>
      <c r="E666" s="2">
        <v>0</v>
      </c>
      <c r="F666" s="2">
        <v>42.9</v>
      </c>
      <c r="G666" s="2">
        <v>1.394</v>
      </c>
      <c r="H666" s="2">
        <v>22</v>
      </c>
      <c r="I666">
        <v>1</v>
      </c>
    </row>
    <row r="667" spans="1:9">
      <c r="A667" s="2">
        <v>8</v>
      </c>
      <c r="B667" s="2">
        <v>167</v>
      </c>
      <c r="C667" s="2">
        <v>106</v>
      </c>
      <c r="D667" s="2">
        <v>46</v>
      </c>
      <c r="E667" s="2">
        <v>231</v>
      </c>
      <c r="F667" s="2">
        <v>37.6</v>
      </c>
      <c r="G667" s="2">
        <v>0.165</v>
      </c>
      <c r="H667" s="2">
        <v>43</v>
      </c>
      <c r="I667">
        <v>1</v>
      </c>
    </row>
    <row r="668" spans="1:9">
      <c r="A668" s="2">
        <v>9</v>
      </c>
      <c r="B668" s="2">
        <v>145</v>
      </c>
      <c r="C668" s="2">
        <v>80</v>
      </c>
      <c r="D668" s="2">
        <v>46</v>
      </c>
      <c r="E668" s="2">
        <v>130</v>
      </c>
      <c r="F668" s="2">
        <v>37.9</v>
      </c>
      <c r="G668" s="2">
        <v>0.637</v>
      </c>
      <c r="H668" s="2">
        <v>40</v>
      </c>
      <c r="I668">
        <v>1</v>
      </c>
    </row>
    <row r="669" spans="1:9">
      <c r="A669" s="2">
        <v>6</v>
      </c>
      <c r="B669" s="2">
        <v>115</v>
      </c>
      <c r="C669" s="2">
        <v>60</v>
      </c>
      <c r="D669" s="2">
        <v>39</v>
      </c>
      <c r="E669" s="2">
        <v>0</v>
      </c>
      <c r="F669" s="2">
        <v>33.7</v>
      </c>
      <c r="G669" s="2">
        <v>0.245</v>
      </c>
      <c r="H669" s="2">
        <v>40</v>
      </c>
      <c r="I669">
        <v>1</v>
      </c>
    </row>
    <row r="670" spans="1:9">
      <c r="A670" s="2">
        <v>1</v>
      </c>
      <c r="B670" s="2">
        <v>112</v>
      </c>
      <c r="C670" s="2">
        <v>80</v>
      </c>
      <c r="D670" s="2">
        <v>45</v>
      </c>
      <c r="E670" s="2">
        <v>132</v>
      </c>
      <c r="F670" s="2">
        <v>34.8</v>
      </c>
      <c r="G670" s="2">
        <v>0.217</v>
      </c>
      <c r="H670" s="2">
        <v>24</v>
      </c>
      <c r="I670">
        <v>0</v>
      </c>
    </row>
    <row r="671" spans="1:9">
      <c r="A671" s="2">
        <v>4</v>
      </c>
      <c r="B671" s="2">
        <v>145</v>
      </c>
      <c r="C671" s="2">
        <v>82</v>
      </c>
      <c r="D671" s="2">
        <v>18</v>
      </c>
      <c r="E671" s="2">
        <v>0</v>
      </c>
      <c r="F671" s="2">
        <v>32.5</v>
      </c>
      <c r="G671" s="2">
        <v>0.235</v>
      </c>
      <c r="H671" s="2">
        <v>70</v>
      </c>
      <c r="I671">
        <v>1</v>
      </c>
    </row>
    <row r="672" spans="1:9">
      <c r="A672" s="2">
        <v>10</v>
      </c>
      <c r="B672" s="2">
        <v>111</v>
      </c>
      <c r="C672" s="2">
        <v>70</v>
      </c>
      <c r="D672" s="2">
        <v>27</v>
      </c>
      <c r="E672" s="2">
        <v>0</v>
      </c>
      <c r="F672" s="2">
        <v>27.5</v>
      </c>
      <c r="G672" s="2">
        <v>0.141</v>
      </c>
      <c r="H672" s="2">
        <v>40</v>
      </c>
      <c r="I672">
        <v>1</v>
      </c>
    </row>
    <row r="673" spans="1:9">
      <c r="A673" s="2">
        <v>6</v>
      </c>
      <c r="B673" s="2">
        <v>98</v>
      </c>
      <c r="C673" s="2">
        <v>58</v>
      </c>
      <c r="D673" s="2">
        <v>33</v>
      </c>
      <c r="E673" s="2">
        <v>190</v>
      </c>
      <c r="F673" s="2">
        <v>34</v>
      </c>
      <c r="G673" s="2">
        <v>0.43</v>
      </c>
      <c r="H673" s="2">
        <v>43</v>
      </c>
      <c r="I673">
        <v>0</v>
      </c>
    </row>
    <row r="674" spans="1:9">
      <c r="A674" s="2">
        <v>9</v>
      </c>
      <c r="B674" s="2">
        <v>154</v>
      </c>
      <c r="C674" s="2">
        <v>78</v>
      </c>
      <c r="D674" s="2">
        <v>30</v>
      </c>
      <c r="E674" s="2">
        <v>100</v>
      </c>
      <c r="F674" s="2">
        <v>30.9</v>
      </c>
      <c r="G674" s="2">
        <v>0.164</v>
      </c>
      <c r="H674" s="2">
        <v>45</v>
      </c>
      <c r="I674">
        <v>0</v>
      </c>
    </row>
    <row r="675" spans="1:9">
      <c r="A675" s="2">
        <v>6</v>
      </c>
      <c r="B675" s="2">
        <v>165</v>
      </c>
      <c r="C675" s="2">
        <v>68</v>
      </c>
      <c r="D675" s="2">
        <v>26</v>
      </c>
      <c r="E675" s="2">
        <v>168</v>
      </c>
      <c r="F675" s="2">
        <v>33.6</v>
      </c>
      <c r="G675" s="2">
        <v>0.631</v>
      </c>
      <c r="H675" s="2">
        <v>49</v>
      </c>
      <c r="I675">
        <v>0</v>
      </c>
    </row>
    <row r="676" spans="1:9">
      <c r="A676" s="2">
        <v>1</v>
      </c>
      <c r="B676" s="2">
        <v>99</v>
      </c>
      <c r="C676" s="2">
        <v>58</v>
      </c>
      <c r="D676" s="2">
        <v>10</v>
      </c>
      <c r="E676" s="2">
        <v>0</v>
      </c>
      <c r="F676" s="2">
        <v>25.4</v>
      </c>
      <c r="G676" s="2">
        <v>0.551</v>
      </c>
      <c r="H676" s="2">
        <v>21</v>
      </c>
      <c r="I676">
        <v>0</v>
      </c>
    </row>
    <row r="677" spans="1:9">
      <c r="A677" s="2">
        <v>10</v>
      </c>
      <c r="B677" s="2">
        <v>68</v>
      </c>
      <c r="C677" s="2">
        <v>106</v>
      </c>
      <c r="D677" s="2">
        <v>23</v>
      </c>
      <c r="E677" s="2">
        <v>49</v>
      </c>
      <c r="F677" s="2">
        <v>35.5</v>
      </c>
      <c r="G677" s="2">
        <v>0.285</v>
      </c>
      <c r="H677" s="2">
        <v>47</v>
      </c>
      <c r="I677">
        <v>0</v>
      </c>
    </row>
    <row r="678" spans="1:9">
      <c r="A678" s="2">
        <v>3</v>
      </c>
      <c r="B678" s="2">
        <v>123</v>
      </c>
      <c r="C678" s="2">
        <v>100</v>
      </c>
      <c r="D678" s="2">
        <v>35</v>
      </c>
      <c r="E678" s="2">
        <v>240</v>
      </c>
      <c r="F678" s="2">
        <v>57.3</v>
      </c>
      <c r="G678" s="2">
        <v>0.88</v>
      </c>
      <c r="H678" s="2">
        <v>22</v>
      </c>
      <c r="I678">
        <v>0</v>
      </c>
    </row>
    <row r="679" spans="1:9">
      <c r="A679" s="2">
        <v>8</v>
      </c>
      <c r="B679" s="2">
        <v>91</v>
      </c>
      <c r="C679" s="2">
        <v>82</v>
      </c>
      <c r="D679" s="2">
        <v>0</v>
      </c>
      <c r="E679" s="2">
        <v>0</v>
      </c>
      <c r="F679" s="2">
        <v>35.6</v>
      </c>
      <c r="G679" s="2">
        <v>0.587</v>
      </c>
      <c r="H679" s="2">
        <v>68</v>
      </c>
      <c r="I679">
        <v>0</v>
      </c>
    </row>
    <row r="680" spans="1:9">
      <c r="A680" s="2">
        <v>6</v>
      </c>
      <c r="B680" s="2">
        <v>195</v>
      </c>
      <c r="C680" s="2">
        <v>70</v>
      </c>
      <c r="D680" s="2">
        <v>0</v>
      </c>
      <c r="E680" s="2">
        <v>0</v>
      </c>
      <c r="F680" s="2">
        <v>30.9</v>
      </c>
      <c r="G680" s="2">
        <v>0.328</v>
      </c>
      <c r="H680" s="2">
        <v>31</v>
      </c>
      <c r="I680">
        <v>1</v>
      </c>
    </row>
    <row r="681" spans="1:9">
      <c r="A681" s="2">
        <v>9</v>
      </c>
      <c r="B681" s="2">
        <v>156</v>
      </c>
      <c r="C681" s="2">
        <v>86</v>
      </c>
      <c r="D681" s="2">
        <v>0</v>
      </c>
      <c r="E681" s="2">
        <v>0</v>
      </c>
      <c r="F681" s="2">
        <v>24.8</v>
      </c>
      <c r="G681" s="2">
        <v>0.23</v>
      </c>
      <c r="H681" s="2">
        <v>53</v>
      </c>
      <c r="I681">
        <v>1</v>
      </c>
    </row>
    <row r="682" spans="1:9">
      <c r="A682" s="2">
        <v>0</v>
      </c>
      <c r="B682" s="2">
        <v>93</v>
      </c>
      <c r="C682" s="2">
        <v>60</v>
      </c>
      <c r="D682" s="2">
        <v>0</v>
      </c>
      <c r="E682" s="2">
        <v>0</v>
      </c>
      <c r="F682" s="2">
        <v>35.3</v>
      </c>
      <c r="G682" s="2">
        <v>0.263</v>
      </c>
      <c r="H682" s="2">
        <v>25</v>
      </c>
      <c r="I682">
        <v>0</v>
      </c>
    </row>
    <row r="683" spans="1:9">
      <c r="A683" s="2">
        <v>3</v>
      </c>
      <c r="B683" s="2">
        <v>121</v>
      </c>
      <c r="C683" s="2">
        <v>52</v>
      </c>
      <c r="D683" s="2">
        <v>0</v>
      </c>
      <c r="E683" s="2">
        <v>0</v>
      </c>
      <c r="F683" s="2">
        <v>36</v>
      </c>
      <c r="G683" s="2">
        <v>0.127</v>
      </c>
      <c r="H683" s="2">
        <v>25</v>
      </c>
      <c r="I683">
        <v>1</v>
      </c>
    </row>
    <row r="684" spans="1:9">
      <c r="A684" s="2">
        <v>2</v>
      </c>
      <c r="B684" s="2">
        <v>101</v>
      </c>
      <c r="C684" s="2">
        <v>58</v>
      </c>
      <c r="D684" s="2">
        <v>17</v>
      </c>
      <c r="E684" s="2">
        <v>265</v>
      </c>
      <c r="F684" s="2">
        <v>24.2</v>
      </c>
      <c r="G684" s="2">
        <v>0.614</v>
      </c>
      <c r="H684" s="2">
        <v>23</v>
      </c>
      <c r="I684">
        <v>0</v>
      </c>
    </row>
    <row r="685" spans="1:9">
      <c r="A685" s="2">
        <v>2</v>
      </c>
      <c r="B685" s="2">
        <v>56</v>
      </c>
      <c r="C685" s="2">
        <v>56</v>
      </c>
      <c r="D685" s="2">
        <v>28</v>
      </c>
      <c r="E685" s="2">
        <v>45</v>
      </c>
      <c r="F685" s="2">
        <v>24.2</v>
      </c>
      <c r="G685" s="2">
        <v>0.332</v>
      </c>
      <c r="H685" s="2">
        <v>22</v>
      </c>
      <c r="I685">
        <v>0</v>
      </c>
    </row>
    <row r="686" spans="1:9">
      <c r="A686" s="2">
        <v>0</v>
      </c>
      <c r="B686" s="2">
        <v>162</v>
      </c>
      <c r="C686" s="2">
        <v>76</v>
      </c>
      <c r="D686" s="2">
        <v>36</v>
      </c>
      <c r="E686" s="2">
        <v>0</v>
      </c>
      <c r="F686" s="2">
        <v>49.6</v>
      </c>
      <c r="G686" s="2">
        <v>0.364</v>
      </c>
      <c r="H686" s="2">
        <v>26</v>
      </c>
      <c r="I686">
        <v>1</v>
      </c>
    </row>
    <row r="687" spans="1:9">
      <c r="A687" s="2">
        <v>0</v>
      </c>
      <c r="B687" s="2">
        <v>95</v>
      </c>
      <c r="C687" s="2">
        <v>64</v>
      </c>
      <c r="D687" s="2">
        <v>39</v>
      </c>
      <c r="E687" s="2">
        <v>105</v>
      </c>
      <c r="F687" s="2">
        <v>44.6</v>
      </c>
      <c r="G687" s="2">
        <v>0.366</v>
      </c>
      <c r="H687" s="2">
        <v>22</v>
      </c>
      <c r="I687">
        <v>0</v>
      </c>
    </row>
    <row r="688" spans="1:9">
      <c r="A688" s="2">
        <v>4</v>
      </c>
      <c r="B688" s="2">
        <v>125</v>
      </c>
      <c r="C688" s="2">
        <v>80</v>
      </c>
      <c r="D688" s="2">
        <v>0</v>
      </c>
      <c r="E688" s="2">
        <v>0</v>
      </c>
      <c r="F688" s="2">
        <v>32.3</v>
      </c>
      <c r="G688" s="2">
        <v>0.536</v>
      </c>
      <c r="H688" s="2">
        <v>27</v>
      </c>
      <c r="I688">
        <v>1</v>
      </c>
    </row>
    <row r="689" spans="1:9">
      <c r="A689" s="2">
        <v>5</v>
      </c>
      <c r="B689" s="2">
        <v>136</v>
      </c>
      <c r="C689" s="2">
        <v>82</v>
      </c>
      <c r="D689" s="2">
        <v>0</v>
      </c>
      <c r="E689" s="2">
        <v>0</v>
      </c>
      <c r="F689" s="2">
        <v>0</v>
      </c>
      <c r="G689" s="2">
        <v>0.64</v>
      </c>
      <c r="H689" s="2">
        <v>69</v>
      </c>
      <c r="I689">
        <v>0</v>
      </c>
    </row>
    <row r="690" spans="1:9">
      <c r="A690" s="2">
        <v>2</v>
      </c>
      <c r="B690" s="2">
        <v>129</v>
      </c>
      <c r="C690" s="2">
        <v>74</v>
      </c>
      <c r="D690" s="2">
        <v>26</v>
      </c>
      <c r="E690" s="2">
        <v>205</v>
      </c>
      <c r="F690" s="2">
        <v>33.2</v>
      </c>
      <c r="G690" s="2">
        <v>0.591</v>
      </c>
      <c r="H690" s="2">
        <v>25</v>
      </c>
      <c r="I690">
        <v>0</v>
      </c>
    </row>
    <row r="691" spans="1:9">
      <c r="A691" s="2">
        <v>3</v>
      </c>
      <c r="B691" s="2">
        <v>130</v>
      </c>
      <c r="C691" s="2">
        <v>64</v>
      </c>
      <c r="D691" s="2">
        <v>0</v>
      </c>
      <c r="E691" s="2">
        <v>0</v>
      </c>
      <c r="F691" s="2">
        <v>23.1</v>
      </c>
      <c r="G691" s="2">
        <v>0.314</v>
      </c>
      <c r="H691" s="2">
        <v>22</v>
      </c>
      <c r="I691">
        <v>0</v>
      </c>
    </row>
    <row r="692" spans="1:9">
      <c r="A692" s="2">
        <v>1</v>
      </c>
      <c r="B692" s="2">
        <v>107</v>
      </c>
      <c r="C692" s="2">
        <v>50</v>
      </c>
      <c r="D692" s="2">
        <v>19</v>
      </c>
      <c r="E692" s="2">
        <v>0</v>
      </c>
      <c r="F692" s="2">
        <v>28.3</v>
      </c>
      <c r="G692" s="2">
        <v>0.181</v>
      </c>
      <c r="H692" s="2">
        <v>29</v>
      </c>
      <c r="I692">
        <v>0</v>
      </c>
    </row>
    <row r="693" spans="1:9">
      <c r="A693" s="2">
        <v>1</v>
      </c>
      <c r="B693" s="2">
        <v>140</v>
      </c>
      <c r="C693" s="2">
        <v>74</v>
      </c>
      <c r="D693" s="2">
        <v>26</v>
      </c>
      <c r="E693" s="2">
        <v>180</v>
      </c>
      <c r="F693" s="2">
        <v>24.1</v>
      </c>
      <c r="G693" s="2">
        <v>0.828</v>
      </c>
      <c r="H693" s="2">
        <v>23</v>
      </c>
      <c r="I693">
        <v>0</v>
      </c>
    </row>
    <row r="694" spans="1:9">
      <c r="A694" s="2">
        <v>1</v>
      </c>
      <c r="B694" s="2">
        <v>144</v>
      </c>
      <c r="C694" s="2">
        <v>82</v>
      </c>
      <c r="D694" s="2">
        <v>46</v>
      </c>
      <c r="E694" s="2">
        <v>180</v>
      </c>
      <c r="F694" s="2">
        <v>46.1</v>
      </c>
      <c r="G694" s="2">
        <v>0.335</v>
      </c>
      <c r="H694" s="2">
        <v>46</v>
      </c>
      <c r="I694">
        <v>1</v>
      </c>
    </row>
    <row r="695" spans="1:9">
      <c r="A695" s="2">
        <v>8</v>
      </c>
      <c r="B695" s="2">
        <v>107</v>
      </c>
      <c r="C695" s="2">
        <v>80</v>
      </c>
      <c r="D695" s="2">
        <v>0</v>
      </c>
      <c r="E695" s="2">
        <v>0</v>
      </c>
      <c r="F695" s="2">
        <v>24.6</v>
      </c>
      <c r="G695" s="2">
        <v>0.856</v>
      </c>
      <c r="H695" s="2">
        <v>34</v>
      </c>
      <c r="I695">
        <v>0</v>
      </c>
    </row>
    <row r="696" spans="1:9">
      <c r="A696" s="2">
        <v>13</v>
      </c>
      <c r="B696" s="2">
        <v>158</v>
      </c>
      <c r="C696" s="2">
        <v>114</v>
      </c>
      <c r="D696" s="2">
        <v>0</v>
      </c>
      <c r="E696" s="2">
        <v>0</v>
      </c>
      <c r="F696" s="2">
        <v>42.3</v>
      </c>
      <c r="G696" s="2">
        <v>0.257</v>
      </c>
      <c r="H696" s="2">
        <v>44</v>
      </c>
      <c r="I696">
        <v>1</v>
      </c>
    </row>
    <row r="697" spans="1:9">
      <c r="A697" s="2">
        <v>2</v>
      </c>
      <c r="B697" s="2">
        <v>121</v>
      </c>
      <c r="C697" s="2">
        <v>70</v>
      </c>
      <c r="D697" s="2">
        <v>32</v>
      </c>
      <c r="E697" s="2">
        <v>95</v>
      </c>
      <c r="F697" s="2">
        <v>39.1</v>
      </c>
      <c r="G697" s="2">
        <v>0.886</v>
      </c>
      <c r="H697" s="2">
        <v>23</v>
      </c>
      <c r="I697">
        <v>0</v>
      </c>
    </row>
    <row r="698" spans="1:9">
      <c r="A698" s="2">
        <v>7</v>
      </c>
      <c r="B698" s="2">
        <v>129</v>
      </c>
      <c r="C698" s="2">
        <v>68</v>
      </c>
      <c r="D698" s="2">
        <v>49</v>
      </c>
      <c r="E698" s="2">
        <v>125</v>
      </c>
      <c r="F698" s="2">
        <v>38.5</v>
      </c>
      <c r="G698" s="2">
        <v>0.439</v>
      </c>
      <c r="H698" s="2">
        <v>43</v>
      </c>
      <c r="I698">
        <v>1</v>
      </c>
    </row>
    <row r="699" spans="1:9">
      <c r="A699" s="2">
        <v>2</v>
      </c>
      <c r="B699" s="2">
        <v>90</v>
      </c>
      <c r="C699" s="2">
        <v>60</v>
      </c>
      <c r="D699" s="2">
        <v>0</v>
      </c>
      <c r="E699" s="2">
        <v>0</v>
      </c>
      <c r="F699" s="2">
        <v>23.5</v>
      </c>
      <c r="G699" s="2">
        <v>0.191</v>
      </c>
      <c r="H699" s="2">
        <v>25</v>
      </c>
      <c r="I699">
        <v>0</v>
      </c>
    </row>
    <row r="700" spans="1:9">
      <c r="A700" s="2">
        <v>7</v>
      </c>
      <c r="B700" s="2">
        <v>142</v>
      </c>
      <c r="C700" s="2">
        <v>90</v>
      </c>
      <c r="D700" s="2">
        <v>24</v>
      </c>
      <c r="E700" s="2">
        <v>480</v>
      </c>
      <c r="F700" s="2">
        <v>30.4</v>
      </c>
      <c r="G700" s="2">
        <v>0.128</v>
      </c>
      <c r="H700" s="2">
        <v>43</v>
      </c>
      <c r="I700">
        <v>1</v>
      </c>
    </row>
    <row r="701" spans="1:9">
      <c r="A701" s="2">
        <v>3</v>
      </c>
      <c r="B701" s="2">
        <v>169</v>
      </c>
      <c r="C701" s="2">
        <v>74</v>
      </c>
      <c r="D701" s="2">
        <v>19</v>
      </c>
      <c r="E701" s="2">
        <v>125</v>
      </c>
      <c r="F701" s="2">
        <v>29.9</v>
      </c>
      <c r="G701" s="2">
        <v>0.268</v>
      </c>
      <c r="H701" s="2">
        <v>31</v>
      </c>
      <c r="I701">
        <v>1</v>
      </c>
    </row>
    <row r="702" spans="1:9">
      <c r="A702" s="2">
        <v>0</v>
      </c>
      <c r="B702" s="2">
        <v>99</v>
      </c>
      <c r="C702" s="2">
        <v>0</v>
      </c>
      <c r="D702" s="2">
        <v>0</v>
      </c>
      <c r="E702" s="2">
        <v>0</v>
      </c>
      <c r="F702" s="2">
        <v>25</v>
      </c>
      <c r="G702" s="2">
        <v>0.253</v>
      </c>
      <c r="H702" s="2">
        <v>22</v>
      </c>
      <c r="I702">
        <v>0</v>
      </c>
    </row>
    <row r="703" spans="1:9">
      <c r="A703" s="2">
        <v>4</v>
      </c>
      <c r="B703" s="2">
        <v>127</v>
      </c>
      <c r="C703" s="2">
        <v>88</v>
      </c>
      <c r="D703" s="2">
        <v>11</v>
      </c>
      <c r="E703" s="2">
        <v>155</v>
      </c>
      <c r="F703" s="2">
        <v>34.5</v>
      </c>
      <c r="G703" s="2">
        <v>0.598</v>
      </c>
      <c r="H703" s="2">
        <v>28</v>
      </c>
      <c r="I703">
        <v>0</v>
      </c>
    </row>
    <row r="704" spans="1:9">
      <c r="A704" s="2">
        <v>4</v>
      </c>
      <c r="B704" s="2">
        <v>118</v>
      </c>
      <c r="C704" s="2">
        <v>70</v>
      </c>
      <c r="D704" s="2">
        <v>0</v>
      </c>
      <c r="E704" s="2">
        <v>0</v>
      </c>
      <c r="F704" s="2">
        <v>44.5</v>
      </c>
      <c r="G704" s="2">
        <v>0.904</v>
      </c>
      <c r="H704" s="2">
        <v>26</v>
      </c>
      <c r="I704">
        <v>0</v>
      </c>
    </row>
    <row r="705" spans="1:9">
      <c r="A705" s="2">
        <v>2</v>
      </c>
      <c r="B705" s="2">
        <v>122</v>
      </c>
      <c r="C705" s="2">
        <v>76</v>
      </c>
      <c r="D705" s="2">
        <v>27</v>
      </c>
      <c r="E705" s="2">
        <v>200</v>
      </c>
      <c r="F705" s="2">
        <v>35.9</v>
      </c>
      <c r="G705" s="2">
        <v>0.483</v>
      </c>
      <c r="H705" s="2">
        <v>26</v>
      </c>
      <c r="I705">
        <v>0</v>
      </c>
    </row>
    <row r="706" spans="1:9">
      <c r="A706" s="2">
        <v>6</v>
      </c>
      <c r="B706" s="2">
        <v>125</v>
      </c>
      <c r="C706" s="2">
        <v>78</v>
      </c>
      <c r="D706" s="2">
        <v>31</v>
      </c>
      <c r="E706" s="2">
        <v>0</v>
      </c>
      <c r="F706" s="2">
        <v>27.6</v>
      </c>
      <c r="G706" s="2">
        <v>0.565</v>
      </c>
      <c r="H706" s="2">
        <v>49</v>
      </c>
      <c r="I706">
        <v>1</v>
      </c>
    </row>
    <row r="707" spans="1:9">
      <c r="A707" s="2">
        <v>1</v>
      </c>
      <c r="B707" s="2">
        <v>168</v>
      </c>
      <c r="C707" s="2">
        <v>88</v>
      </c>
      <c r="D707" s="2">
        <v>29</v>
      </c>
      <c r="E707" s="2">
        <v>0</v>
      </c>
      <c r="F707" s="2">
        <v>35</v>
      </c>
      <c r="G707" s="2">
        <v>0.905</v>
      </c>
      <c r="H707" s="2">
        <v>52</v>
      </c>
      <c r="I707">
        <v>1</v>
      </c>
    </row>
    <row r="708" spans="1:9">
      <c r="A708" s="2">
        <v>2</v>
      </c>
      <c r="B708" s="2">
        <v>129</v>
      </c>
      <c r="C708" s="2">
        <v>0</v>
      </c>
      <c r="D708" s="2">
        <v>0</v>
      </c>
      <c r="E708" s="2">
        <v>0</v>
      </c>
      <c r="F708" s="2">
        <v>38.5</v>
      </c>
      <c r="G708" s="2">
        <v>0.304</v>
      </c>
      <c r="H708" s="2">
        <v>41</v>
      </c>
      <c r="I708">
        <v>0</v>
      </c>
    </row>
    <row r="709" spans="1:9">
      <c r="A709" s="2">
        <v>4</v>
      </c>
      <c r="B709" s="2">
        <v>110</v>
      </c>
      <c r="C709" s="2">
        <v>76</v>
      </c>
      <c r="D709" s="2">
        <v>20</v>
      </c>
      <c r="E709" s="2">
        <v>100</v>
      </c>
      <c r="F709" s="2">
        <v>28.4</v>
      </c>
      <c r="G709" s="2">
        <v>0.118</v>
      </c>
      <c r="H709" s="2">
        <v>27</v>
      </c>
      <c r="I709">
        <v>0</v>
      </c>
    </row>
    <row r="710" spans="1:9">
      <c r="A710" s="2">
        <v>6</v>
      </c>
      <c r="B710" s="2">
        <v>80</v>
      </c>
      <c r="C710" s="2">
        <v>80</v>
      </c>
      <c r="D710" s="2">
        <v>36</v>
      </c>
      <c r="E710" s="2">
        <v>0</v>
      </c>
      <c r="F710" s="2">
        <v>39.8</v>
      </c>
      <c r="G710" s="2">
        <v>0.177</v>
      </c>
      <c r="H710" s="2">
        <v>28</v>
      </c>
      <c r="I710">
        <v>0</v>
      </c>
    </row>
    <row r="711" spans="1:9">
      <c r="A711" s="2">
        <v>10</v>
      </c>
      <c r="B711" s="2">
        <v>115</v>
      </c>
      <c r="C711" s="2">
        <v>0</v>
      </c>
      <c r="D711" s="2">
        <v>0</v>
      </c>
      <c r="E711" s="2">
        <v>0</v>
      </c>
      <c r="F711" s="2">
        <v>0</v>
      </c>
      <c r="G711" s="2">
        <v>0.261</v>
      </c>
      <c r="H711" s="2">
        <v>30</v>
      </c>
      <c r="I711">
        <v>1</v>
      </c>
    </row>
    <row r="712" spans="1:9">
      <c r="A712" s="2">
        <v>2</v>
      </c>
      <c r="B712" s="2">
        <v>127</v>
      </c>
      <c r="C712" s="2">
        <v>46</v>
      </c>
      <c r="D712" s="2">
        <v>21</v>
      </c>
      <c r="E712" s="2">
        <v>335</v>
      </c>
      <c r="F712" s="2">
        <v>34.4</v>
      </c>
      <c r="G712" s="2">
        <v>0.176</v>
      </c>
      <c r="H712" s="2">
        <v>22</v>
      </c>
      <c r="I712">
        <v>0</v>
      </c>
    </row>
    <row r="713" spans="1:9">
      <c r="A713" s="2">
        <v>9</v>
      </c>
      <c r="B713" s="2">
        <v>164</v>
      </c>
      <c r="C713" s="2">
        <v>78</v>
      </c>
      <c r="D713" s="2">
        <v>0</v>
      </c>
      <c r="E713" s="2">
        <v>0</v>
      </c>
      <c r="F713" s="2">
        <v>32.8</v>
      </c>
      <c r="G713" s="2">
        <v>0.148</v>
      </c>
      <c r="H713" s="2">
        <v>45</v>
      </c>
      <c r="I713">
        <v>1</v>
      </c>
    </row>
    <row r="714" spans="1:9">
      <c r="A714" s="2">
        <v>2</v>
      </c>
      <c r="B714" s="2">
        <v>93</v>
      </c>
      <c r="C714" s="2">
        <v>64</v>
      </c>
      <c r="D714" s="2">
        <v>32</v>
      </c>
      <c r="E714" s="2">
        <v>160</v>
      </c>
      <c r="F714" s="2">
        <v>38</v>
      </c>
      <c r="G714" s="2">
        <v>0.674</v>
      </c>
      <c r="H714" s="2">
        <v>23</v>
      </c>
      <c r="I714">
        <v>1</v>
      </c>
    </row>
    <row r="715" spans="1:9">
      <c r="A715" s="2">
        <v>3</v>
      </c>
      <c r="B715" s="2">
        <v>158</v>
      </c>
      <c r="C715" s="2">
        <v>64</v>
      </c>
      <c r="D715" s="2">
        <v>13</v>
      </c>
      <c r="E715" s="2">
        <v>387</v>
      </c>
      <c r="F715" s="2">
        <v>31.2</v>
      </c>
      <c r="G715" s="2">
        <v>0.295</v>
      </c>
      <c r="H715" s="2">
        <v>24</v>
      </c>
      <c r="I715">
        <v>0</v>
      </c>
    </row>
    <row r="716" spans="1:9">
      <c r="A716" s="2">
        <v>5</v>
      </c>
      <c r="B716" s="2">
        <v>126</v>
      </c>
      <c r="C716" s="2">
        <v>78</v>
      </c>
      <c r="D716" s="2">
        <v>27</v>
      </c>
      <c r="E716" s="2">
        <v>22</v>
      </c>
      <c r="F716" s="2">
        <v>29.6</v>
      </c>
      <c r="G716" s="2">
        <v>0.439</v>
      </c>
      <c r="H716" s="2">
        <v>40</v>
      </c>
      <c r="I716">
        <v>0</v>
      </c>
    </row>
    <row r="717" spans="1:9">
      <c r="A717" s="2">
        <v>10</v>
      </c>
      <c r="B717" s="2">
        <v>129</v>
      </c>
      <c r="C717" s="2">
        <v>62</v>
      </c>
      <c r="D717" s="2">
        <v>36</v>
      </c>
      <c r="E717" s="2">
        <v>0</v>
      </c>
      <c r="F717" s="2">
        <v>41.2</v>
      </c>
      <c r="G717" s="2">
        <v>0.441</v>
      </c>
      <c r="H717" s="2">
        <v>38</v>
      </c>
      <c r="I717">
        <v>1</v>
      </c>
    </row>
    <row r="718" spans="1:9">
      <c r="A718" s="2">
        <v>0</v>
      </c>
      <c r="B718" s="2">
        <v>134</v>
      </c>
      <c r="C718" s="2">
        <v>58</v>
      </c>
      <c r="D718" s="2">
        <v>20</v>
      </c>
      <c r="E718" s="2">
        <v>291</v>
      </c>
      <c r="F718" s="2">
        <v>26.4</v>
      </c>
      <c r="G718" s="2">
        <v>0.352</v>
      </c>
      <c r="H718" s="2">
        <v>21</v>
      </c>
      <c r="I718">
        <v>0</v>
      </c>
    </row>
    <row r="719" spans="1:9">
      <c r="A719" s="2">
        <v>3</v>
      </c>
      <c r="B719" s="2">
        <v>102</v>
      </c>
      <c r="C719" s="2">
        <v>74</v>
      </c>
      <c r="D719" s="2">
        <v>0</v>
      </c>
      <c r="E719" s="2">
        <v>0</v>
      </c>
      <c r="F719" s="2">
        <v>29.5</v>
      </c>
      <c r="G719" s="2">
        <v>0.121</v>
      </c>
      <c r="H719" s="2">
        <v>32</v>
      </c>
      <c r="I719">
        <v>0</v>
      </c>
    </row>
    <row r="720" spans="1:9">
      <c r="A720" s="2">
        <v>7</v>
      </c>
      <c r="B720" s="2">
        <v>187</v>
      </c>
      <c r="C720" s="2">
        <v>50</v>
      </c>
      <c r="D720" s="2">
        <v>33</v>
      </c>
      <c r="E720" s="2">
        <v>392</v>
      </c>
      <c r="F720" s="2">
        <v>33.9</v>
      </c>
      <c r="G720" s="2">
        <v>0.826</v>
      </c>
      <c r="H720" s="2">
        <v>34</v>
      </c>
      <c r="I720">
        <v>1</v>
      </c>
    </row>
    <row r="721" spans="1:9">
      <c r="A721" s="2">
        <v>3</v>
      </c>
      <c r="B721" s="2">
        <v>173</v>
      </c>
      <c r="C721" s="2">
        <v>78</v>
      </c>
      <c r="D721" s="2">
        <v>39</v>
      </c>
      <c r="E721" s="2">
        <v>185</v>
      </c>
      <c r="F721" s="2">
        <v>33.8</v>
      </c>
      <c r="G721" s="2">
        <v>0.97</v>
      </c>
      <c r="H721" s="2">
        <v>31</v>
      </c>
      <c r="I721">
        <v>1</v>
      </c>
    </row>
    <row r="722" spans="1:9">
      <c r="A722" s="2">
        <v>10</v>
      </c>
      <c r="B722" s="2">
        <v>94</v>
      </c>
      <c r="C722" s="2">
        <v>72</v>
      </c>
      <c r="D722" s="2">
        <v>18</v>
      </c>
      <c r="E722" s="2">
        <v>0</v>
      </c>
      <c r="F722" s="2">
        <v>23.1</v>
      </c>
      <c r="G722" s="2">
        <v>0.595</v>
      </c>
      <c r="H722" s="2">
        <v>56</v>
      </c>
      <c r="I722">
        <v>0</v>
      </c>
    </row>
    <row r="723" spans="1:9">
      <c r="A723" s="2">
        <v>1</v>
      </c>
      <c r="B723" s="2">
        <v>108</v>
      </c>
      <c r="C723" s="2">
        <v>60</v>
      </c>
      <c r="D723" s="2">
        <v>46</v>
      </c>
      <c r="E723" s="2">
        <v>178</v>
      </c>
      <c r="F723" s="2">
        <v>35.5</v>
      </c>
      <c r="G723" s="2">
        <v>0.415</v>
      </c>
      <c r="H723" s="2">
        <v>24</v>
      </c>
      <c r="I723">
        <v>0</v>
      </c>
    </row>
    <row r="724" spans="1:9">
      <c r="A724" s="2">
        <v>5</v>
      </c>
      <c r="B724" s="2">
        <v>97</v>
      </c>
      <c r="C724" s="2">
        <v>76</v>
      </c>
      <c r="D724" s="2">
        <v>27</v>
      </c>
      <c r="E724" s="2">
        <v>0</v>
      </c>
      <c r="F724" s="2">
        <v>35.6</v>
      </c>
      <c r="G724" s="2">
        <v>0.378</v>
      </c>
      <c r="H724" s="2">
        <v>52</v>
      </c>
      <c r="I724">
        <v>1</v>
      </c>
    </row>
    <row r="725" spans="1:9">
      <c r="A725" s="2">
        <v>4</v>
      </c>
      <c r="B725" s="2">
        <v>83</v>
      </c>
      <c r="C725" s="2">
        <v>86</v>
      </c>
      <c r="D725" s="2">
        <v>19</v>
      </c>
      <c r="E725" s="2">
        <v>0</v>
      </c>
      <c r="F725" s="2">
        <v>29.3</v>
      </c>
      <c r="G725" s="2">
        <v>0.317</v>
      </c>
      <c r="H725" s="2">
        <v>34</v>
      </c>
      <c r="I725">
        <v>0</v>
      </c>
    </row>
    <row r="726" spans="1:9">
      <c r="A726" s="2">
        <v>1</v>
      </c>
      <c r="B726" s="2">
        <v>114</v>
      </c>
      <c r="C726" s="2">
        <v>66</v>
      </c>
      <c r="D726" s="2">
        <v>36</v>
      </c>
      <c r="E726" s="2">
        <v>200</v>
      </c>
      <c r="F726" s="2">
        <v>38.1</v>
      </c>
      <c r="G726" s="2">
        <v>0.289</v>
      </c>
      <c r="H726" s="2">
        <v>21</v>
      </c>
      <c r="I726">
        <v>0</v>
      </c>
    </row>
    <row r="727" spans="1:9">
      <c r="A727" s="2">
        <v>1</v>
      </c>
      <c r="B727" s="2">
        <v>149</v>
      </c>
      <c r="C727" s="2">
        <v>68</v>
      </c>
      <c r="D727" s="2">
        <v>29</v>
      </c>
      <c r="E727" s="2">
        <v>127</v>
      </c>
      <c r="F727" s="2">
        <v>29.3</v>
      </c>
      <c r="G727" s="2">
        <v>0.349</v>
      </c>
      <c r="H727" s="2">
        <v>42</v>
      </c>
      <c r="I727">
        <v>1</v>
      </c>
    </row>
    <row r="728" spans="1:9">
      <c r="A728" s="2">
        <v>5</v>
      </c>
      <c r="B728" s="2">
        <v>117</v>
      </c>
      <c r="C728" s="2">
        <v>86</v>
      </c>
      <c r="D728" s="2">
        <v>30</v>
      </c>
      <c r="E728" s="2">
        <v>105</v>
      </c>
      <c r="F728" s="2">
        <v>39.1</v>
      </c>
      <c r="G728" s="2">
        <v>0.251</v>
      </c>
      <c r="H728" s="2">
        <v>42</v>
      </c>
      <c r="I728">
        <v>0</v>
      </c>
    </row>
    <row r="729" spans="1:9">
      <c r="A729" s="2">
        <v>1</v>
      </c>
      <c r="B729" s="2">
        <v>111</v>
      </c>
      <c r="C729" s="2">
        <v>94</v>
      </c>
      <c r="D729" s="2">
        <v>0</v>
      </c>
      <c r="E729" s="2">
        <v>0</v>
      </c>
      <c r="F729" s="2">
        <v>32.8</v>
      </c>
      <c r="G729" s="2">
        <v>0.265</v>
      </c>
      <c r="H729" s="2">
        <v>45</v>
      </c>
      <c r="I729">
        <v>0</v>
      </c>
    </row>
    <row r="730" spans="1:9">
      <c r="A730" s="2">
        <v>4</v>
      </c>
      <c r="B730" s="2">
        <v>112</v>
      </c>
      <c r="C730" s="2">
        <v>78</v>
      </c>
      <c r="D730" s="2">
        <v>40</v>
      </c>
      <c r="E730" s="2">
        <v>0</v>
      </c>
      <c r="F730" s="2">
        <v>39.4</v>
      </c>
      <c r="G730" s="2">
        <v>0.236</v>
      </c>
      <c r="H730" s="2">
        <v>38</v>
      </c>
      <c r="I730">
        <v>0</v>
      </c>
    </row>
    <row r="731" spans="1:9">
      <c r="A731" s="2">
        <v>1</v>
      </c>
      <c r="B731" s="2">
        <v>116</v>
      </c>
      <c r="C731" s="2">
        <v>78</v>
      </c>
      <c r="D731" s="2">
        <v>29</v>
      </c>
      <c r="E731" s="2">
        <v>180</v>
      </c>
      <c r="F731" s="2">
        <v>36.1</v>
      </c>
      <c r="G731" s="2">
        <v>0.496</v>
      </c>
      <c r="H731" s="2">
        <v>25</v>
      </c>
      <c r="I731">
        <v>0</v>
      </c>
    </row>
    <row r="732" spans="1:9">
      <c r="A732" s="2">
        <v>0</v>
      </c>
      <c r="B732" s="2">
        <v>141</v>
      </c>
      <c r="C732" s="2">
        <v>84</v>
      </c>
      <c r="D732" s="2">
        <v>26</v>
      </c>
      <c r="E732" s="2">
        <v>0</v>
      </c>
      <c r="F732" s="2">
        <v>32.4</v>
      </c>
      <c r="G732" s="2">
        <v>0.433</v>
      </c>
      <c r="H732" s="2">
        <v>22</v>
      </c>
      <c r="I732">
        <v>0</v>
      </c>
    </row>
    <row r="733" spans="1:9">
      <c r="A733" s="2">
        <v>2</v>
      </c>
      <c r="B733" s="2">
        <v>175</v>
      </c>
      <c r="C733" s="2">
        <v>88</v>
      </c>
      <c r="D733" s="2">
        <v>0</v>
      </c>
      <c r="E733" s="2">
        <v>0</v>
      </c>
      <c r="F733" s="2">
        <v>22.9</v>
      </c>
      <c r="G733" s="2">
        <v>0.326</v>
      </c>
      <c r="H733" s="2">
        <v>22</v>
      </c>
      <c r="I733">
        <v>0</v>
      </c>
    </row>
    <row r="734" spans="1:9">
      <c r="A734" s="2">
        <v>2</v>
      </c>
      <c r="B734" s="2">
        <v>92</v>
      </c>
      <c r="C734" s="2">
        <v>52</v>
      </c>
      <c r="D734" s="2">
        <v>0</v>
      </c>
      <c r="E734" s="2">
        <v>0</v>
      </c>
      <c r="F734" s="2">
        <v>30.1</v>
      </c>
      <c r="G734" s="2">
        <v>0.141</v>
      </c>
      <c r="H734" s="2">
        <v>22</v>
      </c>
      <c r="I734">
        <v>0</v>
      </c>
    </row>
    <row r="735" spans="1:9">
      <c r="A735" s="2">
        <v>3</v>
      </c>
      <c r="B735" s="2">
        <v>130</v>
      </c>
      <c r="C735" s="2">
        <v>78</v>
      </c>
      <c r="D735" s="2">
        <v>23</v>
      </c>
      <c r="E735" s="2">
        <v>79</v>
      </c>
      <c r="F735" s="2">
        <v>28.4</v>
      </c>
      <c r="G735" s="2">
        <v>0.323</v>
      </c>
      <c r="H735" s="2">
        <v>34</v>
      </c>
      <c r="I735">
        <v>1</v>
      </c>
    </row>
    <row r="736" spans="1:9">
      <c r="A736" s="2">
        <v>8</v>
      </c>
      <c r="B736" s="2">
        <v>120</v>
      </c>
      <c r="C736" s="2">
        <v>86</v>
      </c>
      <c r="D736" s="2">
        <v>0</v>
      </c>
      <c r="E736" s="2">
        <v>0</v>
      </c>
      <c r="F736" s="2">
        <v>28.4</v>
      </c>
      <c r="G736" s="2">
        <v>0.259</v>
      </c>
      <c r="H736" s="2">
        <v>22</v>
      </c>
      <c r="I736">
        <v>1</v>
      </c>
    </row>
    <row r="737" spans="1:9">
      <c r="A737" s="2">
        <v>2</v>
      </c>
      <c r="B737" s="2">
        <v>174</v>
      </c>
      <c r="C737" s="2">
        <v>88</v>
      </c>
      <c r="D737" s="2">
        <v>37</v>
      </c>
      <c r="E737" s="2">
        <v>120</v>
      </c>
      <c r="F737" s="2">
        <v>44.5</v>
      </c>
      <c r="G737" s="2">
        <v>0.646</v>
      </c>
      <c r="H737" s="2">
        <v>24</v>
      </c>
      <c r="I737">
        <v>1</v>
      </c>
    </row>
    <row r="738" spans="1:9">
      <c r="A738" s="2">
        <v>2</v>
      </c>
      <c r="B738" s="2">
        <v>106</v>
      </c>
      <c r="C738" s="2">
        <v>56</v>
      </c>
      <c r="D738" s="2">
        <v>27</v>
      </c>
      <c r="E738" s="2">
        <v>165</v>
      </c>
      <c r="F738" s="2">
        <v>29</v>
      </c>
      <c r="G738" s="2">
        <v>0.426</v>
      </c>
      <c r="H738" s="2">
        <v>22</v>
      </c>
      <c r="I738">
        <v>0</v>
      </c>
    </row>
    <row r="739" spans="1:9">
      <c r="A739" s="2">
        <v>2</v>
      </c>
      <c r="B739" s="2">
        <v>105</v>
      </c>
      <c r="C739" s="2">
        <v>75</v>
      </c>
      <c r="D739" s="2">
        <v>0</v>
      </c>
      <c r="E739" s="2">
        <v>0</v>
      </c>
      <c r="F739" s="2">
        <v>23.3</v>
      </c>
      <c r="G739" s="2">
        <v>0.56</v>
      </c>
      <c r="H739" s="2">
        <v>53</v>
      </c>
      <c r="I739">
        <v>0</v>
      </c>
    </row>
    <row r="740" spans="1:9">
      <c r="A740" s="2">
        <v>4</v>
      </c>
      <c r="B740" s="2">
        <v>95</v>
      </c>
      <c r="C740" s="2">
        <v>60</v>
      </c>
      <c r="D740" s="2">
        <v>32</v>
      </c>
      <c r="E740" s="2">
        <v>0</v>
      </c>
      <c r="F740" s="2">
        <v>35.4</v>
      </c>
      <c r="G740" s="2">
        <v>0.284</v>
      </c>
      <c r="H740" s="2">
        <v>28</v>
      </c>
      <c r="I740">
        <v>0</v>
      </c>
    </row>
    <row r="741" spans="1:9">
      <c r="A741" s="2">
        <v>0</v>
      </c>
      <c r="B741" s="2">
        <v>126</v>
      </c>
      <c r="C741" s="2">
        <v>86</v>
      </c>
      <c r="D741" s="2">
        <v>27</v>
      </c>
      <c r="E741" s="2">
        <v>120</v>
      </c>
      <c r="F741" s="2">
        <v>27.4</v>
      </c>
      <c r="G741" s="2">
        <v>0.515</v>
      </c>
      <c r="H741" s="2">
        <v>21</v>
      </c>
      <c r="I741">
        <v>0</v>
      </c>
    </row>
    <row r="742" spans="1:9">
      <c r="A742" s="2">
        <v>8</v>
      </c>
      <c r="B742" s="2">
        <v>65</v>
      </c>
      <c r="C742" s="2">
        <v>72</v>
      </c>
      <c r="D742" s="2">
        <v>23</v>
      </c>
      <c r="E742" s="2">
        <v>0</v>
      </c>
      <c r="F742" s="2">
        <v>32</v>
      </c>
      <c r="G742" s="2">
        <v>0.6</v>
      </c>
      <c r="H742" s="2">
        <v>42</v>
      </c>
      <c r="I742">
        <v>0</v>
      </c>
    </row>
    <row r="743" spans="1:9">
      <c r="A743" s="2">
        <v>2</v>
      </c>
      <c r="B743" s="2">
        <v>99</v>
      </c>
      <c r="C743" s="2">
        <v>60</v>
      </c>
      <c r="D743" s="2">
        <v>17</v>
      </c>
      <c r="E743" s="2">
        <v>160</v>
      </c>
      <c r="F743" s="2">
        <v>36.6</v>
      </c>
      <c r="G743" s="2">
        <v>0.453</v>
      </c>
      <c r="H743" s="2">
        <v>21</v>
      </c>
      <c r="I743">
        <v>0</v>
      </c>
    </row>
    <row r="744" spans="1:9">
      <c r="A744" s="2">
        <v>1</v>
      </c>
      <c r="B744" s="2">
        <v>102</v>
      </c>
      <c r="C744" s="2">
        <v>74</v>
      </c>
      <c r="D744" s="2">
        <v>0</v>
      </c>
      <c r="E744" s="2">
        <v>0</v>
      </c>
      <c r="F744" s="2">
        <v>39.5</v>
      </c>
      <c r="G744" s="2">
        <v>0.293</v>
      </c>
      <c r="H744" s="2">
        <v>42</v>
      </c>
      <c r="I744">
        <v>1</v>
      </c>
    </row>
    <row r="745" spans="1:9">
      <c r="A745" s="2">
        <v>11</v>
      </c>
      <c r="B745" s="2">
        <v>120</v>
      </c>
      <c r="C745" s="2">
        <v>80</v>
      </c>
      <c r="D745" s="2">
        <v>37</v>
      </c>
      <c r="E745" s="2">
        <v>150</v>
      </c>
      <c r="F745" s="2">
        <v>42.3</v>
      </c>
      <c r="G745" s="2">
        <v>0.785</v>
      </c>
      <c r="H745" s="2">
        <v>48</v>
      </c>
      <c r="I745">
        <v>1</v>
      </c>
    </row>
    <row r="746" spans="1:9">
      <c r="A746" s="2">
        <v>3</v>
      </c>
      <c r="B746" s="2">
        <v>102</v>
      </c>
      <c r="C746" s="2">
        <v>44</v>
      </c>
      <c r="D746" s="2">
        <v>20</v>
      </c>
      <c r="E746" s="2">
        <v>94</v>
      </c>
      <c r="F746" s="2">
        <v>30.8</v>
      </c>
      <c r="G746" s="2">
        <v>0.4</v>
      </c>
      <c r="H746" s="2">
        <v>26</v>
      </c>
      <c r="I746">
        <v>0</v>
      </c>
    </row>
    <row r="747" spans="1:9">
      <c r="A747" s="2">
        <v>1</v>
      </c>
      <c r="B747" s="2">
        <v>109</v>
      </c>
      <c r="C747" s="2">
        <v>58</v>
      </c>
      <c r="D747" s="2">
        <v>18</v>
      </c>
      <c r="E747" s="2">
        <v>116</v>
      </c>
      <c r="F747" s="2">
        <v>28.5</v>
      </c>
      <c r="G747" s="2">
        <v>0.219</v>
      </c>
      <c r="H747" s="2">
        <v>22</v>
      </c>
      <c r="I747">
        <v>0</v>
      </c>
    </row>
    <row r="748" spans="1:9">
      <c r="A748" s="2">
        <v>9</v>
      </c>
      <c r="B748" s="2">
        <v>140</v>
      </c>
      <c r="C748" s="2">
        <v>94</v>
      </c>
      <c r="D748" s="2">
        <v>0</v>
      </c>
      <c r="E748" s="2">
        <v>0</v>
      </c>
      <c r="F748" s="2">
        <v>32.7</v>
      </c>
      <c r="G748" s="2">
        <v>0.734</v>
      </c>
      <c r="H748" s="2">
        <v>45</v>
      </c>
      <c r="I748">
        <v>1</v>
      </c>
    </row>
    <row r="749" spans="1:9">
      <c r="A749" s="2">
        <v>13</v>
      </c>
      <c r="B749" s="2">
        <v>153</v>
      </c>
      <c r="C749" s="2">
        <v>88</v>
      </c>
      <c r="D749" s="2">
        <v>37</v>
      </c>
      <c r="E749" s="2">
        <v>140</v>
      </c>
      <c r="F749" s="2">
        <v>40.6</v>
      </c>
      <c r="G749" s="2">
        <v>1.174</v>
      </c>
      <c r="H749" s="2">
        <v>39</v>
      </c>
      <c r="I749">
        <v>0</v>
      </c>
    </row>
    <row r="750" spans="1:9">
      <c r="A750" s="2">
        <v>12</v>
      </c>
      <c r="B750" s="2">
        <v>100</v>
      </c>
      <c r="C750" s="2">
        <v>84</v>
      </c>
      <c r="D750" s="2">
        <v>33</v>
      </c>
      <c r="E750" s="2">
        <v>105</v>
      </c>
      <c r="F750" s="2">
        <v>30</v>
      </c>
      <c r="G750" s="2">
        <v>0.488</v>
      </c>
      <c r="H750" s="2">
        <v>46</v>
      </c>
      <c r="I750">
        <v>0</v>
      </c>
    </row>
    <row r="751" spans="1:9">
      <c r="A751" s="2">
        <v>1</v>
      </c>
      <c r="B751" s="2">
        <v>147</v>
      </c>
      <c r="C751" s="2">
        <v>94</v>
      </c>
      <c r="D751" s="2">
        <v>41</v>
      </c>
      <c r="E751" s="2">
        <v>0</v>
      </c>
      <c r="F751" s="2">
        <v>49.3</v>
      </c>
      <c r="G751" s="2">
        <v>0.358</v>
      </c>
      <c r="H751" s="2">
        <v>27</v>
      </c>
      <c r="I751">
        <v>1</v>
      </c>
    </row>
    <row r="752" spans="1:9">
      <c r="A752" s="2">
        <v>1</v>
      </c>
      <c r="B752" s="2">
        <v>81</v>
      </c>
      <c r="C752" s="2">
        <v>74</v>
      </c>
      <c r="D752" s="2">
        <v>41</v>
      </c>
      <c r="E752" s="2">
        <v>57</v>
      </c>
      <c r="F752" s="2">
        <v>46.3</v>
      </c>
      <c r="G752" s="2">
        <v>1.096</v>
      </c>
      <c r="H752" s="2">
        <v>32</v>
      </c>
      <c r="I752">
        <v>0</v>
      </c>
    </row>
    <row r="753" spans="1:9">
      <c r="A753" s="2">
        <v>3</v>
      </c>
      <c r="B753" s="2">
        <v>187</v>
      </c>
      <c r="C753" s="2">
        <v>70</v>
      </c>
      <c r="D753" s="2">
        <v>22</v>
      </c>
      <c r="E753" s="2">
        <v>200</v>
      </c>
      <c r="F753" s="2">
        <v>36.4</v>
      </c>
      <c r="G753" s="2">
        <v>0.408</v>
      </c>
      <c r="H753" s="2">
        <v>36</v>
      </c>
      <c r="I753">
        <v>1</v>
      </c>
    </row>
    <row r="754" spans="1:9">
      <c r="A754" s="2">
        <v>6</v>
      </c>
      <c r="B754" s="2">
        <v>162</v>
      </c>
      <c r="C754" s="2">
        <v>62</v>
      </c>
      <c r="D754" s="2">
        <v>0</v>
      </c>
      <c r="E754" s="2">
        <v>0</v>
      </c>
      <c r="F754" s="2">
        <v>24.3</v>
      </c>
      <c r="G754" s="2">
        <v>0.178</v>
      </c>
      <c r="H754" s="2">
        <v>50</v>
      </c>
      <c r="I754">
        <v>1</v>
      </c>
    </row>
    <row r="755" spans="1:9">
      <c r="A755" s="2">
        <v>4</v>
      </c>
      <c r="B755" s="2">
        <v>136</v>
      </c>
      <c r="C755" s="2">
        <v>70</v>
      </c>
      <c r="D755" s="2">
        <v>0</v>
      </c>
      <c r="E755" s="2">
        <v>0</v>
      </c>
      <c r="F755" s="2">
        <v>31.2</v>
      </c>
      <c r="G755" s="2">
        <v>1.182</v>
      </c>
      <c r="H755" s="2">
        <v>22</v>
      </c>
      <c r="I755">
        <v>1</v>
      </c>
    </row>
    <row r="756" spans="1:9">
      <c r="A756" s="2">
        <v>1</v>
      </c>
      <c r="B756" s="2">
        <v>121</v>
      </c>
      <c r="C756" s="2">
        <v>78</v>
      </c>
      <c r="D756" s="2">
        <v>39</v>
      </c>
      <c r="E756" s="2">
        <v>74</v>
      </c>
      <c r="F756" s="2">
        <v>39</v>
      </c>
      <c r="G756" s="2">
        <v>0.261</v>
      </c>
      <c r="H756" s="2">
        <v>28</v>
      </c>
      <c r="I756">
        <v>0</v>
      </c>
    </row>
    <row r="757" spans="1:9">
      <c r="A757" s="2">
        <v>3</v>
      </c>
      <c r="B757" s="2">
        <v>108</v>
      </c>
      <c r="C757" s="2">
        <v>62</v>
      </c>
      <c r="D757" s="2">
        <v>24</v>
      </c>
      <c r="E757" s="2">
        <v>0</v>
      </c>
      <c r="F757" s="2">
        <v>26</v>
      </c>
      <c r="G757" s="2">
        <v>0.223</v>
      </c>
      <c r="H757" s="2">
        <v>25</v>
      </c>
      <c r="I757">
        <v>0</v>
      </c>
    </row>
    <row r="758" spans="1:9">
      <c r="A758" s="2">
        <v>0</v>
      </c>
      <c r="B758" s="2">
        <v>181</v>
      </c>
      <c r="C758" s="2">
        <v>88</v>
      </c>
      <c r="D758" s="2">
        <v>44</v>
      </c>
      <c r="E758" s="2">
        <v>510</v>
      </c>
      <c r="F758" s="2">
        <v>43.3</v>
      </c>
      <c r="G758" s="2">
        <v>0.222</v>
      </c>
      <c r="H758" s="2">
        <v>26</v>
      </c>
      <c r="I758">
        <v>1</v>
      </c>
    </row>
    <row r="759" spans="1:9">
      <c r="A759" s="2">
        <v>8</v>
      </c>
      <c r="B759" s="2">
        <v>154</v>
      </c>
      <c r="C759" s="2">
        <v>78</v>
      </c>
      <c r="D759" s="2">
        <v>32</v>
      </c>
      <c r="E759" s="2">
        <v>0</v>
      </c>
      <c r="F759" s="2">
        <v>32.4</v>
      </c>
      <c r="G759" s="2">
        <v>0.443</v>
      </c>
      <c r="H759" s="2">
        <v>45</v>
      </c>
      <c r="I759">
        <v>1</v>
      </c>
    </row>
    <row r="760" spans="1:9">
      <c r="A760" s="2">
        <v>1</v>
      </c>
      <c r="B760" s="2">
        <v>128</v>
      </c>
      <c r="C760" s="2">
        <v>88</v>
      </c>
      <c r="D760" s="2">
        <v>39</v>
      </c>
      <c r="E760" s="2">
        <v>110</v>
      </c>
      <c r="F760" s="2">
        <v>36.5</v>
      </c>
      <c r="G760" s="2">
        <v>1.057</v>
      </c>
      <c r="H760" s="2">
        <v>37</v>
      </c>
      <c r="I760">
        <v>1</v>
      </c>
    </row>
    <row r="761" spans="1:9">
      <c r="A761" s="2">
        <v>7</v>
      </c>
      <c r="B761" s="2">
        <v>137</v>
      </c>
      <c r="C761" s="2">
        <v>90</v>
      </c>
      <c r="D761" s="2">
        <v>41</v>
      </c>
      <c r="E761" s="2">
        <v>0</v>
      </c>
      <c r="F761" s="2">
        <v>32</v>
      </c>
      <c r="G761" s="2">
        <v>0.391</v>
      </c>
      <c r="H761" s="2">
        <v>39</v>
      </c>
      <c r="I761">
        <v>0</v>
      </c>
    </row>
    <row r="762" spans="1:9">
      <c r="A762" s="2">
        <v>0</v>
      </c>
      <c r="B762" s="2">
        <v>123</v>
      </c>
      <c r="C762" s="2">
        <v>72</v>
      </c>
      <c r="D762" s="2">
        <v>0</v>
      </c>
      <c r="E762" s="2">
        <v>0</v>
      </c>
      <c r="F762" s="2">
        <v>36.3</v>
      </c>
      <c r="G762" s="2">
        <v>0.258</v>
      </c>
      <c r="H762" s="2">
        <v>52</v>
      </c>
      <c r="I762">
        <v>1</v>
      </c>
    </row>
    <row r="763" spans="1:9">
      <c r="A763" s="2">
        <v>1</v>
      </c>
      <c r="B763" s="2">
        <v>106</v>
      </c>
      <c r="C763" s="2">
        <v>76</v>
      </c>
      <c r="D763" s="2">
        <v>0</v>
      </c>
      <c r="E763" s="2">
        <v>0</v>
      </c>
      <c r="F763" s="2">
        <v>37.5</v>
      </c>
      <c r="G763" s="2">
        <v>0.197</v>
      </c>
      <c r="H763" s="2">
        <v>26</v>
      </c>
      <c r="I763">
        <v>0</v>
      </c>
    </row>
    <row r="764" spans="1:9">
      <c r="A764" s="2">
        <v>6</v>
      </c>
      <c r="B764" s="2">
        <v>190</v>
      </c>
      <c r="C764" s="2">
        <v>92</v>
      </c>
      <c r="D764" s="2">
        <v>0</v>
      </c>
      <c r="E764" s="2">
        <v>0</v>
      </c>
      <c r="F764" s="2">
        <v>35.5</v>
      </c>
      <c r="G764" s="2">
        <v>0.278</v>
      </c>
      <c r="H764" s="2">
        <v>66</v>
      </c>
      <c r="I764">
        <v>1</v>
      </c>
    </row>
    <row r="765" spans="1:9">
      <c r="A765" s="2">
        <v>2</v>
      </c>
      <c r="B765" s="2">
        <v>88</v>
      </c>
      <c r="C765" s="2">
        <v>58</v>
      </c>
      <c r="D765" s="2">
        <v>26</v>
      </c>
      <c r="E765" s="2">
        <v>16</v>
      </c>
      <c r="F765" s="2">
        <v>28.4</v>
      </c>
      <c r="G765" s="2">
        <v>0.766</v>
      </c>
      <c r="H765" s="2">
        <v>22</v>
      </c>
      <c r="I765">
        <v>0</v>
      </c>
    </row>
    <row r="766" spans="1:9">
      <c r="A766" s="2">
        <v>9</v>
      </c>
      <c r="B766" s="2">
        <v>170</v>
      </c>
      <c r="C766" s="2">
        <v>74</v>
      </c>
      <c r="D766" s="2">
        <v>31</v>
      </c>
      <c r="E766" s="2">
        <v>0</v>
      </c>
      <c r="F766" s="2">
        <v>44</v>
      </c>
      <c r="G766" s="2">
        <v>0.403</v>
      </c>
      <c r="H766" s="2">
        <v>43</v>
      </c>
      <c r="I766">
        <v>1</v>
      </c>
    </row>
    <row r="767" spans="1:9">
      <c r="A767" s="2">
        <v>9</v>
      </c>
      <c r="B767" s="2">
        <v>89</v>
      </c>
      <c r="C767" s="2">
        <v>62</v>
      </c>
      <c r="D767" s="2">
        <v>0</v>
      </c>
      <c r="E767" s="2">
        <v>0</v>
      </c>
      <c r="F767" s="2">
        <v>22.5</v>
      </c>
      <c r="G767" s="2">
        <v>0.142</v>
      </c>
      <c r="H767" s="2">
        <v>33</v>
      </c>
      <c r="I767">
        <v>0</v>
      </c>
    </row>
    <row r="768" spans="1:9">
      <c r="A768" s="2">
        <v>10</v>
      </c>
      <c r="B768" s="2">
        <v>101</v>
      </c>
      <c r="C768" s="2">
        <v>76</v>
      </c>
      <c r="D768" s="2">
        <v>48</v>
      </c>
      <c r="E768" s="2">
        <v>180</v>
      </c>
      <c r="F768" s="2">
        <v>32.9</v>
      </c>
      <c r="G768" s="2">
        <v>0.171</v>
      </c>
      <c r="H768" s="2">
        <v>63</v>
      </c>
      <c r="I768">
        <v>0</v>
      </c>
    </row>
    <row r="769" spans="1:9">
      <c r="A769" s="2">
        <v>2</v>
      </c>
      <c r="B769" s="2">
        <v>122</v>
      </c>
      <c r="C769" s="2">
        <v>70</v>
      </c>
      <c r="D769" s="2">
        <v>27</v>
      </c>
      <c r="E769" s="2">
        <v>0</v>
      </c>
      <c r="F769" s="2">
        <v>36.8</v>
      </c>
      <c r="G769" s="2">
        <v>0.34</v>
      </c>
      <c r="H769" s="2">
        <v>27</v>
      </c>
      <c r="I769">
        <v>0</v>
      </c>
    </row>
    <row r="770" spans="1:9">
      <c r="A770" s="2">
        <v>5</v>
      </c>
      <c r="B770" s="2">
        <v>121</v>
      </c>
      <c r="C770" s="2">
        <v>72</v>
      </c>
      <c r="D770" s="2">
        <v>23</v>
      </c>
      <c r="E770" s="2">
        <v>112</v>
      </c>
      <c r="F770" s="2">
        <v>26.2</v>
      </c>
      <c r="G770" s="2">
        <v>0.245</v>
      </c>
      <c r="H770" s="2">
        <v>30</v>
      </c>
      <c r="I770">
        <v>0</v>
      </c>
    </row>
    <row r="771" spans="1:9">
      <c r="A771" s="2">
        <v>1</v>
      </c>
      <c r="B771" s="2">
        <v>126</v>
      </c>
      <c r="C771" s="2">
        <v>60</v>
      </c>
      <c r="D771" s="2">
        <v>0</v>
      </c>
      <c r="E771" s="2">
        <v>0</v>
      </c>
      <c r="F771" s="2">
        <v>30.1</v>
      </c>
      <c r="G771" s="2">
        <v>0.349</v>
      </c>
      <c r="H771" s="2">
        <v>47</v>
      </c>
      <c r="I771">
        <v>1</v>
      </c>
    </row>
    <row r="772" spans="1:9">
      <c r="A772" s="2">
        <v>1</v>
      </c>
      <c r="B772" s="2">
        <v>93</v>
      </c>
      <c r="C772" s="2">
        <v>70</v>
      </c>
      <c r="D772" s="2">
        <v>31</v>
      </c>
      <c r="E772" s="2">
        <v>0</v>
      </c>
      <c r="F772" s="2">
        <v>30.4</v>
      </c>
      <c r="G772" s="2">
        <v>0.315</v>
      </c>
      <c r="H772" s="2">
        <v>23</v>
      </c>
      <c r="I772">
        <v>0</v>
      </c>
    </row>
    <row r="774" spans="1:1">
      <c r="A774" t="s">
        <v>22</v>
      </c>
    </row>
    <row r="775" spans="1:9">
      <c r="A775" t="s">
        <v>13</v>
      </c>
      <c r="B775" t="s">
        <v>14</v>
      </c>
      <c r="C775" t="s">
        <v>15</v>
      </c>
      <c r="D775" t="s">
        <v>16</v>
      </c>
      <c r="E775" t="s">
        <v>17</v>
      </c>
      <c r="F775" t="s">
        <v>18</v>
      </c>
      <c r="G775" t="s">
        <v>19</v>
      </c>
      <c r="H775" t="s">
        <v>20</v>
      </c>
      <c r="I775" t="s">
        <v>21</v>
      </c>
    </row>
    <row r="776" spans="1:8">
      <c r="A776" s="3">
        <v>1</v>
      </c>
      <c r="B776">
        <v>2</v>
      </c>
      <c r="C776">
        <v>4</v>
      </c>
      <c r="D776">
        <v>5</v>
      </c>
      <c r="E776">
        <v>6</v>
      </c>
      <c r="F776" s="3">
        <v>1</v>
      </c>
      <c r="G776" s="3">
        <v>1</v>
      </c>
      <c r="H776">
        <v>3</v>
      </c>
    </row>
    <row r="778" spans="1:1">
      <c r="A778" t="s">
        <v>23</v>
      </c>
    </row>
    <row r="782" spans="1:1">
      <c r="A782" t="s">
        <v>24</v>
      </c>
    </row>
    <row r="783" spans="1:9">
      <c r="A783" t="s">
        <v>13</v>
      </c>
      <c r="B783" t="s">
        <v>14</v>
      </c>
      <c r="C783" t="s">
        <v>15</v>
      </c>
      <c r="D783" t="s">
        <v>16</v>
      </c>
      <c r="E783" t="s">
        <v>17</v>
      </c>
      <c r="F783" t="s">
        <v>18</v>
      </c>
      <c r="G783" t="s">
        <v>19</v>
      </c>
      <c r="H783" t="s">
        <v>20</v>
      </c>
      <c r="I783" t="s">
        <v>21</v>
      </c>
    </row>
    <row r="784" spans="1:8">
      <c r="A784">
        <v>0.109</v>
      </c>
      <c r="B784">
        <v>0.241</v>
      </c>
      <c r="C784">
        <v>0.098</v>
      </c>
      <c r="D784">
        <v>0.08</v>
      </c>
      <c r="E784">
        <v>0.074</v>
      </c>
      <c r="F784">
        <v>0.139</v>
      </c>
      <c r="G784">
        <v>0.118</v>
      </c>
      <c r="H784">
        <v>0.141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pima_data</vt:lpstr>
      <vt:lpstr>1-调整数据尺度</vt:lpstr>
      <vt:lpstr>2-正态化数据</vt:lpstr>
      <vt:lpstr>3-标准化数据</vt:lpstr>
      <vt:lpstr>Sheet1</vt:lpstr>
      <vt:lpstr>选择特征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丁果</cp:lastModifiedBy>
  <dcterms:created xsi:type="dcterms:W3CDTF">2025-05-15T10:33:00Z</dcterms:created>
  <dcterms:modified xsi:type="dcterms:W3CDTF">2025-05-21T11:05:44Z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0C6234163E72499A92EDE0F17AF774CD_13</vt:lpwstr>
  </property>
  <property fmtid="{D5CDD505-2E9C-101B-9397-08002B2CF9AE}" pid="3" name="KSOProductBuildVer">
    <vt:lpwstr>2052-12.1.0.21171</vt:lpwstr>
  </property>
</Properties>
</file>